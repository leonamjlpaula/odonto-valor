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 - Tabela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<sst xmlns="http://schemas.openxmlformats.org/spreadsheetml/2006/main" uniqueCount="1373">
  <si>
    <t>Índice:</t>
  </si>
  <si>
    <t>1 –  Introdução</t>
  </si>
  <si>
    <t>2 –  Apresentação Técnica</t>
  </si>
  <si>
    <t>3 –  Planilhas dos VRPO</t>
  </si>
  <si>
    <t>3.1 – Planilha de Custo Fixo</t>
  </si>
  <si>
    <t>3.2 – Planilhas de Custos Variáveis</t>
  </si>
  <si>
    <t>4 – Valores Referenciais para Procedimentos Odontológicos - VRPO</t>
  </si>
  <si>
    <t>1 - Introdução:</t>
  </si>
  <si>
    <t>As Entidades Nacionais de Odontologia vêm trabalhando há muito tempo na orga-</t>
  </si>
  <si>
    <t xml:space="preserve">nização da luta dos Cirurgiões-Dentistas na área de Convênios e Credenciamentos.   </t>
  </si>
  <si>
    <t xml:space="preserve">Em 1987 foi criada a Comissão Nacional de Convênios e Credenciamentos-CNCC </t>
  </si>
  <si>
    <t xml:space="preserve">que ficou responsável por encaminhar todas as questões nesta área. </t>
  </si>
  <si>
    <t xml:space="preserve">Esta  comissão  trabalhou  em  todo o país e em janeiro de 1988 editou a primeira  </t>
  </si>
  <si>
    <t>Tabela Nacional de Convênios e Credenciamento – TNCC, momento histórico que</t>
  </si>
  <si>
    <t xml:space="preserve">marcou  o início de uma segunda etapa na odontologia. </t>
  </si>
  <si>
    <t xml:space="preserve">A  partir desta  data  as  entidades  nacionais   passaram  a  fazer  mobilizações  e  </t>
  </si>
  <si>
    <t xml:space="preserve">visita nos estados divulgando a  TNCC  e lutando  para  que ela  fosse  implantada.     </t>
  </si>
  <si>
    <t xml:space="preserve">Hoje a CNCC é conhecida e respeitada  nos  estados  e  temos que  agradecer  às  </t>
  </si>
  <si>
    <t xml:space="preserve">várias Entidades  e  aos  Cirurgiões-Dentistas  que  no  passado deram o  primeiro </t>
  </si>
  <si>
    <t>passo para a sua efetivação.</t>
  </si>
  <si>
    <t>Em 1994 a TNCC passou a ser chamada de VRCC  ( Valores  Referênciais  para</t>
  </si>
  <si>
    <t>Convênios e Credênciamentos).</t>
  </si>
  <si>
    <t xml:space="preserve">No Forum Nacional de Convênios e  Credênciamentos realizado  em Setembro de </t>
  </si>
  <si>
    <t>2002 em Goiânia, os VRCC passaram a ser denominados VRPO (Valores Referên-</t>
  </si>
  <si>
    <t>ciais para Procedimentos Odontológicos).   E estes, foram regionalizados, tornan-</t>
  </si>
  <si>
    <t>do-se mais próximos da realidade sócio-econômica dos Estados.</t>
  </si>
  <si>
    <t xml:space="preserve">Neste manual estamos trazendo para os  colegas  do  Brasil  um  estudo  realizado </t>
  </si>
  <si>
    <t xml:space="preserve">com muita dedicação,  respeitando  critérios  básicos  que dão  total  credibilidade  </t>
  </si>
  <si>
    <t xml:space="preserve">para o processo de negociação que estaremos desencadeando nas empresas de </t>
  </si>
  <si>
    <t>convênios.</t>
  </si>
  <si>
    <t xml:space="preserve">Esperamos que todos leiam com atenção todos os itens constantes deste trabalho: </t>
  </si>
  <si>
    <t xml:space="preserve">Apresentação  Técnica; VRPO;  Planilhas  da VRPO; Modelo de  Contrato  Padrão  </t>
  </si>
  <si>
    <t>para Convênios e Credenciamentos,  para que no convencimento técnico consiga-</t>
  </si>
  <si>
    <t>mos implantá-los efetivamente.</t>
  </si>
  <si>
    <t>Chamamos todos os colegas a juntarem-se a nós, Conselho Federal de  Odontolo-</t>
  </si>
  <si>
    <t>gia, Federação Interestadual dos Odontologistas,  Federação Nacional dos  Odon-</t>
  </si>
  <si>
    <t xml:space="preserve">tologistas, Associação Brasileira de Odontologia, nesta importante luta que vem no  </t>
  </si>
  <si>
    <t>sentido de garantir  uma  remuneração digna  aos  Cirurgiões-Dentistas,   possibili-</t>
  </si>
  <si>
    <t>tando um  atendimento de qualidade aos usuários.</t>
  </si>
  <si>
    <t xml:space="preserve">                                                                                                       Direção da CNCC</t>
  </si>
  <si>
    <t>2 – Apresentação Técnica:</t>
  </si>
  <si>
    <t xml:space="preserve">Apresentamos um pequeno glossário que  facilitará o  entendimento  das  planilhas  </t>
  </si>
  <si>
    <t>de custos.</t>
  </si>
  <si>
    <t>a) Planilha de Custo Fixo</t>
  </si>
  <si>
    <t xml:space="preserve">É constituída pelos valores que independem da produção. Por exemplo: aluguel do </t>
  </si>
  <si>
    <t xml:space="preserve">consultório,  condomínio,  salário de auxiliar,  etc.,  Independente  do movimento do </t>
  </si>
  <si>
    <t>consultório estes valores são os mesmos e devem ser pagos.</t>
  </si>
  <si>
    <t xml:space="preserve">Os elementos que  compõem os  custos fixos  estão listados na Planilha de Custos </t>
  </si>
  <si>
    <t>Fixos.</t>
  </si>
  <si>
    <t xml:space="preserve">Para elaborar as planilhas de custos fixos  consideramos valores médios mensais,  </t>
  </si>
  <si>
    <t xml:space="preserve">que somados levam a um total,  que será  calculado  pela  Comissão de  Convêni- </t>
  </si>
  <si>
    <t>os e Crendênciamentos dos Estados</t>
  </si>
  <si>
    <t>Este valor deverá ser  dividido por 22 (média de dias úteis no mês). O valor encon-</t>
  </si>
  <si>
    <t xml:space="preserve">trado será dividido por 8 (horas trabalhadas por dia),  o  resultante  dividido por 60 </t>
  </si>
  <si>
    <t>(número de minutos em uma hora).  O resultado encontrado é o custo fixo do  Con-</t>
  </si>
  <si>
    <t>sultório por minuto, independente da produção.</t>
  </si>
  <si>
    <t>Exemplo do Cálculo:</t>
  </si>
  <si>
    <r>
      <rPr>
        <sz val="12"/>
        <color indexed="8"/>
        <rFont val="Arial"/>
      </rPr>
      <t xml:space="preserve">Valor custo fixo (R$) </t>
    </r>
    <r>
      <rPr>
        <b val="1"/>
        <sz val="12"/>
        <color indexed="11"/>
        <rFont val="Arial"/>
      </rPr>
      <t>1.000,00</t>
    </r>
    <r>
      <rPr>
        <sz val="12"/>
        <color indexed="8"/>
        <rFont val="Arial"/>
      </rPr>
      <t xml:space="preserve"> : 22 dias(45,45) : 8 horas(5,68) : 60 min.=</t>
    </r>
    <r>
      <rPr>
        <b val="1"/>
        <sz val="12"/>
        <color indexed="8"/>
        <rFont val="Arial"/>
      </rPr>
      <t xml:space="preserve"> </t>
    </r>
    <r>
      <rPr>
        <b val="1"/>
        <sz val="12"/>
        <color indexed="11"/>
        <rFont val="Arial"/>
      </rPr>
      <t>0,094</t>
    </r>
  </si>
  <si>
    <t>a1) Depreciação do Equipamento</t>
  </si>
  <si>
    <t>Depreciação é qualquer declínio no potencial de serviço  ocorridos  por  deteriora-</t>
  </si>
  <si>
    <t>ção física  gradual ou abrupta do equipamento, através do uso, mesmo que nenhu-</t>
  </si>
  <si>
    <t>ma mudança física seja aparente.</t>
  </si>
  <si>
    <t>A depreciação é calculada em  função  do  período  médio de vida útil  dos equipa-</t>
  </si>
  <si>
    <t xml:space="preserve">mentos, estimada em 10 anos. Também é rateada e traz ao dentista a possibilidade </t>
  </si>
  <si>
    <t>de repor o equipamento deteriorado ou obsoleto.</t>
  </si>
  <si>
    <t>Exemplo: para a compra de um consultório odontológico de padrão médio, estima-</t>
  </si>
  <si>
    <t>mos um gasto de R$ 35.980,32. (Planilha em anexo).</t>
  </si>
  <si>
    <t xml:space="preserve">Depreciação = 35.980,32 : 10 anos : 11 meses : 22 dias : 8 horas : 60 minutos = </t>
  </si>
  <si>
    <t>0,030 (depreciação do consultório odontológico por minuto).</t>
  </si>
  <si>
    <r>
      <rPr>
        <b val="1"/>
        <sz val="12"/>
        <color indexed="8"/>
        <rFont val="Arial"/>
      </rPr>
      <t>a2) Consumo Geral Mensal</t>
    </r>
    <r>
      <rPr>
        <sz val="12"/>
        <color indexed="8"/>
        <rFont val="Arial"/>
      </rPr>
      <t xml:space="preserve">  -&gt;  sob esta  denominação estão  listados  materiais </t>
    </r>
  </si>
  <si>
    <t>de limpeza, desinfecção e de uso geral nos procedimentos (Planilha em anexo).</t>
  </si>
  <si>
    <t>Exemplo:  vassoura, rodo, algodão, gaze, luvas para auxiliar, etc.</t>
  </si>
  <si>
    <t>a3) Remuneração Profissional</t>
  </si>
  <si>
    <t xml:space="preserve">A referência utilizada é o projeto de lei do Piso Salarial do  Cirurgião-Dentista  que </t>
  </si>
  <si>
    <t xml:space="preserve">está  tramitando no Congresso Nacional, e  que  para  jornada  de  trabalho  de  04 </t>
  </si>
  <si>
    <t xml:space="preserve">horas por dia, a remuneração é de  R$ 1.337,32 (Hum mil trezentos e trinta  e  sete </t>
  </si>
  <si>
    <t>reais e trinta e dois centavos).</t>
  </si>
  <si>
    <t>Destina-se ao sustento do profissional (alimentação, moradia, vestuário, etc.)</t>
  </si>
  <si>
    <t>a4) Taxa de Retorno e Lucro</t>
  </si>
  <si>
    <t>Taxa de 3% para um retorno do capital investido em 3 anos (BNDES).</t>
  </si>
  <si>
    <t>Destina-se ao  aperfeiçoamento técnico do profissional e dos equipamentos (infor-</t>
  </si>
  <si>
    <t>matização, biossegurança, marketing, especialização, etc.). Reinvestimentos.</t>
  </si>
  <si>
    <r>
      <rPr>
        <b val="1"/>
        <sz val="12"/>
        <color indexed="8"/>
        <rFont val="Arial"/>
      </rPr>
      <t>Exemplo:</t>
    </r>
    <r>
      <rPr>
        <sz val="12"/>
        <color indexed="8"/>
        <rFont val="Arial"/>
      </rPr>
      <t xml:space="preserve">  O  valor  de  um   consultório  odontológico  de  padrão  médio  é  de  R$ </t>
    </r>
  </si>
  <si>
    <t xml:space="preserve">35.980,32 (Planilha em anexo). Taxa de Retorno = 35.980,32 : 3 anos : 11 meses : </t>
  </si>
  <si>
    <t>22 dias : 8 horas : 60 minutos = 0,103.</t>
  </si>
  <si>
    <t>b) Planilha de Custos Variáveis</t>
  </si>
  <si>
    <t>É constituída pelos valores que se referem à realização dos procedimentos odonto-</t>
  </si>
  <si>
    <t xml:space="preserve">lógicos. </t>
  </si>
  <si>
    <r>
      <rPr>
        <b val="1"/>
        <sz val="12"/>
        <color indexed="8"/>
        <rFont val="Arial"/>
      </rPr>
      <t>Exemplo:</t>
    </r>
    <r>
      <rPr>
        <sz val="12"/>
        <color indexed="8"/>
        <rFont val="Arial"/>
      </rPr>
      <t xml:space="preserve"> para realizar uma Aplicação Tópica  de  Flúor-Verniz  (quatro hemiarca- </t>
    </r>
  </si>
  <si>
    <t xml:space="preserve">das) utilizamos uma série de porções de materiais específicos.    Esses  materiais </t>
  </si>
  <si>
    <t>estão listados nas planilhas de custos variáveis.</t>
  </si>
  <si>
    <t xml:space="preserve">                 Aplicação Tópica de Flúor - Verniz (quatro hemiarcadas)</t>
  </si>
  <si>
    <t>Preço/</t>
  </si>
  <si>
    <t>Nº</t>
  </si>
  <si>
    <t>Material</t>
  </si>
  <si>
    <t>Quant</t>
  </si>
  <si>
    <t>Consumo</t>
  </si>
  <si>
    <t>Preço</t>
  </si>
  <si>
    <t>Divisor</t>
  </si>
  <si>
    <t>Unid/</t>
  </si>
  <si>
    <t>Porção</t>
  </si>
  <si>
    <t>Guardanapo</t>
  </si>
  <si>
    <t>2</t>
  </si>
  <si>
    <t>Sugador</t>
  </si>
  <si>
    <t>1</t>
  </si>
  <si>
    <t>Rolos de algodão</t>
  </si>
  <si>
    <t>10</t>
  </si>
  <si>
    <t>Luvas</t>
  </si>
  <si>
    <t>1 par</t>
  </si>
  <si>
    <t>Gorro</t>
  </si>
  <si>
    <t>Máscara</t>
  </si>
  <si>
    <t>Filme PVC</t>
  </si>
  <si>
    <t>15m</t>
  </si>
  <si>
    <t>20cm</t>
  </si>
  <si>
    <t>Pincel</t>
  </si>
  <si>
    <t>Verniz c/ flúor</t>
  </si>
  <si>
    <t>1/10</t>
  </si>
  <si>
    <t>Mat. Pedagógico</t>
  </si>
  <si>
    <t>Total</t>
  </si>
  <si>
    <t>Total de Custo Variável = 5,834</t>
  </si>
  <si>
    <t>c) Como se chegar ao preço final do procedimento:</t>
  </si>
  <si>
    <t xml:space="preserve">   · Consideramos o tempo para realização do procedimento;</t>
  </si>
  <si>
    <t xml:space="preserve">   · Multiplicamos o tempo pelo valor do minuto do custo fixo;</t>
  </si>
  <si>
    <t xml:space="preserve">   · Somamos o valor do custo variável para o procedimento.</t>
  </si>
  <si>
    <t>Exemplo: Aplicação Tópica de Flúor-Verniz (quatro hemiarcadas)</t>
  </si>
  <si>
    <t xml:space="preserve">       Tempo =  25 minutos</t>
  </si>
  <si>
    <t xml:space="preserve">       Custo fixo por minuto =  A (calculo final do Custo Fixo)</t>
  </si>
  <si>
    <t xml:space="preserve">       Custo variável =  5,834</t>
  </si>
  <si>
    <t>x</t>
  </si>
  <si>
    <t>A</t>
  </si>
  <si>
    <t>+</t>
  </si>
  <si>
    <t>5,834</t>
  </si>
  <si>
    <t>=</t>
  </si>
  <si>
    <t>B</t>
  </si>
  <si>
    <t>|</t>
  </si>
  <si>
    <t xml:space="preserve">    </t>
  </si>
  <si>
    <t>Tempo</t>
  </si>
  <si>
    <t>Valor Final</t>
  </si>
  <si>
    <t>Valor das</t>
  </si>
  <si>
    <t>Valor final</t>
  </si>
  <si>
    <t>por Minuto</t>
  </si>
  <si>
    <t>porções de mate-</t>
  </si>
  <si>
    <t>do proce-</t>
  </si>
  <si>
    <t>do Custo</t>
  </si>
  <si>
    <t>riais utilizados</t>
  </si>
  <si>
    <t>dimento</t>
  </si>
  <si>
    <t>Fixo</t>
  </si>
  <si>
    <t>(Custo Variável)</t>
  </si>
  <si>
    <r>
      <rPr>
        <sz val="10"/>
        <color indexed="8"/>
        <rFont val="Arial"/>
      </rPr>
      <t xml:space="preserve">CNCC -  </t>
    </r>
    <r>
      <rPr>
        <u val="single"/>
        <sz val="10"/>
        <color indexed="8"/>
        <rFont val="Arial"/>
      </rPr>
      <t>Comissão Nacional de Convênios e Credenciamento</t>
    </r>
    <r>
      <rPr>
        <sz val="10"/>
        <color indexed="8"/>
        <rFont val="Arial"/>
      </rPr>
      <t xml:space="preserve">s </t>
    </r>
  </si>
  <si>
    <t>3 – Planilhas da VRPO:</t>
  </si>
  <si>
    <t>3.1 – Planilha de Custo Fixo:</t>
  </si>
  <si>
    <t xml:space="preserve">Planilha de Custos Fixos para Rateio, a partir de pesquisa realizada no mínimo em 03 (três) municípios, </t>
  </si>
  <si>
    <t>considerando-ser valores médios.</t>
  </si>
  <si>
    <t>Mensal</t>
  </si>
  <si>
    <t xml:space="preserve">                                                DESCRIÇÃO DOS ITENS</t>
  </si>
  <si>
    <t xml:space="preserve">VALOR EM </t>
  </si>
  <si>
    <t>R$</t>
  </si>
  <si>
    <t>Aluguel de sala (36m2)</t>
  </si>
  <si>
    <t>Condomínio</t>
  </si>
  <si>
    <t>Impostos e Taxas (IPTU, ISS)</t>
  </si>
  <si>
    <t>Anuidade das entidades odontológicas ABO – CRO – Sindicato</t>
  </si>
  <si>
    <t>Despesas com telefone</t>
  </si>
  <si>
    <t>Energia elétrica</t>
  </si>
  <si>
    <t>Salário, encargos + vale transporte + insalubridade</t>
  </si>
  <si>
    <t>Faxineira 1 vêz por semana + material de limpeza</t>
  </si>
  <si>
    <t>Compra de 02 livros e assinatura de 01 revista científica ou participação em 01 congresso</t>
  </si>
  <si>
    <t>Contador</t>
  </si>
  <si>
    <t>Manutenção do consultório</t>
  </si>
  <si>
    <t>Consumo geral mensal</t>
  </si>
  <si>
    <t>Informática</t>
  </si>
  <si>
    <t>Administração</t>
  </si>
  <si>
    <t>TOTAL para 11 meses de trabalho e 1 mês de férias</t>
  </si>
  <si>
    <t>Rateio por min = Total : 22 dias : 8h : 60min</t>
  </si>
  <si>
    <t>Depreciação do equipamento</t>
  </si>
  <si>
    <t>Remuneração profissional 04 Horas diárias</t>
  </si>
  <si>
    <t>Jornada de 8 horas diárias,</t>
  </si>
  <si>
    <t xml:space="preserve">11% fundo de reserva = aposentadoria </t>
  </si>
  <si>
    <t xml:space="preserve">40% de periculosidade </t>
  </si>
  <si>
    <t xml:space="preserve">+ 20% de imprevistos </t>
  </si>
  <si>
    <t>+ férias 1/12 + 1/3</t>
  </si>
  <si>
    <t>e 13º salário.</t>
  </si>
  <si>
    <t>Cálculo estimado para 8 horas de trabalho.</t>
  </si>
  <si>
    <t xml:space="preserve">Taxa de retorno de 3% calculado a partir do investimento inicial para retorno </t>
  </si>
  <si>
    <t>em 3 anos</t>
  </si>
  <si>
    <t>CÁLCULO FINAL DO CUSTO FIXO</t>
  </si>
  <si>
    <t xml:space="preserve">CNCC -  Comissão Nacional de Convênios e Credenciamentos </t>
  </si>
  <si>
    <r>
      <rPr>
        <sz val="10"/>
        <color indexed="8"/>
        <rFont val="Arial"/>
      </rPr>
      <t xml:space="preserve">Montante necessário para compra e instalação de um consultório odontológico de padrão </t>
    </r>
    <r>
      <rPr>
        <b val="1"/>
        <sz val="10"/>
        <color indexed="8"/>
        <rFont val="Arial"/>
      </rPr>
      <t>médio.</t>
    </r>
  </si>
  <si>
    <t>ITENS</t>
  </si>
  <si>
    <t>PREÇO EM R$</t>
  </si>
  <si>
    <t>Conjunto (Equipamento médio)</t>
  </si>
  <si>
    <t>Mocho</t>
  </si>
  <si>
    <t>Conjunto de pontas</t>
  </si>
  <si>
    <t>Amalgamador</t>
  </si>
  <si>
    <t>Aparelho p/ Profilaxia</t>
  </si>
  <si>
    <t>Estufa</t>
  </si>
  <si>
    <t>Fotopolimerizador</t>
  </si>
  <si>
    <t>Ultra Som</t>
  </si>
  <si>
    <t>Compressor</t>
  </si>
  <si>
    <t>Autoclave</t>
  </si>
  <si>
    <t>Aparelho Rx</t>
  </si>
  <si>
    <t>Avental de Chumbo e Caixa Revelação e Biombo</t>
  </si>
  <si>
    <t>Geladeira</t>
  </si>
  <si>
    <t>Instrumental</t>
  </si>
  <si>
    <t>Móveis (sala de espera, consultório, escritório)</t>
  </si>
  <si>
    <t>Instalação</t>
  </si>
  <si>
    <t>Torneira elétrica e instalação</t>
  </si>
  <si>
    <t>Negatoscópio</t>
  </si>
  <si>
    <t>Óculos de proteção</t>
  </si>
  <si>
    <t>Óculos de proteção - orange para fotopolimerilizador</t>
  </si>
  <si>
    <t>01 aparelho e linha telefonica</t>
  </si>
  <si>
    <t>01 computador completo com impressora</t>
  </si>
  <si>
    <t>01 programa odontológico</t>
  </si>
  <si>
    <t>01 aparelho de ar condicionado</t>
  </si>
  <si>
    <t>04 cesto para lixo com tampa</t>
  </si>
  <si>
    <t>01 filtro para água</t>
  </si>
  <si>
    <t>01 extintor de incêndio</t>
  </si>
  <si>
    <t>03 toalheiros</t>
  </si>
  <si>
    <t>03 saboneteiras</t>
  </si>
  <si>
    <t>01 porta papel higiênico</t>
  </si>
  <si>
    <t>01 placa de identificação na entrada do consultório</t>
  </si>
  <si>
    <t>TOTAL</t>
  </si>
  <si>
    <t>Água oxigenada - Farmax</t>
  </si>
  <si>
    <t>Gorro para auxiliar 4 pct</t>
  </si>
  <si>
    <t>Álcool a 70º</t>
  </si>
  <si>
    <t>Hipoclorito de sódio - Rio</t>
  </si>
  <si>
    <t>Algodão 1 pacote cremer</t>
  </si>
  <si>
    <t>Jaleco descart.-Protege 2 pctes c/10</t>
  </si>
  <si>
    <t>Assinatura de 1 revista</t>
  </si>
  <si>
    <t>Luvas para lavar instrumental- 6 pares</t>
  </si>
  <si>
    <t>Babador de plástico auxiliar</t>
  </si>
  <si>
    <t>Máscaras p/ auxiliar 4 pct</t>
  </si>
  <si>
    <t>Caixa de luvas de proced.p/ACD</t>
  </si>
  <si>
    <t>Óleo p/lubrif.das pontas e compressor</t>
  </si>
  <si>
    <t>Copo descartável c/ 250 copos</t>
  </si>
  <si>
    <t>Papel higiênico  4 pcto/mês</t>
  </si>
  <si>
    <t>Detergente  2 litros</t>
  </si>
  <si>
    <t>Prontuário</t>
  </si>
  <si>
    <t>Envelope  30 unidades</t>
  </si>
  <si>
    <t>Sabonete - Proclean 1/2</t>
  </si>
  <si>
    <t>Escova e esponja p/ assepsia</t>
  </si>
  <si>
    <t>Saco de lixo</t>
  </si>
  <si>
    <t>Fósforo/isqueiro</t>
  </si>
  <si>
    <t>Sol.p/limpeza do sist.Sucção-Purevac1/2</t>
  </si>
  <si>
    <t>Gaze - 1/2 pacote - Cremer</t>
  </si>
  <si>
    <t>Toalha papel</t>
  </si>
  <si>
    <t>Glutaraldeido - glutaron    1 litro</t>
  </si>
  <si>
    <t>Agua destilada para autoclave ( 5 L )</t>
  </si>
  <si>
    <t>Embalagem para autoclave (1cx c/ 200 envel.)</t>
  </si>
  <si>
    <t>3.2 – Planilhas de Custos Variáveis:</t>
  </si>
  <si>
    <t>100 - 490 Diagnóstico</t>
  </si>
  <si>
    <t>100 - 190 Exame Clínico</t>
  </si>
  <si>
    <t>110 - Consulta Inicial: Exame clínico e plano de tratamento</t>
  </si>
  <si>
    <t xml:space="preserve">Preço/ </t>
  </si>
  <si>
    <t>Fio dental</t>
  </si>
  <si>
    <t>100m</t>
  </si>
  <si>
    <t>50cm</t>
  </si>
  <si>
    <t>3</t>
  </si>
  <si>
    <t>Prontuário *</t>
  </si>
  <si>
    <t>*Materiais de papelaria para composição do prontuário: (20 atendimentos)</t>
  </si>
  <si>
    <t>ITEM</t>
  </si>
  <si>
    <t>1. Bloco de orçamento</t>
  </si>
  <si>
    <t>20</t>
  </si>
  <si>
    <t xml:space="preserve">2. Bloco receituário </t>
  </si>
  <si>
    <t xml:space="preserve">3. Ficha clínica </t>
  </si>
  <si>
    <t>4. Clips</t>
  </si>
  <si>
    <t>25</t>
  </si>
  <si>
    <t>5. Grampos para grampeador</t>
  </si>
  <si>
    <t>50</t>
  </si>
  <si>
    <t xml:space="preserve">6. Cartão de visita </t>
  </si>
  <si>
    <t>7. Cartão para marcação de consulta</t>
  </si>
  <si>
    <t xml:space="preserve">8. Bloco de recibo c/ 50 folhas </t>
  </si>
  <si>
    <t>9. Carimbo c/ tinta c/ vida util de 60 meses</t>
  </si>
  <si>
    <t>60</t>
  </si>
  <si>
    <t>10. Papel Carbono</t>
  </si>
  <si>
    <t>4</t>
  </si>
  <si>
    <t>11. Lápis</t>
  </si>
  <si>
    <t>12. Borracha</t>
  </si>
  <si>
    <t>1/2</t>
  </si>
  <si>
    <t>13. Corretivo líquido</t>
  </si>
  <si>
    <t>1/6</t>
  </si>
  <si>
    <t>14. Caneta</t>
  </si>
  <si>
    <t>( x )  Custo Fixo</t>
  </si>
  <si>
    <t>( + )   Custo Variável</t>
  </si>
  <si>
    <t xml:space="preserve">             ( = )  Valor Final  </t>
  </si>
  <si>
    <t>CNCC -  Comissão Nacional de Convênios e Credenciamentos</t>
  </si>
  <si>
    <t>120 – Urgência: Noturna, sábado, domingo ou feriados.</t>
  </si>
  <si>
    <t>Proposta para cálculo do valor de referência para o atendimento de urgência: média dos principais pro-</t>
  </si>
  <si>
    <t xml:space="preserve">cedimentos de urgência listados abaixo, mais 40% de adicional noturno;  </t>
  </si>
  <si>
    <t>n 2140 - pulpectomia</t>
  </si>
  <si>
    <t>n 5010 - extração</t>
  </si>
  <si>
    <t>n 4070 - recolocação de prótese fixa</t>
  </si>
  <si>
    <t>n 4090 - confecção de provisório</t>
  </si>
  <si>
    <t>n  970  - resina fotopolimerizável</t>
  </si>
  <si>
    <t>n 4370 - conserto em prótese removível ou total</t>
  </si>
  <si>
    <t>n 5310 - drenagem de abcesso</t>
  </si>
  <si>
    <t>n 3060 - desensibiilização dentária.</t>
  </si>
  <si>
    <r>
      <rPr>
        <b val="1"/>
        <sz val="10"/>
        <color indexed="8"/>
        <rFont val="Arial"/>
      </rPr>
      <t xml:space="preserve">OBS: </t>
    </r>
    <r>
      <rPr>
        <sz val="10"/>
        <color indexed="8"/>
        <rFont val="Arial"/>
      </rPr>
      <t>Urgência Noturna = dias úteis de 22:00 hs às 06:00 hs.</t>
    </r>
  </si>
  <si>
    <t>Média</t>
  </si>
  <si>
    <t>(+) 40%</t>
  </si>
  <si>
    <t>(=)valor final</t>
  </si>
  <si>
    <t>130 - Avaliação Técnica: Perícia inicial ou final</t>
  </si>
  <si>
    <t>x4</t>
  </si>
  <si>
    <t xml:space="preserve">Carbono p/ articul. </t>
  </si>
  <si>
    <t>140 - Falta a Consulta</t>
  </si>
  <si>
    <t>200 - 390 - Radiologia</t>
  </si>
  <si>
    <t xml:space="preserve">Planilha de Custos Fixos de uma Clínica de Radiologia Odontológica </t>
  </si>
  <si>
    <t xml:space="preserve">                                                                     CUSTOS  FIXOS</t>
  </si>
  <si>
    <t xml:space="preserve">Aluguel de sala com 93 m2 </t>
  </si>
  <si>
    <t>Impostos e Taxas (IPTU, ISS, Taxa de Localiz. e Funcionamento, Alvará de Vig. Sanitária )</t>
  </si>
  <si>
    <t>Anuidade das entidades odontológicas ABO – CRO – Sindicato - ABRO</t>
  </si>
  <si>
    <t xml:space="preserve">Salário, encargos e vale transp. e cesta básica, 01 recepcionista, 01 aux.p/ câmera escura, </t>
  </si>
  <si>
    <t>2 pessoas p/ laboratório, 2 técnicos de RX, 2 pessoas p/ fotografar e moldar</t>
  </si>
  <si>
    <t>Faxineira + material de limpeza</t>
  </si>
  <si>
    <t>Compra de 02 livros e assinatura de 01 revista científica</t>
  </si>
  <si>
    <t>ou  participação em  01  congresso.</t>
  </si>
  <si>
    <t>Manutenção do Consultório</t>
  </si>
  <si>
    <t xml:space="preserve">Remuneração profissional  (R$1.337,32) </t>
  </si>
  <si>
    <t>para jornada de 4 horas diárias,</t>
  </si>
  <si>
    <t xml:space="preserve"> 11% fundo de reserva = aposentadoria </t>
  </si>
  <si>
    <t>40% de Insalubridade</t>
  </si>
  <si>
    <t xml:space="preserve">Taxa de retorno de 3%  </t>
  </si>
  <si>
    <t>Custo de Montagem de uma Clínica de Radiologia Odontológica</t>
  </si>
  <si>
    <t>01 Aparelho de Rx panorâmico com Cefalostato</t>
  </si>
  <si>
    <t>01 Aparelho de Rx periapical</t>
  </si>
  <si>
    <t>01 Processador de Revelar filmes</t>
  </si>
  <si>
    <t>02 máquinas fotográficas</t>
  </si>
  <si>
    <t>02 Computadores + impressora</t>
  </si>
  <si>
    <t>Instalação da Clínica e Laboratório (cadeira para Rx,</t>
  </si>
  <si>
    <t>Cadeira para moldagem, Negastocópio, 2 aventais de</t>
  </si>
  <si>
    <t>chumbo, Biombo de chumbo, instalação e móveis da</t>
  </si>
  <si>
    <t>clínica</t>
  </si>
  <si>
    <t xml:space="preserve">                         Total</t>
  </si>
  <si>
    <t xml:space="preserve">210 - Periapical </t>
  </si>
  <si>
    <t xml:space="preserve">             DESCRIÇÃO DOS ÍTENS</t>
  </si>
  <si>
    <t>Valor em</t>
  </si>
  <si>
    <t xml:space="preserve"> R$</t>
  </si>
  <si>
    <t>Valor do filme</t>
  </si>
  <si>
    <t>Revelador / Fixador</t>
  </si>
  <si>
    <t>Envelope / cartela</t>
  </si>
  <si>
    <t>( + )Custo Variável</t>
  </si>
  <si>
    <t>220 - Interproximal (Bite-Wing)</t>
  </si>
  <si>
    <t>230 - Oclusal</t>
  </si>
  <si>
    <t>Envelope / cartela / folha laudo</t>
  </si>
  <si>
    <t>240 - Rx  Postero-Anterior</t>
  </si>
  <si>
    <t>Envelope</t>
  </si>
  <si>
    <t>250 - Raio X da ATM Série Completa  (três incidências)</t>
  </si>
  <si>
    <t xml:space="preserve">Envelope </t>
  </si>
  <si>
    <t>Folha traçado</t>
  </si>
  <si>
    <t>260 - Panorâmica</t>
  </si>
  <si>
    <t xml:space="preserve">Envelope / folha de laudo </t>
  </si>
  <si>
    <t>270 - Telerradiografia  Com Traçado Computadorizado</t>
  </si>
  <si>
    <t xml:space="preserve">Envelope  </t>
  </si>
  <si>
    <t>Folha de traçado</t>
  </si>
  <si>
    <t>280 - Telerradiografia  Sem Traçado Computadorizado</t>
  </si>
  <si>
    <t>290 - Rx  da Mão (carpal)</t>
  </si>
  <si>
    <t>300 - Modelos Ortodônticos (par)</t>
  </si>
  <si>
    <t>Material de moldagem</t>
  </si>
  <si>
    <t>Caixa para modelo</t>
  </si>
  <si>
    <t>Cera de mordida</t>
  </si>
  <si>
    <t>310 -  Slides (unidade)</t>
  </si>
  <si>
    <t>Filme</t>
  </si>
  <si>
    <t>Revelação</t>
  </si>
  <si>
    <t>Colgadura para Slides</t>
  </si>
  <si>
    <t>320 - Fotografia (unidade)</t>
  </si>
  <si>
    <t>400 - 490 Testes e exames de laboratório</t>
  </si>
  <si>
    <t>410 - Teste de Risco de Cárie, ph, Capacidade Tampão ou Fluxo Salivar.</t>
  </si>
  <si>
    <t>Kit para exame</t>
  </si>
  <si>
    <t>Copo plástico descart.</t>
  </si>
  <si>
    <r>
      <rPr>
        <b val="1"/>
        <sz val="10"/>
        <color indexed="8"/>
        <rFont val="Arial"/>
      </rPr>
      <t>OBS:</t>
    </r>
    <r>
      <rPr>
        <sz val="10"/>
        <color indexed="8"/>
        <rFont val="Arial"/>
      </rPr>
      <t xml:space="preserve"> Valor individual para cada tipo de teste</t>
    </r>
  </si>
  <si>
    <t>500 - 590 Prevenção/Procedimento realizado pelo clínico geral e todas as áreas de especialidades</t>
  </si>
  <si>
    <t>510 - Profilaxia: Polimento Coronário (quatro hemiarcadas)</t>
  </si>
  <si>
    <t>30cm</t>
  </si>
  <si>
    <t>Taça de borracha</t>
  </si>
  <si>
    <t>1/15</t>
  </si>
  <si>
    <t>Escova de Robson</t>
  </si>
  <si>
    <t>½</t>
  </si>
  <si>
    <t>Pasta profilática</t>
  </si>
  <si>
    <t>90g</t>
  </si>
  <si>
    <t>2,25g</t>
  </si>
  <si>
    <t>Bicarbonato</t>
  </si>
  <si>
    <t>100g</t>
  </si>
  <si>
    <t>5g</t>
  </si>
  <si>
    <t>520 - Orientação de Higiene Bucal</t>
  </si>
  <si>
    <t>Evidenciador  placa</t>
  </si>
  <si>
    <t>20ml</t>
  </si>
  <si>
    <t>2ml</t>
  </si>
  <si>
    <t>530 - Aplicação Tópica de Flúor (excluindo profilaxia)</t>
  </si>
  <si>
    <t>x2</t>
  </si>
  <si>
    <t>Flúor</t>
  </si>
  <si>
    <t>100ml</t>
  </si>
  <si>
    <t>10ml</t>
  </si>
  <si>
    <t>Moldeira p/ aplic. flúor</t>
  </si>
  <si>
    <t>540 - Controle de Placa Bacteriana (por sessão)</t>
  </si>
  <si>
    <t>550 - Tratamento de Gengivite - Terapêutica básica (duas hemiarcadas)</t>
  </si>
  <si>
    <t>Gaze</t>
  </si>
  <si>
    <t>Anestésico tópico</t>
  </si>
  <si>
    <t>12g</t>
  </si>
  <si>
    <t>1/50</t>
  </si>
  <si>
    <t>Anestésico sol.</t>
  </si>
  <si>
    <t>Agulha descartável</t>
  </si>
  <si>
    <t>Cureta</t>
  </si>
  <si>
    <t>1/30</t>
  </si>
  <si>
    <t>600 - 890 Odontopediatria</t>
  </si>
  <si>
    <t>610 - Aplicação Tópica de Flúor - Verniz (quatro hemiarcadas)</t>
  </si>
  <si>
    <t>620 - Aplicação de Selante (por elemento)</t>
  </si>
  <si>
    <t>6</t>
  </si>
  <si>
    <t>Carbono p/ articul.</t>
  </si>
  <si>
    <t>Pedra pomes</t>
  </si>
  <si>
    <t>2g</t>
  </si>
  <si>
    <t>Selante</t>
  </si>
  <si>
    <t>1/500</t>
  </si>
  <si>
    <t>630 - Aplicação de Selante - Técnica invasiva (por elemento)</t>
  </si>
  <si>
    <t>Kit</t>
  </si>
  <si>
    <t>1/48</t>
  </si>
  <si>
    <t>Broca diamantada</t>
  </si>
  <si>
    <t>640 - Aplicação de Cariostático - 1 sessão (quatro hemiarcadas)</t>
  </si>
  <si>
    <t>Taça de borraça</t>
  </si>
  <si>
    <t>Cariostático</t>
  </si>
  <si>
    <t>1/100</t>
  </si>
  <si>
    <t>650 - Remineralização - Fluorterapia (quatro sessões)</t>
  </si>
  <si>
    <t xml:space="preserve">Quatro sessões = (Valor Final) x 4 = </t>
  </si>
  <si>
    <r>
      <rPr>
        <b val="1"/>
        <sz val="10"/>
        <color indexed="8"/>
        <rFont val="Arial"/>
      </rPr>
      <t>OBS:</t>
    </r>
    <r>
      <rPr>
        <sz val="10"/>
        <color indexed="8"/>
        <rFont val="Arial"/>
      </rPr>
      <t xml:space="preserve"> A Remineralização (fluorterapia) será realizada de acordo com a avaliação do risco de cárie, </t>
    </r>
  </si>
  <si>
    <t>do paciente. Em média 4 sessões de flúor.</t>
  </si>
  <si>
    <t>660 - Adequação do Meio Bucal Com Ionômero de Vidro (por hemiarcada)</t>
  </si>
  <si>
    <t>1g</t>
  </si>
  <si>
    <t>Ionômero de vidro</t>
  </si>
  <si>
    <t>10g</t>
  </si>
  <si>
    <t>0.5</t>
  </si>
  <si>
    <t>Ponta seringa</t>
  </si>
  <si>
    <t>670 - Adequação do Meio Bucal Com IRM (por hemiarcada)</t>
  </si>
  <si>
    <t>Mat. pedagógico</t>
  </si>
  <si>
    <t>Cimento IRM</t>
  </si>
  <si>
    <t>28g</t>
  </si>
  <si>
    <t>3g</t>
  </si>
  <si>
    <t>680 - Restauração de Ionômero de Vidro (1 face)</t>
  </si>
  <si>
    <t>50 un</t>
  </si>
  <si>
    <t>100un</t>
  </si>
  <si>
    <t>Broca diam. 1ª,2ª,3ª</t>
  </si>
  <si>
    <t>Pontas de acabamento</t>
  </si>
  <si>
    <t>Lençol de borracha</t>
  </si>
  <si>
    <t>Base hid. de cálcio</t>
  </si>
  <si>
    <t>11g</t>
  </si>
  <si>
    <t>0.25</t>
  </si>
  <si>
    <t>conj</t>
  </si>
  <si>
    <t>1/60</t>
  </si>
  <si>
    <t>Broca diam.p/acabam.</t>
  </si>
  <si>
    <t>690 - Restauração Preventiva (ionômero + selante)</t>
  </si>
  <si>
    <t>700 - Coroa de Aço</t>
  </si>
  <si>
    <t>Carbono p\ articul.</t>
  </si>
  <si>
    <t xml:space="preserve">Mat. pedagógico </t>
  </si>
  <si>
    <t>Coroa de aço</t>
  </si>
  <si>
    <t>Brocas diam.acabam.</t>
  </si>
  <si>
    <t>15g</t>
  </si>
  <si>
    <t>710 - Pulpotomia</t>
  </si>
  <si>
    <t>Pasta obturadora</t>
  </si>
  <si>
    <t>50g</t>
  </si>
  <si>
    <t>Cimento provisório</t>
  </si>
  <si>
    <t>0,5ml</t>
  </si>
  <si>
    <t>Formocresol</t>
  </si>
  <si>
    <t>720 - Tratamento Endodôntico em Decíduos</t>
  </si>
  <si>
    <t>5</t>
  </si>
  <si>
    <t>40cm</t>
  </si>
  <si>
    <t>1/25</t>
  </si>
  <si>
    <t>Líquido de irrigação</t>
  </si>
  <si>
    <t>1 lt</t>
  </si>
  <si>
    <t>Papel absorvente</t>
  </si>
  <si>
    <t>Limas</t>
  </si>
  <si>
    <t>Seringa descartável</t>
  </si>
  <si>
    <t>unid</t>
  </si>
  <si>
    <t>730 - Exodontia de Dentes Decíduos</t>
  </si>
  <si>
    <t>Luva cirúrgica</t>
  </si>
  <si>
    <t>Fio de sutura</t>
  </si>
  <si>
    <t>740 - Mantenedor de Espaço</t>
  </si>
  <si>
    <t>Carbono p\ articul</t>
  </si>
  <si>
    <t>Cera em lâmina</t>
  </si>
  <si>
    <t>Cera utilidade</t>
  </si>
  <si>
    <t>Pontas montadas</t>
  </si>
  <si>
    <t>Alginato</t>
  </si>
  <si>
    <t>410g</t>
  </si>
  <si>
    <t>40g</t>
  </si>
  <si>
    <t>Gesso especial</t>
  </si>
  <si>
    <t>1000g</t>
  </si>
  <si>
    <t>Laboratório</t>
  </si>
  <si>
    <t>750 - Placa de Mordida</t>
  </si>
  <si>
    <t xml:space="preserve">½ </t>
  </si>
  <si>
    <t>760 - Plano Inclinado</t>
  </si>
  <si>
    <t>770 - Condicionamento em Odontopediatria (por sessão, máximo duas)</t>
  </si>
  <si>
    <t>780 - Ulotomia</t>
  </si>
  <si>
    <t>Campo cirúrgico</t>
  </si>
  <si>
    <t>Soro fisiológico</t>
  </si>
  <si>
    <t>500ml</t>
  </si>
  <si>
    <t>50ml</t>
  </si>
  <si>
    <t>Lâmina de bisturi</t>
  </si>
  <si>
    <t>Cimento cirúrgico</t>
  </si>
  <si>
    <t>pó/liq</t>
  </si>
  <si>
    <t>1/20</t>
  </si>
  <si>
    <t>Clorexidina</t>
  </si>
  <si>
    <t>250ml</t>
  </si>
  <si>
    <t>15ml</t>
  </si>
  <si>
    <t>790 - Ulectomia</t>
  </si>
  <si>
    <t>Pó/liq</t>
  </si>
  <si>
    <t>800 - Restauração Temporária</t>
  </si>
  <si>
    <t>Carbono p/ artic</t>
  </si>
  <si>
    <t>50un</t>
  </si>
  <si>
    <t>900 - 1990 Dentística</t>
  </si>
  <si>
    <t>910 - Restauração de Amálgama - 1 face</t>
  </si>
  <si>
    <t>Brocas Laminadas</t>
  </si>
  <si>
    <t>Mercúrio</t>
  </si>
  <si>
    <t>1/80</t>
  </si>
  <si>
    <t>Limalha</t>
  </si>
  <si>
    <t>30g</t>
  </si>
  <si>
    <t>Pontas de borracha</t>
  </si>
  <si>
    <t>Adesivo</t>
  </si>
  <si>
    <t>Conj.</t>
  </si>
  <si>
    <t>1/22</t>
  </si>
  <si>
    <t>Pasta de polimento</t>
  </si>
  <si>
    <t>0,2</t>
  </si>
  <si>
    <t>920 - Restauração de Amálgama - 2 faces</t>
  </si>
  <si>
    <t>1/40</t>
  </si>
  <si>
    <t>Matriz de aço</t>
  </si>
  <si>
    <t>6cm</t>
  </si>
  <si>
    <t>Cunha de madeira</t>
  </si>
  <si>
    <t>Tira de lixa de aço</t>
  </si>
  <si>
    <t>930 - Restauração de Amálgama - 3 faces</t>
  </si>
  <si>
    <t>Carbono p/ articulaç.</t>
  </si>
  <si>
    <t>Brocas diamantadas</t>
  </si>
  <si>
    <t>940 - Restauração de Amálgama - 4 faces</t>
  </si>
  <si>
    <t xml:space="preserve">6cm </t>
  </si>
  <si>
    <t>Cunha de Madeira</t>
  </si>
  <si>
    <t>950 - Restauração de Amálgama Pin</t>
  </si>
  <si>
    <t>960 - Restauração de Resina Fotopolimerizável - Classes I, V ou VI</t>
  </si>
  <si>
    <t>Carbono p/ articul</t>
  </si>
  <si>
    <t>Taça de Borracha</t>
  </si>
  <si>
    <t xml:space="preserve">Pincel </t>
  </si>
  <si>
    <t>Base hidrox  cálcio</t>
  </si>
  <si>
    <t>Tira de poliéster</t>
  </si>
  <si>
    <t>Resina fotop</t>
  </si>
  <si>
    <t>4g</t>
  </si>
  <si>
    <t>kit</t>
  </si>
  <si>
    <t>Sist. de acabamento</t>
  </si>
  <si>
    <t>1/200</t>
  </si>
  <si>
    <t>Pontas enhance</t>
  </si>
  <si>
    <t>0,5</t>
  </si>
  <si>
    <t>970 - Restauração de Resina Fotopolimerizável - Classes III</t>
  </si>
  <si>
    <t>Base hidrox cálcio</t>
  </si>
  <si>
    <t>Tira de poliester</t>
  </si>
  <si>
    <t>Cunha Refletiva</t>
  </si>
  <si>
    <t>1/8</t>
  </si>
  <si>
    <t>980 - Restauração de Resina Fotopolimerizável - Classes II ou IV</t>
  </si>
  <si>
    <t>2/30</t>
  </si>
  <si>
    <t>1/08</t>
  </si>
  <si>
    <t>990 - Faceta em Resina</t>
  </si>
  <si>
    <t>Cunha refletiva</t>
  </si>
  <si>
    <t>1000 - Núcleo de Preenchimento em Ionômero de Vidro</t>
  </si>
  <si>
    <t>Anestésico Tópico</t>
  </si>
  <si>
    <t>Anestésico Sol</t>
  </si>
  <si>
    <t>Agulha Descartável</t>
  </si>
  <si>
    <t>Base hidrox. cálcio</t>
  </si>
  <si>
    <t xml:space="preserve">Ponta seringa </t>
  </si>
  <si>
    <t>pó</t>
  </si>
  <si>
    <t>liq</t>
  </si>
  <si>
    <t xml:space="preserve"> 1/30</t>
  </si>
  <si>
    <t>Matriz de Aço</t>
  </si>
  <si>
    <t>50 cm</t>
  </si>
  <si>
    <t>6 cm</t>
  </si>
  <si>
    <t>1010 - Núcleo de Preenchimento em Resina Fotopolimerizável</t>
  </si>
  <si>
    <t>12 g</t>
  </si>
  <si>
    <t>Resina fotop.</t>
  </si>
  <si>
    <t>1020 - Núcleo de Preencimento em Amálgama</t>
  </si>
  <si>
    <t>Base hidrox de cálcio</t>
  </si>
  <si>
    <t>1/16</t>
  </si>
  <si>
    <t xml:space="preserve">1030 - Ajuste Oclusal (por sessão) </t>
  </si>
  <si>
    <t>Carbono p/ Articul.</t>
  </si>
  <si>
    <t>Ponta Abrasiva</t>
  </si>
  <si>
    <t>Broca Laminada</t>
  </si>
  <si>
    <t>2/15</t>
  </si>
  <si>
    <t xml:space="preserve">1040 -  Retentor Intrarradicular </t>
  </si>
  <si>
    <t>Brocas</t>
  </si>
  <si>
    <t>Resina fotopolim.</t>
  </si>
  <si>
    <t>Pontas  Borracha</t>
  </si>
  <si>
    <t>Pino Intraradicular</t>
  </si>
  <si>
    <t xml:space="preserve">1050 -Clareamento de Dente Vitalizado </t>
  </si>
  <si>
    <t>Clareador</t>
  </si>
  <si>
    <t>Pedra Pomes</t>
  </si>
  <si>
    <t>Lençol de Borracha</t>
  </si>
  <si>
    <t>1060 - Restauração Inlay e Onlay (Artglass / Solidex)</t>
  </si>
  <si>
    <t>Rolo de algodão</t>
  </si>
  <si>
    <t>Broca adiam.p/acabam.</t>
  </si>
  <si>
    <t>2/10</t>
  </si>
  <si>
    <t>Cimento fix. Variolink</t>
  </si>
  <si>
    <t>Verniz cavitário</t>
  </si>
  <si>
    <t>Fio retrator</t>
  </si>
  <si>
    <t>183cm</t>
  </si>
  <si>
    <t>5cm</t>
  </si>
  <si>
    <t>Cera lâmina</t>
  </si>
  <si>
    <t>Silicone  moldagem</t>
  </si>
  <si>
    <t>Discos de lixa</t>
  </si>
  <si>
    <t>200g</t>
  </si>
  <si>
    <t>Gesso pedra</t>
  </si>
  <si>
    <t>Isolante para gesso</t>
  </si>
  <si>
    <t>Pino para troquel</t>
  </si>
  <si>
    <t>Discos de borracha</t>
  </si>
  <si>
    <t>Índice de risco 20%</t>
  </si>
  <si>
    <t>Tempo: 140 min</t>
  </si>
  <si>
    <t>(+) 20% risco</t>
  </si>
  <si>
    <t xml:space="preserve">( = )  Valor Final  </t>
  </si>
  <si>
    <t>1070 - Clareamento dental com moldeira de uso caseiro - para dentes vitalizados e desvitalizados</t>
  </si>
  <si>
    <t>Por arcada</t>
  </si>
  <si>
    <t>8</t>
  </si>
  <si>
    <t>Gesso Pedra</t>
  </si>
  <si>
    <t>1080 - Restauração Metálica Fundida</t>
  </si>
  <si>
    <t>Base hid de cálcio</t>
  </si>
  <si>
    <t>Broca diam.p/acabam</t>
  </si>
  <si>
    <t>Cimento fix. Fos.de zn</t>
  </si>
  <si>
    <t>20g</t>
  </si>
  <si>
    <t>1090 - Restauração Temporária</t>
  </si>
  <si>
    <t>2000 - 2990 Endodontia</t>
  </si>
  <si>
    <t>2010 - Tratamento Endodôntico Incisivo ou Canino</t>
  </si>
  <si>
    <t>Cone de gutapercha</t>
  </si>
  <si>
    <t>Cone secundário</t>
  </si>
  <si>
    <t>Cimento obturador</t>
  </si>
  <si>
    <t>Gutapercha bastão</t>
  </si>
  <si>
    <t>Lima</t>
  </si>
  <si>
    <t>Hidrox de cálcio PA</t>
  </si>
  <si>
    <t>0,5g</t>
  </si>
  <si>
    <t>Cursores</t>
  </si>
  <si>
    <t>Quelante</t>
  </si>
  <si>
    <t>1ml</t>
  </si>
  <si>
    <t>Broca Carbide</t>
  </si>
  <si>
    <t>1/3</t>
  </si>
  <si>
    <t xml:space="preserve">Filme </t>
  </si>
  <si>
    <t>Revelador</t>
  </si>
  <si>
    <t>475ml</t>
  </si>
  <si>
    <t>30</t>
  </si>
  <si>
    <t>Fixador</t>
  </si>
  <si>
    <t>Broca Gates</t>
  </si>
  <si>
    <t>Broca macsp.</t>
  </si>
  <si>
    <t>1/4</t>
  </si>
  <si>
    <t>Broca Lentulo</t>
  </si>
  <si>
    <t>Espaçador Digital</t>
  </si>
  <si>
    <t>1/5</t>
  </si>
  <si>
    <t>2020 - Tratamento Endodôntico Pré-Molar</t>
  </si>
  <si>
    <t>40m</t>
  </si>
  <si>
    <t>150ml</t>
  </si>
  <si>
    <t>12</t>
  </si>
  <si>
    <t>Hidrox. cálcio PA</t>
  </si>
  <si>
    <t xml:space="preserve">Lentulo </t>
  </si>
  <si>
    <t>Broca de Gates</t>
  </si>
  <si>
    <t>30ml</t>
  </si>
  <si>
    <t>2030 - Tratamento Endodôntico Molar</t>
  </si>
  <si>
    <t>x8</t>
  </si>
  <si>
    <t>80cm</t>
  </si>
  <si>
    <t>200ml</t>
  </si>
  <si>
    <t>24</t>
  </si>
  <si>
    <t>1,5g</t>
  </si>
  <si>
    <t>14</t>
  </si>
  <si>
    <t>2040 - Retratamento Endodôntico Incisivo ou Canino</t>
  </si>
  <si>
    <t>Eucaliptol</t>
  </si>
  <si>
    <t>2050 - Retratamento Endodôntico Pré-Molar</t>
  </si>
  <si>
    <t>1,5ml</t>
  </si>
  <si>
    <t>¼</t>
  </si>
  <si>
    <t>Pontas Diamantadas</t>
  </si>
  <si>
    <t>2060 - Retratamento Endodôntico Molar</t>
  </si>
  <si>
    <t>40</t>
  </si>
  <si>
    <t>2070 - Tratamento de Perfuração</t>
  </si>
  <si>
    <t>1lt</t>
  </si>
  <si>
    <t>Hidrox. de Ca P.A.</t>
  </si>
  <si>
    <t>Vitremer</t>
  </si>
  <si>
    <t>9g</t>
  </si>
  <si>
    <t>2080 - Remoção de Núcleo Intrarradicular (por elemento)</t>
  </si>
  <si>
    <t>1 Par</t>
  </si>
  <si>
    <t xml:space="preserve">Broca transmetal </t>
  </si>
  <si>
    <t>2090 - Capeamento Pulpar (excluindo restauração final)</t>
  </si>
  <si>
    <t>10m</t>
  </si>
  <si>
    <t>2100 - Pulpotomia</t>
  </si>
  <si>
    <t>60cm</t>
  </si>
  <si>
    <t>3ml</t>
  </si>
  <si>
    <t>Otosporin</t>
  </si>
  <si>
    <t>2110 - Clareação Interna ( por elemento )</t>
  </si>
  <si>
    <t>Endoperox</t>
  </si>
  <si>
    <t>1,ml</t>
  </si>
  <si>
    <t>2120 - Preparo Para Núcleo Intrarradicular</t>
  </si>
  <si>
    <t>Brocas de peezo</t>
  </si>
  <si>
    <t>Brocas de Gates</t>
  </si>
  <si>
    <t>Cursosres</t>
  </si>
  <si>
    <t>2130 - Tratamento de Dentes com Rizogênese Incompleta (por sessão)</t>
  </si>
  <si>
    <t>Hidróx. de cálcio PA</t>
  </si>
  <si>
    <t>Broca carbide</t>
  </si>
  <si>
    <t>2140 - Urgência Endo. - Pulpectomia (independente da sequência do tratamento)</t>
  </si>
  <si>
    <t>Hidróx. Cálcio PA</t>
  </si>
  <si>
    <t>10g1g</t>
  </si>
  <si>
    <t>2150 - Apicetomia de Caninos ou Incisivos</t>
  </si>
  <si>
    <t>Anestésico solução</t>
  </si>
  <si>
    <t>Broca cirúrgica</t>
  </si>
  <si>
    <t>6/60</t>
  </si>
  <si>
    <t>2160 - Apicetomia de Caninos ou Incisivos - Com Obturação Retrógrada</t>
  </si>
  <si>
    <t>Cimento (MPA)</t>
  </si>
  <si>
    <t>2170 - Apicetomia de Pré-Molares</t>
  </si>
  <si>
    <t>2180 - Apicetomia de Pré-Molares - Com obturação retrógrada</t>
  </si>
  <si>
    <t>2190 - Apicetomia de Molares</t>
  </si>
  <si>
    <t>2200 - Apicetomia de Molares - Com obturação retrógrada</t>
  </si>
  <si>
    <t>2210 - Remoção de Corpo Estranho Intracanal Por Conduto</t>
  </si>
  <si>
    <t>2220 - Curativo de Demora</t>
  </si>
  <si>
    <r>
      <rPr>
        <b val="1"/>
        <sz val="10"/>
        <color indexed="8"/>
        <rFont val="Arial"/>
      </rPr>
      <t>OBS:</t>
    </r>
    <r>
      <rPr>
        <sz val="10"/>
        <color indexed="8"/>
        <rFont val="Arial"/>
      </rPr>
      <t xml:space="preserve"> Até 2 vezes para o mesmo dente.</t>
    </r>
  </si>
  <si>
    <t xml:space="preserve">2230 - Reembasamento Provisório </t>
  </si>
  <si>
    <t>20m</t>
  </si>
  <si>
    <t>Disco de lixa</t>
  </si>
  <si>
    <t>Acrílico pó líquido</t>
  </si>
  <si>
    <t>Temp. Bond</t>
  </si>
  <si>
    <t>Pedra Trimers</t>
  </si>
  <si>
    <t>Disco de borracha</t>
  </si>
  <si>
    <t>2240 - Restauração Temporária</t>
  </si>
  <si>
    <t>3000 - 3990 Periodontia</t>
  </si>
  <si>
    <t>3010 - Tratamento Não Cirúrgico da Periodontite Leve (por segmento) - Baixo Risco</t>
  </si>
  <si>
    <t>1,50</t>
  </si>
  <si>
    <r>
      <rPr>
        <b val="1"/>
        <sz val="10"/>
        <color indexed="8"/>
        <rFont val="Arial"/>
      </rPr>
      <t>OBS:</t>
    </r>
    <r>
      <rPr>
        <sz val="10"/>
        <color indexed="8"/>
        <rFont val="Arial"/>
      </rPr>
      <t xml:space="preserve"> Bolsa de até 4 mm.</t>
    </r>
  </si>
  <si>
    <t>3020 - Tratamento Não Cirúrgico da Periodontite Moderada (por segmento) - Médio Risco</t>
  </si>
  <si>
    <r>
      <rPr>
        <b val="1"/>
        <sz val="10"/>
        <color indexed="8"/>
        <rFont val="Arial"/>
      </rPr>
      <t>OBS</t>
    </r>
    <r>
      <rPr>
        <sz val="10"/>
        <color indexed="8"/>
        <rFont val="Arial"/>
      </rPr>
      <t>: Bolsa acima de 4 mm até 6 mm.</t>
    </r>
  </si>
  <si>
    <t>3030 - Tratamento Não Cirúrgico da Periodontite Grave (por segmento) - Alto Risco</t>
  </si>
  <si>
    <r>
      <rPr>
        <b val="1"/>
        <sz val="10"/>
        <color indexed="8"/>
        <rFont val="Arial"/>
      </rPr>
      <t>OBS:</t>
    </r>
    <r>
      <rPr>
        <sz val="10"/>
        <color indexed="8"/>
        <rFont val="Arial"/>
      </rPr>
      <t xml:space="preserve"> Bolsa acima de 6 mm.</t>
    </r>
  </si>
  <si>
    <t>3040 - Tratamento de Processo Agudo (por sessão)</t>
  </si>
  <si>
    <t>Rifocina</t>
  </si>
  <si>
    <t>3050 - Controle de Placa Bacteriana (por sessão)</t>
  </si>
  <si>
    <t>3060 - Dessensibilização Dentária (por segmento)</t>
  </si>
  <si>
    <t>Oxagel</t>
  </si>
  <si>
    <t>1,15</t>
  </si>
  <si>
    <t>3070 - Imobilização Dentária Com Resina Fotopolimerizável (3 dentes)</t>
  </si>
  <si>
    <t xml:space="preserve">Rezina fotopol. </t>
  </si>
  <si>
    <t>Fio de Nylon</t>
  </si>
  <si>
    <t>1m</t>
  </si>
  <si>
    <t>Rolos de Algodão</t>
  </si>
  <si>
    <t>1 kit</t>
  </si>
  <si>
    <t xml:space="preserve">3080 - Ajuste Oclusal (por sessão) </t>
  </si>
  <si>
    <t>Ponta abrasiva</t>
  </si>
  <si>
    <t>3090 - Remoção de Fatores de Retenção</t>
  </si>
  <si>
    <t>Tira de lixa metal</t>
  </si>
  <si>
    <t>Tira de lixa de papel</t>
  </si>
  <si>
    <t>3100 - Placa de Mordida Miorrelaxante</t>
  </si>
  <si>
    <t>Godiva baixa fusão</t>
  </si>
  <si>
    <t>Pasta moldagem</t>
  </si>
  <si>
    <t>120g</t>
  </si>
  <si>
    <t>3110 - Proservação Pré-Cirúrgica (por segmento)</t>
  </si>
  <si>
    <t>3120 - Gengivectomia (por segmento)</t>
  </si>
  <si>
    <t>15</t>
  </si>
  <si>
    <t>3130 - Cirurgia Retalho (por segmento)</t>
  </si>
  <si>
    <t>3/15</t>
  </si>
  <si>
    <t>3140 - Sepultamento Radicular (por raiz)</t>
  </si>
  <si>
    <t>Broca cirurgica</t>
  </si>
  <si>
    <t>3150 - Cunha Distal (Por elemento)</t>
  </si>
  <si>
    <t>3160 - Extensão de Vestíbulo (por segmento)</t>
  </si>
  <si>
    <t>Broca ciurgica</t>
  </si>
  <si>
    <t>3170 - Enxerto Pediculado (por elemento)</t>
  </si>
  <si>
    <t>Ácido Cítrico PH1</t>
  </si>
  <si>
    <t>5ml</t>
  </si>
  <si>
    <t>3180 - Enxerto Livre (por elemento)</t>
  </si>
  <si>
    <t>Ácido Cítrico PH 1</t>
  </si>
  <si>
    <t>3190 –  Enxerto Conjuntivo Subepitelial (por elemento)</t>
  </si>
  <si>
    <t>30 cm</t>
  </si>
  <si>
    <t>Ácido cíitrico</t>
  </si>
  <si>
    <t>3200 – Frenulectomia ou Bridectomia</t>
  </si>
  <si>
    <t>3210 - Odonto-Secção (por elemento)</t>
  </si>
  <si>
    <t>3220 – Amputação Radicular sem Obturação Retrógrada - Por raiz</t>
  </si>
  <si>
    <t>3230 – Amputação Radicular com Obturação Retrógrada – Por raiz</t>
  </si>
  <si>
    <t>3240 - Manutenção do Tratamento Cirúrgico</t>
  </si>
  <si>
    <t xml:space="preserve">3250 –  Tratamento Periodontal de Manutenção para Periodontite Leve - 6 em 6 meses </t>
  </si>
  <si>
    <t>Pasta Profilática</t>
  </si>
  <si>
    <t>Taça de Boarracha</t>
  </si>
  <si>
    <t xml:space="preserve">3260 –  Tratamento Periodontal de Manutenção para Periodontite Moderada - 4 em 4 meses </t>
  </si>
  <si>
    <t xml:space="preserve">3270 –  Tratamento Periodontal de Manutenção para Periodontite Grave - 2 em 2 meses </t>
  </si>
  <si>
    <t>3280 - Aumento de Coroa Clínica (por elemento)</t>
  </si>
  <si>
    <t>3290 - Tratamento Regenerativo com uso de Barreira</t>
  </si>
  <si>
    <t>3/7,50</t>
  </si>
  <si>
    <t>1/7,50</t>
  </si>
  <si>
    <t>Membrana</t>
  </si>
  <si>
    <t>3300 - Tratamento Regenerativo com Enxerto de Osso Autógeno</t>
  </si>
  <si>
    <t>3310 - Tratamento Regenerativo com Materiais Enxertantes</t>
  </si>
  <si>
    <t>Osso Liofilizado</t>
  </si>
  <si>
    <t>3320 - Manutenção do Tratamento Cirúrgico Relacionada a Procedimentos Regenerativos (por sessão)</t>
  </si>
  <si>
    <r>
      <rPr>
        <b val="1"/>
        <sz val="10"/>
        <color indexed="8"/>
        <rFont val="Arial"/>
      </rPr>
      <t>OBS</t>
    </r>
    <r>
      <rPr>
        <sz val="10"/>
        <color indexed="8"/>
        <rFont val="Arial"/>
      </rPr>
      <t>: Tratamento cirúrgico regenerativo requer em média 4 sessões de manutenção.</t>
    </r>
  </si>
  <si>
    <t>3330 - Restauração Temporária</t>
  </si>
  <si>
    <t>4000 - 4990 Prótese</t>
  </si>
  <si>
    <t>4010 - Planejamento em Prótese (modelos de estudo - Par montagem em articulador semi-ajustável.)</t>
  </si>
  <si>
    <t xml:space="preserve">4020 - Enceramento de Diagnóstico (por elemento) </t>
  </si>
  <si>
    <t xml:space="preserve">4030 - Ajuste Oclusal (por sessão) </t>
  </si>
  <si>
    <t>4040 - Restauração Metálica Fundida</t>
  </si>
  <si>
    <t>4050 - Restauração Inlay e Onlay de Porcelana</t>
  </si>
  <si>
    <t>4060 - Remoção de Restaurações Metálicas ou Coroas</t>
  </si>
  <si>
    <t>4070 - Recolocação de Restauração Metálica Fundida ou Coroas</t>
  </si>
  <si>
    <t>Cimento fix.fos.de zn</t>
  </si>
  <si>
    <t>4080 - Núcleo Metálico Fundido</t>
  </si>
  <si>
    <t>2/40</t>
  </si>
  <si>
    <t>Broca de peezo</t>
  </si>
  <si>
    <t>Brocas de gates</t>
  </si>
  <si>
    <t>Núcleo</t>
  </si>
  <si>
    <t>Acrílico pó/liq</t>
  </si>
  <si>
    <t>Cimento fosf. de Zn</t>
  </si>
  <si>
    <t>4090 - Coroa Provisória</t>
  </si>
  <si>
    <t>Dente acrílico</t>
  </si>
  <si>
    <t>4100 - Coroa Provisória Prensada em Resina</t>
  </si>
  <si>
    <t>Silicone moldagem</t>
  </si>
  <si>
    <t xml:space="preserve">Disco de borracha </t>
  </si>
  <si>
    <t>4110 - Reembasamento de Provisório</t>
  </si>
  <si>
    <t>4120 - Coroa de Jaqueta Acrílica</t>
  </si>
  <si>
    <t>x 4</t>
  </si>
  <si>
    <t>4130 - Coroa de Jaqueta de Cerâmica Pura</t>
  </si>
  <si>
    <t>1,/30</t>
  </si>
  <si>
    <t>Índice de risco 30%</t>
  </si>
  <si>
    <t>(+) 30% risco</t>
  </si>
  <si>
    <t xml:space="preserve">4140 - Coroa Metalo-Cerâmica            </t>
  </si>
  <si>
    <t>Índice de risco 15%</t>
  </si>
  <si>
    <t>(+) 15% risco</t>
  </si>
  <si>
    <t>4150 - Coroa de Veneer</t>
  </si>
  <si>
    <t>4160 - Coroa Total Metálica</t>
  </si>
  <si>
    <t>Índice de risco 10%</t>
  </si>
  <si>
    <t>(+) 10% risco</t>
  </si>
  <si>
    <t xml:space="preserve">4170 - Coroa 3/4 ou 4/5             </t>
  </si>
  <si>
    <t>4180 - Facetas Laminadas de Porcelana</t>
  </si>
  <si>
    <t>4190 - Prótese Fixa em Metalo Cerâmica (por elemento)</t>
  </si>
  <si>
    <t>Cimento fix. fos.de zn</t>
  </si>
  <si>
    <t>4200 - Prótese Fixa em Metalo Plástica (por elemento)</t>
  </si>
  <si>
    <t>4210 - Prótese Fixa Adesiva Direta (por elemento)</t>
  </si>
  <si>
    <t>Dente de acrílico</t>
  </si>
  <si>
    <t>Pontas abrasivas</t>
  </si>
  <si>
    <t>4220 - Prótese Fixa Adesiva Indireta em Metalo Cerâmica (3 elementos)</t>
  </si>
  <si>
    <t>90cm</t>
  </si>
  <si>
    <t>x 8</t>
  </si>
  <si>
    <t>80m</t>
  </si>
  <si>
    <t>4230 - Prótese Fixa Adesiva Indireta em Metalo Plástica (3 elementos)</t>
  </si>
  <si>
    <t>4240 - Prótese Parcial Removível Provisória em Acrílico Com ou Sem Grampos</t>
  </si>
  <si>
    <t>Disco carborudium</t>
  </si>
  <si>
    <t>4250 - Prótese Parcial Removível Com Grampos Bilateral</t>
  </si>
  <si>
    <t>4260 - Prótese Parcial Removível Para Encaixes</t>
  </si>
  <si>
    <t>4270 - Encaixe Fêmea (por elemento)</t>
  </si>
  <si>
    <t>4280 - Encaixe Macho (por elemento)</t>
  </si>
  <si>
    <t>4290 - Reembasamento de Prótese Total ou Parcial</t>
  </si>
  <si>
    <t xml:space="preserve">4300 - Prótese Total </t>
  </si>
  <si>
    <t>Moldeira individual</t>
  </si>
  <si>
    <t>4310 - Prótese Total Caracterizada</t>
  </si>
  <si>
    <t>4320 - Prótese Total Imediata</t>
  </si>
  <si>
    <t>4330 - Casquete de Moldagem</t>
  </si>
  <si>
    <t>Acrílico</t>
  </si>
  <si>
    <t>25g</t>
  </si>
  <si>
    <t>4340 - Ponto de Solda</t>
  </si>
  <si>
    <t>4350 – Guia Cirurgico Para Prótese Imediata</t>
  </si>
  <si>
    <t>4360 - Placa de Mordida Miorrelaxante e/ou Protetor Bucal</t>
  </si>
  <si>
    <t>4370 - Jig ou Front Platô</t>
  </si>
  <si>
    <t>4380 - Conserto em Prótese Total ou Parcial</t>
  </si>
  <si>
    <t>4390 - Reparo ou Substituição de Dentes em Prótese Total ou Parcial</t>
  </si>
  <si>
    <t>Acrílico pó/liq.</t>
  </si>
  <si>
    <t>4400 - Clareamento dental em consultório - Técnica com peróxido de carbamida a 35% por dente</t>
  </si>
  <si>
    <t>Fio Dental</t>
  </si>
  <si>
    <t>4410 - Clareamento dental com moldeira de uso caseiro - para dentes vitalizados e desvitalizados</t>
  </si>
  <si>
    <t>4420 - Restauração Inlay e Onlay (Artglass / Solidex)</t>
  </si>
  <si>
    <t>CNCC - Comissão Nacional de Convênios e Credenciamentos</t>
  </si>
  <si>
    <t>4430 - Restauração Livre de Metal</t>
  </si>
  <si>
    <t>4440 - Restauração Temporária</t>
  </si>
  <si>
    <t>5000 - 5990 Cirurgia</t>
  </si>
  <si>
    <t>5010 - Exodontia (por elemento)</t>
  </si>
  <si>
    <t>5020- Exodontia  a  Retalho</t>
  </si>
  <si>
    <t>5030- Exodontia (raiz residual)</t>
  </si>
  <si>
    <t>5040 - Alveoloplastia (por segmento)</t>
  </si>
  <si>
    <t>5050 - Ulotomia</t>
  </si>
  <si>
    <t>Campo sirúrgico</t>
  </si>
  <si>
    <t xml:space="preserve">5060 - Biópsia </t>
  </si>
  <si>
    <t>Formol 10%</t>
  </si>
  <si>
    <t>5070 - Sulcoplastia (por elemento)</t>
  </si>
  <si>
    <t>5080 - Cirurgia Para Torus Palatino</t>
  </si>
  <si>
    <t>5090 - Cirurgia Para Torus Mandibular - Unilateral</t>
  </si>
  <si>
    <t xml:space="preserve">5100 - Cirurgia Para Torus Mandibular - Bilateral </t>
  </si>
  <si>
    <t>5110 - Apicetomia de Caninos ou Incisivos</t>
  </si>
  <si>
    <t>5120 - Apicetomia de Caninos ou Incisivos - Com obturação retrógrada</t>
  </si>
  <si>
    <t>5130 - Apicetomia de Pré-Molares</t>
  </si>
  <si>
    <t>5140 - Apicetomia de Pré-Molares - Com obturação retrógrada</t>
  </si>
  <si>
    <t>5150 - Apicetomia de Molares</t>
  </si>
  <si>
    <t>5160 - Apicetomia de Molares - Com obturação retrógrada</t>
  </si>
  <si>
    <t>5170 – Frenulectomia ou Bridectomia</t>
  </si>
  <si>
    <t>5180 - Remoção de Dentes Inclusos ou Impactados</t>
  </si>
  <si>
    <t>5190 – Cirurgia de Tumores Intra-Ósseos</t>
  </si>
  <si>
    <t>5200 – Tratamento de Lesão Cística (enucleação)</t>
  </si>
  <si>
    <t>5210 –Tratamento de Lesão Cística (marzupialização e enucleação final)</t>
  </si>
  <si>
    <t>5220 - Remoção de Corpo Estranho no Seio Maxilar</t>
  </si>
  <si>
    <t>5230 - Tratamento Cirúrgico de Fístula Buco-Sinusal ou Buco Nasal Com Retalho</t>
  </si>
  <si>
    <t>5240 - Excisão de Glândula Sublingual</t>
  </si>
  <si>
    <t>5250 - Excisão de Glândula Submandibular</t>
  </si>
  <si>
    <t>5260 - Excisão de Glândula Parótida</t>
  </si>
  <si>
    <t xml:space="preserve">5270 - Excisão de Rânula </t>
  </si>
  <si>
    <t>5280 - Excisão de Tumor de Glândula Salivar</t>
  </si>
  <si>
    <t>5290 - Retirada de Cálculo Salivar</t>
  </si>
  <si>
    <t>5300 - Excisão de Mucocele de Desenvolvimento</t>
  </si>
  <si>
    <t>agulha descartável</t>
  </si>
  <si>
    <t>5310 - Drenagem de Abcesso</t>
  </si>
  <si>
    <t>5320 - Ulectomia</t>
  </si>
  <si>
    <t>6010 - Aparelho Ortodôntico Fixo (metálico) - 1 arcada</t>
  </si>
  <si>
    <t>Alastik de Separação</t>
  </si>
  <si>
    <t>Bandas</t>
  </si>
  <si>
    <t>Braquetes metálicos</t>
  </si>
  <si>
    <t>Carbono para articulador</t>
  </si>
  <si>
    <t>Cera protetora ou silicone</t>
  </si>
  <si>
    <t>Cim.de Ionômero de vidro</t>
  </si>
  <si>
    <t>35g</t>
  </si>
  <si>
    <t>1,32g</t>
  </si>
  <si>
    <t>Disco de carborundum</t>
  </si>
  <si>
    <t>1,6m</t>
  </si>
  <si>
    <t>2,5m</t>
  </si>
  <si>
    <t>Fio ortodôntico - média</t>
  </si>
  <si>
    <t>Ligadura elástica - módulo</t>
  </si>
  <si>
    <t>Marcador de fio (palito)</t>
  </si>
  <si>
    <t>Protetor para ortodontia</t>
  </si>
  <si>
    <t>Resina fotopolimerizável p/ Ortodontia</t>
  </si>
  <si>
    <t>8g</t>
  </si>
  <si>
    <t>0,2g</t>
  </si>
  <si>
    <t>Tubo lingual</t>
  </si>
  <si>
    <t>Tubo triplo</t>
  </si>
  <si>
    <t>(x) Custo Fixo</t>
  </si>
  <si>
    <t>(+) Custo Variável</t>
  </si>
  <si>
    <t xml:space="preserve">             (=) Valor Final</t>
  </si>
  <si>
    <t>20'</t>
  </si>
  <si>
    <t>separação de 4 dentes (6 e7)</t>
  </si>
  <si>
    <t>1 sessão</t>
  </si>
  <si>
    <t>100'</t>
  </si>
  <si>
    <t>bandagem de 4 dentes (6 e 7)</t>
  </si>
  <si>
    <t>2 sessões</t>
  </si>
  <si>
    <t>60'</t>
  </si>
  <si>
    <t>colagem de 10 dentes (5-5)</t>
  </si>
  <si>
    <t>Total de sessões</t>
  </si>
  <si>
    <t>6020 - Aparelho Ortodôntico Fixo Estético - 1 arcada</t>
  </si>
  <si>
    <t>Braquetes estéticos</t>
  </si>
  <si>
    <t>Fio ortod.estético - média</t>
  </si>
  <si>
    <t>Resina foto. p/ Ortodontia</t>
  </si>
  <si>
    <t xml:space="preserve">                      (=) Valor Final</t>
  </si>
  <si>
    <t>6030 - Manutenção de aparelho ortodôntico</t>
  </si>
  <si>
    <t>Cadeia elástica</t>
  </si>
  <si>
    <t>4,5m</t>
  </si>
  <si>
    <t>Caixa para elásticos</t>
  </si>
  <si>
    <t>1./2</t>
  </si>
  <si>
    <t>Elástico intra-oral</t>
  </si>
  <si>
    <t>100</t>
  </si>
  <si>
    <t>1./30</t>
  </si>
  <si>
    <t>Profi.Ultrasom (bicarbon.)</t>
  </si>
  <si>
    <t>Índice de Risco = 20%</t>
  </si>
  <si>
    <t>(x)1,44 consultas</t>
  </si>
  <si>
    <t>(=) Valor Total</t>
  </si>
  <si>
    <t>OBS.:</t>
  </si>
  <si>
    <t>1- Índice de risco = 20% devido a recolagem de braquetes, recimentação de banda ortodôntica</t>
  </si>
  <si>
    <t xml:space="preserve">    e confecção de banda ortodôntica.</t>
  </si>
  <si>
    <t>2- 1,44 Consultas = média de consultas anuais, levando em consideração 1 consulta a cada</t>
  </si>
  <si>
    <t xml:space="preserve">    3 semanas, perfazendo um total de 17,33 consultas anuais, dividindo por 12 meses.</t>
  </si>
  <si>
    <t>6040 - Placa Lábio-ativa</t>
  </si>
  <si>
    <t>Caixa para aparelho removível</t>
  </si>
  <si>
    <t>Cim. Ionômero de vidro</t>
  </si>
  <si>
    <t>0,66g</t>
  </si>
  <si>
    <t>1,5m</t>
  </si>
  <si>
    <t>Placa lábio-ativa com gancho</t>
  </si>
  <si>
    <t xml:space="preserve">                (=) Valor Final</t>
  </si>
  <si>
    <t>10'</t>
  </si>
  <si>
    <t>separação de 2 dentes</t>
  </si>
  <si>
    <t>50'</t>
  </si>
  <si>
    <t>bandagem de 2 dentes</t>
  </si>
  <si>
    <t>45'</t>
  </si>
  <si>
    <t>confecção, instalação</t>
  </si>
  <si>
    <t>6050 - Aparelho Extra-bucal</t>
  </si>
  <si>
    <t>Aparelho Extra-bucal</t>
  </si>
  <si>
    <t>Bolsa para aparelho extra-bucal</t>
  </si>
  <si>
    <t>Cim.Ionômero de vidro</t>
  </si>
  <si>
    <t>1,2m</t>
  </si>
  <si>
    <t>Tala com tracionador e trava de segur.</t>
  </si>
  <si>
    <t>6060 - Arco Lingual</t>
  </si>
  <si>
    <t>x6</t>
  </si>
  <si>
    <t>bandagem de 2 dentes e moldagem</t>
  </si>
  <si>
    <t>30'</t>
  </si>
  <si>
    <t>instalação</t>
  </si>
  <si>
    <t>6070 - Botão de Nance</t>
  </si>
  <si>
    <t>Cimento Ionômero vidro</t>
  </si>
  <si>
    <t xml:space="preserve">                  (=) Valor Final</t>
  </si>
  <si>
    <t>6080 - Barra Transpalatina Fixa</t>
  </si>
  <si>
    <t>Cim. Ionômero vidro</t>
  </si>
  <si>
    <t>6090 - Barra Transpalatina Removível</t>
  </si>
  <si>
    <t>Barra Transpal.pré-fabric.</t>
  </si>
  <si>
    <t>0,80cm</t>
  </si>
  <si>
    <t xml:space="preserve">                    (=) Valor Final</t>
  </si>
  <si>
    <t>bandagem de 2 dentes e instalação</t>
  </si>
  <si>
    <t>6100 - Quadrihélice</t>
  </si>
  <si>
    <t>6110 - Grade Palatina Fixa</t>
  </si>
  <si>
    <t>6120 - Pendulum de Hilgers com mola de TMA</t>
  </si>
  <si>
    <t>Fresa p/ desgaste de resina acrílica</t>
  </si>
  <si>
    <t>0.02</t>
  </si>
  <si>
    <t>Broca p/ desgaste de resina composta</t>
  </si>
  <si>
    <t>0.015</t>
  </si>
  <si>
    <t>0,1g</t>
  </si>
  <si>
    <t>Lab. - mola de TMA</t>
  </si>
  <si>
    <t>Lab. - Botão de Nance</t>
  </si>
  <si>
    <t>6130 - Pendex de Hilgers com mola de TMA</t>
  </si>
  <si>
    <t>Fresa desg.resina acrílica</t>
  </si>
  <si>
    <t>Broca desg.res.composta</t>
  </si>
  <si>
    <t>Lab. - disjuntor de Haas</t>
  </si>
  <si>
    <t>6140 - Distalizador de molar, tipo Jones Jig</t>
  </si>
  <si>
    <t>Aparelho Jones Jig (par)</t>
  </si>
  <si>
    <t>Braquetes para soldagem</t>
  </si>
  <si>
    <t>Broca desg. res.composta</t>
  </si>
  <si>
    <t>Lab.(Botão de Nance)</t>
  </si>
  <si>
    <t>6150 - Herbst Encapsulado</t>
  </si>
  <si>
    <t>Moldagem e registros</t>
  </si>
  <si>
    <t>Cimentação e ajuste</t>
  </si>
  <si>
    <t>6160 - Máscara Facial - Delaire, Tração Reversa ( Sem o Disjuntor )</t>
  </si>
  <si>
    <t>Bolsa p/ apar.extra-bucal</t>
  </si>
  <si>
    <t>Másc. Facial/Arco reverso</t>
  </si>
  <si>
    <t xml:space="preserve">              (=) Valor Final</t>
  </si>
  <si>
    <t>Instalação e ajustes</t>
  </si>
  <si>
    <t>6170 - Mentoneira</t>
  </si>
  <si>
    <t>Mentoneira - kit completo</t>
  </si>
  <si>
    <t>6180 - Disjuntor Palatino tipo Haas, Hyrax</t>
  </si>
  <si>
    <t>1,22g</t>
  </si>
  <si>
    <t>6190 - Disjuntor Palatino tipo McNamara, Faltin</t>
  </si>
  <si>
    <t>6200 - Frankel</t>
  </si>
  <si>
    <t>Caixa p/ apar. removível</t>
  </si>
  <si>
    <t xml:space="preserve">           (=)Valor Final</t>
  </si>
  <si>
    <t>moldagem</t>
  </si>
  <si>
    <t>35'</t>
  </si>
  <si>
    <t>registro da mordida e do plano de Camper</t>
  </si>
  <si>
    <t>55'</t>
  </si>
  <si>
    <t>instalação do aparelho</t>
  </si>
  <si>
    <t xml:space="preserve">OBS.: O tratamento ortopédico funcional requer o uso médio de 3 aparelhos durante a Terapia, devendo portanto </t>
  </si>
  <si>
    <t>o valor final ser multiplicado por 3.</t>
  </si>
  <si>
    <t>6210 - Bimler</t>
  </si>
  <si>
    <t>Fresa para desgaste de resina acrílica</t>
  </si>
  <si>
    <t>6220 - Planas</t>
  </si>
  <si>
    <t>Caixa para apar.removível</t>
  </si>
  <si>
    <t>Luvas - par</t>
  </si>
  <si>
    <t>6230 - Aparelho Removível com alça de Bionator invertida</t>
  </si>
  <si>
    <t>6240 - Aparelho Removível com alça de Escheler</t>
  </si>
  <si>
    <t>6250 - Bionator de Balters</t>
  </si>
  <si>
    <t>6260 - Placa Dupla de Sanders</t>
  </si>
  <si>
    <t>6270 - Aparelho de Thurow</t>
  </si>
  <si>
    <t>Casquete de tração alta</t>
  </si>
  <si>
    <t xml:space="preserve">    (=) Valor Final</t>
  </si>
  <si>
    <t>6280 - Placa de Hawley</t>
  </si>
  <si>
    <t>6290 - Placa de Hawley com torno expansor</t>
  </si>
  <si>
    <t>6300 - Grade Palatina Removível</t>
  </si>
  <si>
    <t>Caixa apar. removível</t>
  </si>
  <si>
    <t>4 – VRPO - Valores Referenciais para Procedimentos Odontológicos</t>
  </si>
  <si>
    <t>CATEGORIA DE SERVIÇOS</t>
  </si>
  <si>
    <t>CÓDIGO</t>
  </si>
  <si>
    <t>2000 – 2990 ENDODONTIA</t>
  </si>
  <si>
    <t>0 – Diagnóstico</t>
  </si>
  <si>
    <t>100 - 490</t>
  </si>
  <si>
    <t>2010 Tratamento Endodôntico de Incisivo / Canino</t>
  </si>
  <si>
    <t>1 – Prevenção</t>
  </si>
  <si>
    <t>500 - 590</t>
  </si>
  <si>
    <t>2020 Tratamento Endodôntico de Pré-Molar</t>
  </si>
  <si>
    <t>2 – Odontopediatria</t>
  </si>
  <si>
    <t xml:space="preserve"> 600 – 890</t>
  </si>
  <si>
    <t>2030 Tratamento Endodôntico de Molar</t>
  </si>
  <si>
    <t>3 – Dentística</t>
  </si>
  <si>
    <t>900 –1990</t>
  </si>
  <si>
    <t>2040 Retratamento Endodôntico de Incisivo/Canino</t>
  </si>
  <si>
    <t>4 – Endodontia</t>
  </si>
  <si>
    <t>2000 - 2990</t>
  </si>
  <si>
    <t>2050 Retratamento Endodôntico de Pré-Molar</t>
  </si>
  <si>
    <t>5 – Periodontia</t>
  </si>
  <si>
    <t>3000 – 3990</t>
  </si>
  <si>
    <t>2060 Retratamento Endodôntico de Molar</t>
  </si>
  <si>
    <t>6 – Prótese</t>
  </si>
  <si>
    <t>4000 - 4990</t>
  </si>
  <si>
    <t>2070 Tratamento de Perfuração</t>
  </si>
  <si>
    <t>7 – Cirurgia</t>
  </si>
  <si>
    <t>5000 - 5990</t>
  </si>
  <si>
    <t>2080 Remoção de Núcleo Intrarradicular(p/ elem.)</t>
  </si>
  <si>
    <t>8 – Ortodontia</t>
  </si>
  <si>
    <t>6000 - 6990</t>
  </si>
  <si>
    <t>2090 Capeamento Pulpar (excluindo restaur. final)</t>
  </si>
  <si>
    <t>9 - Radiologia</t>
  </si>
  <si>
    <t>200 - 390</t>
  </si>
  <si>
    <t>2100 Pulpotomia</t>
  </si>
  <si>
    <t>2110 Clareação Interna  (por elemento )</t>
  </si>
  <si>
    <t xml:space="preserve">100 - 490 DIAGNÓSTICO                                                                        </t>
  </si>
  <si>
    <t>2120 Preparo Para Núcleo Intrarradicular</t>
  </si>
  <si>
    <t>100 – 190 Exame Clínico</t>
  </si>
  <si>
    <t>2130 Trat. Dentes c/ Rizogênese Imcompleta(por sessão)</t>
  </si>
  <si>
    <t>110 Consulta Inicial: Exame clínico e plano de tratamento</t>
  </si>
  <si>
    <t xml:space="preserve">2140 Urgência Endo.–Pulpect. (indep. da seq. do tratamento) </t>
  </si>
  <si>
    <t>120 Urgência: Noturna, sábado, domingo ou feriados</t>
  </si>
  <si>
    <t>2150 Apicetomia de Caninos ou incisivos</t>
  </si>
  <si>
    <t>130 Avaliação Técnica: Perícia inicial ou final</t>
  </si>
  <si>
    <t>2160 Apicetomia de Caninos ou incisivos c/ obturação retrog.</t>
  </si>
  <si>
    <t>140 Falta a Consulta</t>
  </si>
  <si>
    <t>2170 Apicetomia de pré-molares</t>
  </si>
  <si>
    <t>OBS:Urgência Noturna = dias úteis de 22:00 hs às 06:00 hs.</t>
  </si>
  <si>
    <t>2180 Apicetomia de pré-molares c/ obturação retrógrada</t>
  </si>
  <si>
    <t>2190 Apicetomia de Molares</t>
  </si>
  <si>
    <t>200 - 390  RADIOLOGIA</t>
  </si>
  <si>
    <t>2200 Apicetomia de Molares c/ obturação retrógrada</t>
  </si>
  <si>
    <t>210 Periapical</t>
  </si>
  <si>
    <t>2210 Remoção de Corpo Estranho Intracanal p/ Conduto</t>
  </si>
  <si>
    <t>220 Interproximal (Bite-Wing)</t>
  </si>
  <si>
    <t>2220 Curativo de Demora</t>
  </si>
  <si>
    <t>230 Oclusal</t>
  </si>
  <si>
    <t>2230 Reembasamento Provisório</t>
  </si>
  <si>
    <t>240 Rx Postero-Anterior</t>
  </si>
  <si>
    <t>2240 Restauração Temporária</t>
  </si>
  <si>
    <t>250 Rx da ATM Série Completa (três incidências)</t>
  </si>
  <si>
    <t>260 Panorâmica</t>
  </si>
  <si>
    <t>3000 – 3990 PERIODONTIA</t>
  </si>
  <si>
    <t>270 Telerradiografia Com Traçado Computadorizado</t>
  </si>
  <si>
    <t>3010 Trat. Não Cirúrg. Periodont.e Leve (p/ Seg.) Baixo Risco</t>
  </si>
  <si>
    <t>280 Telerradiografia Sem Traçado Computadorizado</t>
  </si>
  <si>
    <t>3020 Trat. Não Cirúrg. Periodontite Moder.(p/ seg.) Méd. Risco</t>
  </si>
  <si>
    <t>290 Rx da Mão (Carpal)</t>
  </si>
  <si>
    <t>3030 Trat. Não Cirúrg. Periodontite Grave (p/Seg.) Alto Risco</t>
  </si>
  <si>
    <t>300 Modelos Ortodônticos (par)</t>
  </si>
  <si>
    <t>3040 Tratamento de Processo Agudo (p/ sessão)</t>
  </si>
  <si>
    <t>310 Slides (unidade)</t>
  </si>
  <si>
    <t>3050 Controle de Placa Bacteriana (por sessão)</t>
  </si>
  <si>
    <t>320 Fotografia (unidade)</t>
  </si>
  <si>
    <t>3060 Dessensibilização Dentária (por segmento)</t>
  </si>
  <si>
    <t>3070 Imobiliz. Dentár. c/Res. Fotopolimerizável (3 dent.)</t>
  </si>
  <si>
    <t>400 -  490 TESTES E EXAMES DE LABORATÖRIO</t>
  </si>
  <si>
    <t>3080 Ajuste Oclusal (por sessão)</t>
  </si>
  <si>
    <t>410 Teste de Risco de Cárie, ph, Capac.Tampão ou Fluxo Salivar</t>
  </si>
  <si>
    <t>3090 Remoção de Fatores de Retenção</t>
  </si>
  <si>
    <t>OBS: Valor Individual Para Cada Tipo de Teste.</t>
  </si>
  <si>
    <t>3100 Placa de Mordida Miorrelaxante</t>
  </si>
  <si>
    <t>3110 Proservação Pré-Cirúrgica (por segmento)</t>
  </si>
  <si>
    <t>500 - 590   PREVENÇÃO</t>
  </si>
  <si>
    <t>3120 Gengivectomia (por segmento)</t>
  </si>
  <si>
    <t>510 Profilaxia: Polimento coronário (quatro hemiarcadas)</t>
  </si>
  <si>
    <t>3130 Cirurgia Retalho (por segmento)</t>
  </si>
  <si>
    <t>520 Orientação de Higiene Bucal</t>
  </si>
  <si>
    <t>3140 Sepultamento Radicular (por raiz)</t>
  </si>
  <si>
    <t>530 Aplicação Tópica de Flúor (excluindo profilaxia)</t>
  </si>
  <si>
    <t>3150 Cunha Distal (p/ elemento)</t>
  </si>
  <si>
    <t>540 Controle de Placa Bacteriana (por sessão)</t>
  </si>
  <si>
    <t>3160 Extensão de Vestíbulo ( por segmento)</t>
  </si>
  <si>
    <t>550 Trat.de Gengivite–Terapêutica básica (2 hemiarcadas)</t>
  </si>
  <si>
    <t>3170 Enxerto Pediculado (por elemento)</t>
  </si>
  <si>
    <t>3180 Enxerto Livre (por elemento)</t>
  </si>
  <si>
    <t>600 - 890   ODONTOPEDIATRIA</t>
  </si>
  <si>
    <t>3190 Enxerto conjuntivo subepitelial (p/ elemento)</t>
  </si>
  <si>
    <t>610 Aplicação Tópica de Flúor-Verniz (4 hemiarcadas)</t>
  </si>
  <si>
    <t>3200 Frenectomia ou Bridectomia</t>
  </si>
  <si>
    <t>620 Aplicação de Selante (por elemento)</t>
  </si>
  <si>
    <t>3210 Odonto-Secção (por elemento)</t>
  </si>
  <si>
    <t>630 Aplicação de Selante-Técnica invasiva (por elemento)</t>
  </si>
  <si>
    <t>3220 Amput. Radicular s/ Obturação Retrogada - por raiz</t>
  </si>
  <si>
    <t>640 Aplicação de Cariostático-1 sessão (4 hemiarcadas)</t>
  </si>
  <si>
    <t>3230 Amput. Radicular c/ Obturaç. Retrogada - por raiz</t>
  </si>
  <si>
    <t>650 Remineralização - Flúorterapia (quatro sessões)</t>
  </si>
  <si>
    <t>3240 Manutenção do Tratamento Cirurgico</t>
  </si>
  <si>
    <t>660 Adequação do Meio Bucal c/ Ionômero de Vidro (por hemiarcada)</t>
  </si>
  <si>
    <t>3250 Trat. Period. de Manut. p/ Periodontite Leve 6 em 6 meses</t>
  </si>
  <si>
    <t>670 Adequação do Meio Bucal Com IRM (por hemiarcada)</t>
  </si>
  <si>
    <t>3260 Trat. Period. Manut. p/ Periodontite Moderada 4 em 4 m.</t>
  </si>
  <si>
    <t>680 Restauração de Ionômero de Vidro (1 face)</t>
  </si>
  <si>
    <t>3270 Trat. Period. de Manut. p/ Periodontite Grave 2 e 2 meses</t>
  </si>
  <si>
    <t>690 Restauração Preventiva (ionômero + selante)</t>
  </si>
  <si>
    <t>3280 Aumento de Coroa Clínica (p/ elemento)</t>
  </si>
  <si>
    <t>700 Coroa de Aço</t>
  </si>
  <si>
    <t>3290 Trat. Regenerativo com uso de Barreira</t>
  </si>
  <si>
    <t>710 Pulpotomia</t>
  </si>
  <si>
    <t>3300 Trat. Regenerativo com enxerto de osso autógeno</t>
  </si>
  <si>
    <t>720 Tratamento Endodôntico em Decíduos</t>
  </si>
  <si>
    <t>3310 Trat. Regenerativo com materiais enxertantes</t>
  </si>
  <si>
    <t>730 Exodontia de Dentes Decíduos</t>
  </si>
  <si>
    <t>3320 Manut.Tratam.Cirúrg.Relac. Procedim. Regen. p/sessão</t>
  </si>
  <si>
    <t>740 Mantenedor de Espaço</t>
  </si>
  <si>
    <t>3330 Restauração Temporária</t>
  </si>
  <si>
    <t>750 Placa de Mordida</t>
  </si>
  <si>
    <t>OBS: Item 3010 – Bolsas de até 4mm.</t>
  </si>
  <si>
    <t>760 Plano Inclinado</t>
  </si>
  <si>
    <t>Item 3020 – Bolsas acima de 4mm até 6mm.</t>
  </si>
  <si>
    <t>770 Condicionamento em Odontopediatria (por sessão, máximo 2)</t>
  </si>
  <si>
    <t>Item 3030 – Bolsas acima de 6mm.</t>
  </si>
  <si>
    <t>780 Ulotomia</t>
  </si>
  <si>
    <t>Cada Arcada Tem Três Segmentos.</t>
  </si>
  <si>
    <t>790 Ulectomia</t>
  </si>
  <si>
    <t>800 Restauração Temporária</t>
  </si>
  <si>
    <t xml:space="preserve">4000 – 4990 PRÓTESE   </t>
  </si>
  <si>
    <t xml:space="preserve">OBS: A Remineralização (fluorterapia) será realizada de acordo com a avaliação do risco de cárie, do paciente. Em média 4 sessões de flúor. </t>
  </si>
  <si>
    <t>4010 Planej. Prótese (mod.estudo-par, mont.artic. semi-ajustável)</t>
  </si>
  <si>
    <t>4020 Enceramento de Diagnóstico (por elemento)</t>
  </si>
  <si>
    <t>4030 Ajuste Oclusal (por sessão)</t>
  </si>
  <si>
    <t>900 - 1990 DENTÍSTICA</t>
  </si>
  <si>
    <t>4040 Restauração Metálica Fundida</t>
  </si>
  <si>
    <t>910 Restauração de Amálgama - 1 face</t>
  </si>
  <si>
    <t>4050 Restauração Inlay e Onlay de Porcelana</t>
  </si>
  <si>
    <t>920 Restauração de Amálgama - 2 faces</t>
  </si>
  <si>
    <t>4060 Remoção de Restaurações Metálicas ou Coroas</t>
  </si>
  <si>
    <t>930 Restauração de Amálgama - 3 faces</t>
  </si>
  <si>
    <t xml:space="preserve">4070 Recolocação de Restauração Metálica Fundida ou Coroas </t>
  </si>
  <si>
    <t>940 Restauração de Amálgama - 4 faces</t>
  </si>
  <si>
    <t>4080 Núcleo Metálico Fundido</t>
  </si>
  <si>
    <t>950 Restauração de Amálgama Pin</t>
  </si>
  <si>
    <t>4090 Coroa Provisória</t>
  </si>
  <si>
    <t>960 Rest.Resina Fotopolimerizável-Clas I,V ou VI</t>
  </si>
  <si>
    <t>4100 Coroa Provisória Prensada em Resina</t>
  </si>
  <si>
    <t>970 Rest. Resina Fotopolimerizável - Clas III</t>
  </si>
  <si>
    <t>4110 Reembasamento Provisório</t>
  </si>
  <si>
    <t>980 Rest. Resina Fotopolimerizável - Clas II ou IV</t>
  </si>
  <si>
    <t>4120 Coroa de Jaqueta Acrílica</t>
  </si>
  <si>
    <t>990 Faceta em Resina</t>
  </si>
  <si>
    <t>4130 Coroa de Jaqueta de Cerâmica Pura</t>
  </si>
  <si>
    <t>1000 Núcleo de Preench. em Ionômero de Vidro</t>
  </si>
  <si>
    <t>4140 Coroa Metalo Cerâmica</t>
  </si>
  <si>
    <t>1010 Núcleo de Preench.  Res. Fotopolimerizável</t>
  </si>
  <si>
    <t>4150 Coroa de Veneer</t>
  </si>
  <si>
    <t>1020 Núcleo de Preenchimento em Amálgama</t>
  </si>
  <si>
    <t>4160 Coroa Total Metálica</t>
  </si>
  <si>
    <t>1030 Ajuste Oclusal (por sessão)</t>
  </si>
  <si>
    <t>4170 Coroa 3/4 ou 4/5</t>
  </si>
  <si>
    <t>1040 Retentor Intrarradicular</t>
  </si>
  <si>
    <t>4180 Facetas Laminadas de Porcelana</t>
  </si>
  <si>
    <t>1050 Clareamento de Dente Vitalizado</t>
  </si>
  <si>
    <t>4190 Prótese Fixa em Metalo Cerâmica (por elemento)</t>
  </si>
  <si>
    <t>1060 Restauração inlay e onlay (Artglass/Solidex)</t>
  </si>
  <si>
    <t>4200 Prótese Fixa em Metalo Plástica (por elemento)</t>
  </si>
  <si>
    <t>1070 Clareamento dental  mold. uso caseiro dentes vitali. e desvitali. p/ arc.</t>
  </si>
  <si>
    <t>4210 Prótese Fixa Adesiva Direta (p/ elemento)</t>
  </si>
  <si>
    <t>1080 Restauração Metálica Fundida</t>
  </si>
  <si>
    <t xml:space="preserve">4220 Prótese Fixa Adesiva Indireta em Metalo Cerâmica (3 elem.) </t>
  </si>
  <si>
    <t>1090 Restauração Temporária</t>
  </si>
  <si>
    <t>4230 Prótese Fixa Adesiva Indireta em Metalo Plástica (3 elem.)</t>
  </si>
  <si>
    <t>4240 Prót. Parcial Removível Provisór. em Acríl. C/ ou S/ Grampos</t>
  </si>
  <si>
    <t>5540 Reconstrução de Sulco Gengivo-Labial</t>
  </si>
  <si>
    <t>4250 Prótese Parcial Removível Com Grampos Bilateral</t>
  </si>
  <si>
    <t>5550 Excisão em Cunha de Lábio e Sutura</t>
  </si>
  <si>
    <t>4260 Prótese Parcial Removível Para Encaixes</t>
  </si>
  <si>
    <t>5560 Cirurgia de Hipertrofia do Lábio</t>
  </si>
  <si>
    <t>4270 Encaixe Fêmea (por elemento)</t>
  </si>
  <si>
    <t>5570 Cirurgia Para Microstomia</t>
  </si>
  <si>
    <t>4280 Encaixe Macho (por elemento)</t>
  </si>
  <si>
    <t>5580 Redução de Fratura de Ossos Próprios do Nariz</t>
  </si>
  <si>
    <t>4290 Reembasamento de Prótese Total ou Parcial</t>
  </si>
  <si>
    <t xml:space="preserve">5590 Redução Incruenta de Fratura Unilateral de Mandíbula </t>
  </si>
  <si>
    <t>4300 Prótese Total</t>
  </si>
  <si>
    <t>5600 Redução Cruenta de Fratura Unilateral de Mandíbula</t>
  </si>
  <si>
    <t>4310 Prótese Total Caracterizada</t>
  </si>
  <si>
    <t>5610 Redução Incruenta de Fratura Bilateral de Mandíbula</t>
  </si>
  <si>
    <t>4320 Prótese Total Imediata</t>
  </si>
  <si>
    <t>5620 Redução Cruenta de Fratura Bilateral de Mandíbula</t>
  </si>
  <si>
    <t>4330 Casquete de Moldagem</t>
  </si>
  <si>
    <t xml:space="preserve">5630 Redução Cruenta de Fratura Cominutiva de Mandíbula </t>
  </si>
  <si>
    <t>4340 Ponto de Solda</t>
  </si>
  <si>
    <t>5640 Redução  de Fratura de Côndilo Mandibular</t>
  </si>
  <si>
    <t>4350 Guia Cirúrgico Para Prótese Imediata</t>
  </si>
  <si>
    <t>5650 Fraturas Alvéolo-Dentárias - Redução cruenta</t>
  </si>
  <si>
    <t>4360 Placa de Mordida Miorrelaxante e/ou Protetor Bucal</t>
  </si>
  <si>
    <t>5660 Fraturas Alvéolo-Dentárias - Redução Incruenta</t>
  </si>
  <si>
    <t>4370 Jig ou Front-Platô</t>
  </si>
  <si>
    <t>5670 Reimplante  de Dente (por elemento)</t>
  </si>
  <si>
    <t>4380 Conserto  em Prótese Total / Parcial</t>
  </si>
  <si>
    <t xml:space="preserve">5680 Redução Incruenta de Fratura Le Fort I                                                                                </t>
  </si>
  <si>
    <t xml:space="preserve">4390 Reparo ou Substituição de Dentes em Prótese Total ou Parcial </t>
  </si>
  <si>
    <t>5690 Redução Incruenta de Fratura Le Fort II</t>
  </si>
  <si>
    <t>4400 Clareamento dental em consultório- Peróxido carbamida a 35% p/dente</t>
  </si>
  <si>
    <t>5700 Redução Incruenta de Fratura Le Fort III</t>
  </si>
  <si>
    <t>4410 Clareamento dental c/mold.de uso caseiro dentes vitali./desvitali. p/ arc.</t>
  </si>
  <si>
    <t>5710 Redução Cruenta de Fratura Le Fort I</t>
  </si>
  <si>
    <t>4420 Restauração inlay e onlay (Artglass/Solidex)</t>
  </si>
  <si>
    <t>5720 Redução Cruenta de Fratura Le Fort II</t>
  </si>
  <si>
    <t>4430 Restauração Livre de Metal</t>
  </si>
  <si>
    <t>5730 Redução Cruenta de Fratura Le Fort III</t>
  </si>
  <si>
    <t>4440 Restauração Temporária</t>
  </si>
  <si>
    <t>5740 Fraturas Complexas  do Segmento Fixo da Face</t>
  </si>
  <si>
    <t>5750 Frat. Complexas do Seg.da Face c/Fixação Pericraniana</t>
  </si>
  <si>
    <t>5000 – 5990 CIRURGIA</t>
  </si>
  <si>
    <t xml:space="preserve">5760 Frat. do Arco Zigomático-Redução cirúrg. sem fixação </t>
  </si>
  <si>
    <t>5010 Exodontia (por elemento)</t>
  </si>
  <si>
    <t>5770 Frat. de Osso Zigomático-Redução cirúrg. e fixação</t>
  </si>
  <si>
    <t>5020 Exodontia a Retalho</t>
  </si>
  <si>
    <t>5780 Osteoplastia Zigomático - Maxilar</t>
  </si>
  <si>
    <t>5030 Exodontia (raiz residual)</t>
  </si>
  <si>
    <t>5790 Retirada de Fios Intra ou Trans-Ósseo</t>
  </si>
  <si>
    <t>5040 Alveoloplastia ( por segmento )</t>
  </si>
  <si>
    <t xml:space="preserve">5800 Retirada de Bloqueio Maxilo-Mandibular </t>
  </si>
  <si>
    <t>5050 Ulotomia</t>
  </si>
  <si>
    <t>5810 Retirada de Ancoragem e Cerclagens</t>
  </si>
  <si>
    <t>5060 Biópsia</t>
  </si>
  <si>
    <t>5820 Cirurgia de Cisto</t>
  </si>
  <si>
    <t>5070 Sulcoplastia (por elemento)</t>
  </si>
  <si>
    <t>5830 Artroplastia p/ Luxação Rescidivante da ATM</t>
  </si>
  <si>
    <t>5080 Cirurgia Para Torus Palatino</t>
  </si>
  <si>
    <t>5840 Ressecção parcial da mandibula</t>
  </si>
  <si>
    <t>5090 Cirurgia Para Torus Mandibular - Unilateral</t>
  </si>
  <si>
    <t>5850 Ressecção parcial da mand. C/ enxerto ésseo</t>
  </si>
  <si>
    <t>5100 Cirurgia Para Torus Mandibular - Bilateral</t>
  </si>
  <si>
    <t>5860 Hemimandibulectomia</t>
  </si>
  <si>
    <t>5110 Apicetomia de Caninos ou Incisivos</t>
  </si>
  <si>
    <t>5870 Hemimandibulectomia c/ colocação de prótese</t>
  </si>
  <si>
    <t>5120 Apicetomia de Caninos ou Incisivos–Com obturação retrógrada</t>
  </si>
  <si>
    <t>5880 Hemimandibulectomia c/ enxerto ósseo</t>
  </si>
  <si>
    <t>5130 Apicetomia de Pré-Molares</t>
  </si>
  <si>
    <t>5890 Mandibulectomia c/Reconst. a Custa de osteomiocutâneo</t>
  </si>
  <si>
    <t>5140 Apicetomia de Pré-Molares - Com obturação retrógrada</t>
  </si>
  <si>
    <t>5900 Mandibulectomia c/Reconstrução Microcirúrgica</t>
  </si>
  <si>
    <t>5150 Apicetomia de Molares</t>
  </si>
  <si>
    <t>5910 Osteoplastias de Etmóido-Orbitárias</t>
  </si>
  <si>
    <t>5160 Apicetomia de Molares – Com obturação retrógrada</t>
  </si>
  <si>
    <t>5920 Osteoplastias da Mandibula</t>
  </si>
  <si>
    <t>5170 Frenectomia ou Bridectomia</t>
  </si>
  <si>
    <t>5930 Osteoplastias da Órbita</t>
  </si>
  <si>
    <t>5180 Remoção de Dentes Inclusos ou Impactados</t>
  </si>
  <si>
    <t>5940 Ressecção do Meso Infra-Estrutura do Max. Superior</t>
  </si>
  <si>
    <t>5190 Cirurgia de Tumores Intra-Ósseos</t>
  </si>
  <si>
    <t>5950 Ressecção Total de Maxila incl. Exenteração de Órbita</t>
  </si>
  <si>
    <t>5200 Tratamento de Lesão Cística (enucleação)</t>
  </si>
  <si>
    <t>5960 Ressecção do Max. Sup. e Reconst. À custa de Retalhos</t>
  </si>
  <si>
    <t>5210 Trat. de Lesão Cística (marzupialização e enucleação final)</t>
  </si>
  <si>
    <t>OBS: Os itens de 5330 à 5960 foram reproduzidos da tabela da Associação Médica Brasileira - AMB</t>
  </si>
  <si>
    <t>5220 Remoção de Corpo Estranho no Seio Maxilar</t>
  </si>
  <si>
    <t>5230 Trat.Cirúrgico de Fístula Buco-Sinusal / Buco-nasal c/ Retalho</t>
  </si>
  <si>
    <t>6000 – 6990 ORTODONTIA</t>
  </si>
  <si>
    <t>5240 Excisão de Glândula Sublingual</t>
  </si>
  <si>
    <t>6010 Aparelho Ordotôntico Fixo (metalico) - I arcada</t>
  </si>
  <si>
    <t>5250 Excisão de Glândula Submandibular</t>
  </si>
  <si>
    <t>6020 Apar. Ortodont. Fixo Estético (policarboxilato)-I arcada</t>
  </si>
  <si>
    <t>5260 Excisão de Glândula Parótida</t>
  </si>
  <si>
    <t>6030 Manutenção de Aparelho Ortodôntico</t>
  </si>
  <si>
    <t>5270 Excisão de Rânula</t>
  </si>
  <si>
    <t>6040 Placa Lábio-ativa</t>
  </si>
  <si>
    <t>5280 Excisão de Tumor de Glândula Salivar</t>
  </si>
  <si>
    <t>6050 Aparelho Extra-bucal</t>
  </si>
  <si>
    <t>5290 Retirada de Cálculo Salivar</t>
  </si>
  <si>
    <t>6060 Arco Lingual</t>
  </si>
  <si>
    <t>5300 Excisão de Mucocele de Desenvolvimento</t>
  </si>
  <si>
    <t>6070 Botão de Nance</t>
  </si>
  <si>
    <t>5310 Drenagem de Abcesso</t>
  </si>
  <si>
    <t>6080 Barra Transpalatina Fixa</t>
  </si>
  <si>
    <t>5320 Ulectomia</t>
  </si>
  <si>
    <t>6090 Barra Transpalatina Removível</t>
  </si>
  <si>
    <t>5330 Sinusotomia</t>
  </si>
  <si>
    <t>6100 Quadrihélice</t>
  </si>
  <si>
    <t>5340 Plástica do Canal de Stenon</t>
  </si>
  <si>
    <t>6110 Grade Palatina Fixa</t>
  </si>
  <si>
    <t xml:space="preserve">5350 Palentolabioplastia Bilateral </t>
  </si>
  <si>
    <t>6120 Pendulum de Hilgers com mola de TMA</t>
  </si>
  <si>
    <t>5360 Tratamento Cirúrgico do Lábio Leporino</t>
  </si>
  <si>
    <t>6130 Pendex de Hilgers com mola de TMA</t>
  </si>
  <si>
    <t>5370 Reconstr. Parcial do Lábio Traumatizado</t>
  </si>
  <si>
    <t>6140 Distalizador de molar, tipo Jones Jig</t>
  </si>
  <si>
    <t>5380 Reconstr. Total de Lábio Traumatizado</t>
  </si>
  <si>
    <t>6150 Herbst Encapsulado</t>
  </si>
  <si>
    <t>5390 Redução Cirúrgica de Luxação de ATM</t>
  </si>
  <si>
    <t>6160 Máscara Facial - Delaire, Tração Reversa (Sem o Disjuntor)</t>
  </si>
  <si>
    <t>5400 Trat. Cirúrg.p/Anquilose de ATM (por lado)</t>
  </si>
  <si>
    <t>6170 Mentoneira</t>
  </si>
  <si>
    <t>5410 Trat. Cirúrg.p/Osteomielite dos Ossos Face</t>
  </si>
  <si>
    <t>6180 Disjuntor Palatino tipo Haas, Hyrax</t>
  </si>
  <si>
    <t>5420 Excisão de Sutura de Lesão da Boca c/ Rot. de Retalho</t>
  </si>
  <si>
    <t>6190 Disjuntor Palatino tipo McNamara, Faltin</t>
  </si>
  <si>
    <t>5430 Suturas Simples de Face</t>
  </si>
  <si>
    <t>6200 Frankel</t>
  </si>
  <si>
    <t>5440 Suturas Múltiplas de Face</t>
  </si>
  <si>
    <t>6210 Bimler</t>
  </si>
  <si>
    <t>5450 Maxilectomia c/ ou s/ Esvaziamento Orbitário</t>
  </si>
  <si>
    <t>6220 Planas</t>
  </si>
  <si>
    <t>5460 Osteotomia/Osteoplastia de Mandíb.p/ Prognatismo</t>
  </si>
  <si>
    <t>6230 Aparelho Removível com alça de Bionator invertida</t>
  </si>
  <si>
    <t>5470 Osteotomia/Osteoplastia de Mandíb.p/Micrognatismo</t>
  </si>
  <si>
    <t>6240 Aparelho Removível com alça de Escheler</t>
  </si>
  <si>
    <t>5480 Osteotomia/Osteoplastia de Mandíb.p/Laterognostismo</t>
  </si>
  <si>
    <t>6250 Bionator de Balters</t>
  </si>
  <si>
    <t>5490 Osteotomia e Osteoplastia de Maxila Tipo Le Fort I</t>
  </si>
  <si>
    <t>6260 Placa Dupla de Sanders</t>
  </si>
  <si>
    <t>5500 Osteotomia e Osteoplastia de Maxila Tipo Le Fort II</t>
  </si>
  <si>
    <t>6270 Aparelho de Thurow</t>
  </si>
  <si>
    <t>5510 Osteotomia e Osteoplastia de Maxila Tipo Le Fort III</t>
  </si>
  <si>
    <t>6280 Placa de Hawley</t>
  </si>
  <si>
    <t>5520 Reconstr.Total de Mandíb.c/Enxerto Ósseo/Prótese</t>
  </si>
  <si>
    <t>6290 Placa de Hawley com torno expansor</t>
  </si>
  <si>
    <t xml:space="preserve">5530 Reconstr.Parcial de Mandíb.c/Enxerto Ósseo/Prótese </t>
  </si>
  <si>
    <t>6300 Grade Palatina Removível</t>
  </si>
  <si>
    <t>Observação Final:</t>
  </si>
  <si>
    <r>
      <rPr>
        <b val="1"/>
        <sz val="10"/>
        <color indexed="8"/>
        <rFont val="Arial"/>
      </rPr>
      <t>1-</t>
    </r>
    <r>
      <rPr>
        <sz val="10"/>
        <color indexed="8"/>
        <rFont val="Arial"/>
      </rPr>
      <t xml:space="preserve"> Qualquer Cirurgião-Dentista está apto a realizar estes procedimentos odontológicos, conforme a Lei 5081, que regulamenta a profissão do Cirurgião-Dentista.</t>
    </r>
  </si>
  <si>
    <r>
      <rPr>
        <b val="1"/>
        <sz val="10"/>
        <color indexed="8"/>
        <rFont val="Arial"/>
      </rPr>
      <t>2-</t>
    </r>
    <r>
      <rPr>
        <sz val="10"/>
        <color indexed="8"/>
        <rFont val="Arial"/>
      </rPr>
      <t xml:space="preserve"> As  dúvidas  nestes  procedimentos  deverão  ser  esclarecidas  com  a  Comissão  Estadual  de Convênios e Credenciamentos (Sindicato dos  Cirurgiões-Dentistas,  Conselho Regional de  Odontologia, Associação Brasileira de Odontologia) ou com  a  Comissão Nacional  de  Convênios  e  Credenciamentos.</t>
    </r>
  </si>
</sst>
</file>

<file path=xl/styles.xml><?xml version="1.0" encoding="utf-8"?>
<styleSheet xmlns="http://schemas.openxmlformats.org/spreadsheetml/2006/main">
  <numFmts count="13">
    <numFmt numFmtId="0" formatCode="General"/>
    <numFmt numFmtId="59" formatCode="&quot; &quot;* #,##0.00&quot; &quot;;&quot; &quot;* (#,##0.00);&quot; &quot;* &quot;-&quot;??&quot; &quot;"/>
    <numFmt numFmtId="60" formatCode="&quot; &quot;* #,##0.000&quot; &quot;;&quot; &quot;* (#,##0.000);&quot; &quot;* &quot;-&quot;??&quot; &quot;"/>
    <numFmt numFmtId="61" formatCode="&quot;R$&quot;#,##0.00&quot; &quot;;&quot;(R$&quot;#,##0.00)"/>
    <numFmt numFmtId="62" formatCode="&quot; R$&quot;* #,##0.00&quot; &quot;;&quot; R$&quot;* (#,##0.00);&quot; R$&quot;* &quot;-&quot;??&quot; &quot;"/>
    <numFmt numFmtId="63" formatCode="0.000"/>
    <numFmt numFmtId="64" formatCode="&quot; &quot;* #,##0.0000&quot; &quot;;&quot; &quot;* (#,##0.0000);&quot; &quot;* &quot;-&quot;??&quot; &quot;"/>
    <numFmt numFmtId="65" formatCode="#,##0.000&quot; &quot;;(#,##0.000)"/>
    <numFmt numFmtId="66" formatCode="&quot; R$ &quot;* #,##0.00&quot; &quot;;&quot; R$ &quot;* (#,##0.00);&quot; R$ &quot;* &quot;-&quot;??&quot; &quot;"/>
    <numFmt numFmtId="67" formatCode="#,##0.00&quot; &quot;;(#,##0.00)"/>
    <numFmt numFmtId="68" formatCode="#,##0&quot; &quot;;(#,##0)"/>
    <numFmt numFmtId="69" formatCode="0.0"/>
    <numFmt numFmtId="70" formatCode="&quot; &quot;* #,##0&quot; &quot;;&quot; &quot;* (#,##0);&quot; &quot;* &quot;-&quot;??&quot; &quot;"/>
  </numFmts>
  <fonts count="23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Arial"/>
    </font>
    <font>
      <sz val="13"/>
      <color indexed="8"/>
      <name val="Arial"/>
    </font>
    <font>
      <b val="1"/>
      <sz val="12"/>
      <color indexed="8"/>
      <name val="Arial"/>
    </font>
    <font>
      <sz val="12"/>
      <color indexed="8"/>
      <name val="Arial"/>
    </font>
    <font>
      <b val="1"/>
      <sz val="12"/>
      <color indexed="11"/>
      <name val="Arial"/>
    </font>
    <font>
      <b val="1"/>
      <sz val="10"/>
      <color indexed="8"/>
      <name val="Arial"/>
    </font>
    <font>
      <u val="single"/>
      <sz val="10"/>
      <color indexed="8"/>
      <name val="Arial"/>
    </font>
    <font>
      <b val="1"/>
      <sz val="14"/>
      <color indexed="8"/>
      <name val="Arial"/>
    </font>
    <font>
      <sz val="10"/>
      <color indexed="11"/>
      <name val="Arial"/>
    </font>
    <font>
      <b val="1"/>
      <sz val="16"/>
      <color indexed="8"/>
      <name val="Arial"/>
    </font>
    <font>
      <sz val="10"/>
      <color indexed="9"/>
      <name val="Arial"/>
    </font>
    <font>
      <sz val="9"/>
      <color indexed="9"/>
      <name val="Arial"/>
    </font>
    <font>
      <sz val="8"/>
      <color indexed="8"/>
      <name val="Arial"/>
    </font>
    <font>
      <b val="1"/>
      <sz val="9"/>
      <color indexed="8"/>
      <name val="Arial"/>
    </font>
    <font>
      <sz val="9"/>
      <color indexed="8"/>
      <name val="Arial"/>
    </font>
    <font>
      <b val="1"/>
      <sz val="6"/>
      <color indexed="9"/>
      <name val="Arial"/>
    </font>
    <font>
      <b val="1"/>
      <sz val="6"/>
      <color indexed="8"/>
      <name val="Arial"/>
    </font>
    <font>
      <sz val="6"/>
      <color indexed="8"/>
      <name val="Arial"/>
    </font>
    <font>
      <b val="1"/>
      <i val="1"/>
      <sz val="6"/>
      <color indexed="8"/>
      <name val="Arial"/>
    </font>
    <font>
      <sz val="5"/>
      <color indexed="8"/>
      <name val="Arial"/>
    </font>
    <font>
      <b val="1"/>
      <sz val="5"/>
      <color indexed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7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89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0" fontId="4" fillId="2" borderId="1" applyNumberFormat="0" applyFont="1" applyFill="1" applyBorder="1" applyAlignment="1" applyProtection="0">
      <alignment vertical="bottom"/>
    </xf>
    <xf numFmtId="0" fontId="2" fillId="2" borderId="1" applyNumberFormat="0" applyFont="1" applyFill="1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horizontal="right" vertical="bottom"/>
    </xf>
    <xf numFmtId="49" fontId="2" fillId="2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4" fillId="2" borderId="1" applyNumberFormat="0" applyFont="1" applyFill="1" applyBorder="1" applyAlignment="1" applyProtection="0">
      <alignment horizontal="right" vertical="bottom"/>
    </xf>
    <xf numFmtId="0" fontId="5" fillId="2" borderId="1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left" vertical="bottom"/>
    </xf>
    <xf numFmtId="0" fontId="5" fillId="2" borderId="1" applyNumberFormat="0" applyFont="1" applyFill="1" applyBorder="1" applyAlignment="1" applyProtection="0">
      <alignment horizontal="left" vertical="bottom"/>
    </xf>
    <xf numFmtId="0" fontId="2" fillId="2" borderId="2" applyNumberFormat="0" applyFont="1" applyFill="1" applyBorder="1" applyAlignment="1" applyProtection="0">
      <alignment vertical="bottom"/>
    </xf>
    <xf numFmtId="0" fontId="7" fillId="2" borderId="3" applyNumberFormat="0" applyFont="1" applyFill="1" applyBorder="1" applyAlignment="1" applyProtection="0">
      <alignment vertical="bottom"/>
    </xf>
    <xf numFmtId="0" fontId="7" fillId="2" borderId="3" applyNumberFormat="0" applyFont="1" applyFill="1" applyBorder="1" applyAlignment="1" applyProtection="0">
      <alignment horizontal="center" vertical="bottom"/>
    </xf>
    <xf numFmtId="49" fontId="7" fillId="2" borderId="3" applyNumberFormat="1" applyFont="1" applyFill="1" applyBorder="1" applyAlignment="1" applyProtection="0">
      <alignment horizontal="center" vertical="bottom"/>
    </xf>
    <xf numFmtId="0" fontId="2" fillId="2" borderId="4" applyNumberFormat="0" applyFont="1" applyFill="1" applyBorder="1" applyAlignment="1" applyProtection="0">
      <alignment vertical="bottom"/>
    </xf>
    <xf numFmtId="49" fontId="7" fillId="2" borderId="5" applyNumberFormat="1" applyFont="1" applyFill="1" applyBorder="1" applyAlignment="1" applyProtection="0">
      <alignment horizontal="center" vertical="bottom"/>
    </xf>
    <xf numFmtId="49" fontId="7" fillId="2" borderId="5" applyNumberFormat="1" applyFont="1" applyFill="1" applyBorder="1" applyAlignment="1" applyProtection="0">
      <alignment vertical="bottom"/>
    </xf>
    <xf numFmtId="0" fontId="7" fillId="2" borderId="6" applyNumberFormat="0" applyFont="1" applyFill="1" applyBorder="1" applyAlignment="1" applyProtection="0">
      <alignment vertical="bottom"/>
    </xf>
    <xf numFmtId="0" fontId="7" fillId="2" borderId="6" applyNumberFormat="0" applyFont="1" applyFill="1" applyBorder="1" applyAlignment="1" applyProtection="0">
      <alignment horizontal="center" vertical="bottom"/>
    </xf>
    <xf numFmtId="49" fontId="7" fillId="2" borderId="6" applyNumberFormat="1" applyFont="1" applyFill="1" applyBorder="1" applyAlignment="1" applyProtection="0">
      <alignment horizontal="center" vertical="bottom"/>
    </xf>
    <xf numFmtId="0" fontId="2" fillId="2" borderId="7" applyNumberFormat="1" applyFont="1" applyFill="1" applyBorder="1" applyAlignment="1" applyProtection="0">
      <alignment vertical="bottom"/>
    </xf>
    <xf numFmtId="49" fontId="2" fillId="2" borderId="7" applyNumberFormat="1" applyFont="1" applyFill="1" applyBorder="1" applyAlignment="1" applyProtection="0">
      <alignment vertical="bottom"/>
    </xf>
    <xf numFmtId="0" fontId="2" fillId="2" borderId="7" applyNumberFormat="1" applyFont="1" applyFill="1" applyBorder="1" applyAlignment="1" applyProtection="0">
      <alignment horizontal="center" vertical="bottom"/>
    </xf>
    <xf numFmtId="49" fontId="2" fillId="2" borderId="7" applyNumberFormat="1" applyFont="1" applyFill="1" applyBorder="1" applyAlignment="1" applyProtection="0">
      <alignment horizontal="center" vertical="bottom"/>
    </xf>
    <xf numFmtId="59" fontId="2" fillId="2" borderId="7" applyNumberFormat="1" applyFont="1" applyFill="1" applyBorder="1" applyAlignment="1" applyProtection="0">
      <alignment horizontal="center" vertical="bottom"/>
    </xf>
    <xf numFmtId="60" fontId="2" fillId="2" borderId="7" applyNumberFormat="1" applyFont="1" applyFill="1" applyBorder="1" applyAlignment="1" applyProtection="0">
      <alignment vertical="bottom"/>
    </xf>
    <xf numFmtId="0" fontId="2" fillId="2" borderId="7" applyNumberFormat="0" applyFont="1" applyFill="1" applyBorder="1" applyAlignment="1" applyProtection="0">
      <alignment horizontal="center" vertical="bottom"/>
    </xf>
    <xf numFmtId="0" fontId="2" fillId="2" borderId="7" applyNumberFormat="0" applyFont="1" applyFill="1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horizontal="center" vertical="bottom"/>
    </xf>
    <xf numFmtId="60" fontId="7" fillId="2" borderId="7" applyNumberFormat="1" applyFont="1" applyFill="1" applyBorder="1" applyAlignment="1" applyProtection="0">
      <alignment vertical="bottom"/>
    </xf>
    <xf numFmtId="0" fontId="2" fillId="2" borderId="8" applyNumberFormat="0" applyFont="1" applyFill="1" applyBorder="1" applyAlignment="1" applyProtection="0">
      <alignment vertical="bottom"/>
    </xf>
    <xf numFmtId="49" fontId="2" fillId="2" borderId="8" applyNumberFormat="1" applyFont="1" applyFill="1" applyBorder="1" applyAlignment="1" applyProtection="0">
      <alignment horizontal="right" vertical="bottom"/>
    </xf>
    <xf numFmtId="0" fontId="7" fillId="2" borderId="8" applyNumberFormat="0" applyFont="1" applyFill="1" applyBorder="1" applyAlignment="1" applyProtection="0">
      <alignment horizontal="center" vertical="bottom"/>
    </xf>
    <xf numFmtId="60" fontId="7" fillId="2" borderId="1" applyNumberFormat="1" applyFont="1" applyFill="1" applyBorder="1" applyAlignment="1" applyProtection="0">
      <alignment vertical="bottom"/>
    </xf>
    <xf numFmtId="0" fontId="7" fillId="2" borderId="1" applyNumberFormat="0" applyFont="1" applyFill="1" applyBorder="1" applyAlignment="1" applyProtection="0">
      <alignment horizontal="right" vertical="bottom"/>
    </xf>
    <xf numFmtId="49" fontId="2" fillId="2" borderId="1" applyNumberFormat="1" applyFont="1" applyFill="1" applyBorder="1" applyAlignment="1" applyProtection="0">
      <alignment horizontal="center" vertical="bottom"/>
    </xf>
    <xf numFmtId="0" fontId="2" fillId="2" borderId="1" applyNumberFormat="1" applyFont="1" applyFill="1" applyBorder="1" applyAlignment="1" applyProtection="0">
      <alignment vertical="bottom"/>
    </xf>
    <xf numFmtId="0" fontId="2" fillId="2" borderId="1" applyNumberFormat="0" applyFont="1" applyFill="1" applyBorder="1" applyAlignment="1" applyProtection="0">
      <alignment horizontal="right" vertical="bottom"/>
    </xf>
    <xf numFmtId="0" fontId="2" fillId="2" borderId="1" applyNumberFormat="0" applyFont="1" applyFill="1" applyBorder="1" applyAlignment="1" applyProtection="0">
      <alignment horizontal="left" vertical="bottom"/>
    </xf>
    <xf numFmtId="49" fontId="2" fillId="2" borderId="1" applyNumberFormat="1" applyFont="1" applyFill="1" applyBorder="1" applyAlignment="1" applyProtection="0">
      <alignment horizontal="left" vertical="bottom"/>
    </xf>
    <xf numFmtId="0" fontId="2" fillId="2" borderId="2" applyNumberFormat="0" applyFont="1" applyFill="1" applyBorder="1" applyAlignment="1" applyProtection="0">
      <alignment horizontal="left" vertical="bottom"/>
    </xf>
    <xf numFmtId="0" fontId="2" fillId="2" borderId="2" applyNumberFormat="0" applyFont="1" applyFill="1" applyBorder="1" applyAlignment="1" applyProtection="0">
      <alignment horizontal="right" vertical="bottom"/>
    </xf>
    <xf numFmtId="49" fontId="2" fillId="2" borderId="2" applyNumberFormat="1" applyFont="1" applyFill="1" applyBorder="1" applyAlignment="1" applyProtection="0">
      <alignment horizontal="left" vertical="bottom"/>
    </xf>
    <xf numFmtId="49" fontId="2" fillId="3" borderId="9" applyNumberFormat="1" applyFont="1" applyFill="1" applyBorder="1" applyAlignment="1" applyProtection="0">
      <alignment vertical="bottom"/>
    </xf>
    <xf numFmtId="0" fontId="2" fillId="3" borderId="10" applyNumberFormat="0" applyFont="1" applyFill="1" applyBorder="1" applyAlignment="1" applyProtection="0">
      <alignment vertical="bottom"/>
    </xf>
    <xf numFmtId="0" fontId="2" fillId="3" borderId="10" applyNumberFormat="0" applyFont="1" applyFill="1" applyBorder="1" applyAlignment="1" applyProtection="0">
      <alignment horizontal="right" vertical="bottom"/>
    </xf>
    <xf numFmtId="49" fontId="2" fillId="3" borderId="10" applyNumberFormat="1" applyFont="1" applyFill="1" applyBorder="1" applyAlignment="1" applyProtection="0">
      <alignment vertical="bottom"/>
    </xf>
    <xf numFmtId="0" fontId="2" fillId="3" borderId="11" applyNumberFormat="0" applyFont="1" applyFill="1" applyBorder="1" applyAlignment="1" applyProtection="0">
      <alignment vertical="bottom"/>
    </xf>
    <xf numFmtId="0" fontId="2" fillId="2" borderId="8" applyNumberFormat="0" applyFont="1" applyFill="1" applyBorder="1" applyAlignment="1" applyProtection="0">
      <alignment horizontal="right" vertical="bottom"/>
    </xf>
    <xf numFmtId="49" fontId="2" fillId="2" borderId="8" applyNumberFormat="1" applyFont="1" applyFill="1" applyBorder="1" applyAlignment="1" applyProtection="0">
      <alignment vertical="bottom"/>
    </xf>
    <xf numFmtId="49" fontId="9" fillId="2" borderId="1" applyNumberFormat="1" applyFont="1" applyFill="1" applyBorder="1" applyAlignment="1" applyProtection="0">
      <alignment vertical="bottom"/>
    </xf>
    <xf numFmtId="0" fontId="9" fillId="2" borderId="1" applyNumberFormat="0" applyFont="1" applyFill="1" applyBorder="1" applyAlignment="1" applyProtection="0">
      <alignment vertical="bottom"/>
    </xf>
    <xf numFmtId="0" fontId="9" fillId="2" borderId="1" applyNumberFormat="0" applyFont="1" applyFill="1" applyBorder="1" applyAlignment="1" applyProtection="0">
      <alignment horizontal="right" vertical="bottom"/>
    </xf>
    <xf numFmtId="49" fontId="10" fillId="2" borderId="1" applyNumberFormat="1" applyFont="1" applyFill="1" applyBorder="1" applyAlignment="1" applyProtection="0">
      <alignment vertical="bottom"/>
    </xf>
    <xf numFmtId="0" fontId="10" fillId="2" borderId="1" applyNumberFormat="0" applyFont="1" applyFill="1" applyBorder="1" applyAlignment="1" applyProtection="0">
      <alignment vertical="bottom"/>
    </xf>
    <xf numFmtId="0" fontId="10" fillId="2" borderId="1" applyNumberFormat="0" applyFont="1" applyFill="1" applyBorder="1" applyAlignment="1" applyProtection="0">
      <alignment horizontal="right" vertical="bottom"/>
    </xf>
    <xf numFmtId="49" fontId="11" fillId="2" borderId="1" applyNumberFormat="1" applyFont="1" applyFill="1" applyBorder="1" applyAlignment="1" applyProtection="0">
      <alignment horizontal="right" vertical="bottom"/>
    </xf>
    <xf numFmtId="49" fontId="12" fillId="4" borderId="12" applyNumberFormat="1" applyFont="1" applyFill="1" applyBorder="1" applyAlignment="1" applyProtection="0">
      <alignment horizontal="center" vertical="bottom"/>
    </xf>
    <xf numFmtId="49" fontId="12" fillId="4" borderId="13" applyNumberFormat="1" applyFont="1" applyFill="1" applyBorder="1" applyAlignment="1" applyProtection="0">
      <alignment vertical="bottom"/>
    </xf>
    <xf numFmtId="0" fontId="12" fillId="4" borderId="14" applyNumberFormat="0" applyFont="1" applyFill="1" applyBorder="1" applyAlignment="1" applyProtection="0">
      <alignment vertical="bottom"/>
    </xf>
    <xf numFmtId="0" fontId="12" fillId="4" borderId="14" applyNumberFormat="0" applyFont="1" applyFill="1" applyBorder="1" applyAlignment="1" applyProtection="0">
      <alignment horizontal="right" vertical="bottom"/>
    </xf>
    <xf numFmtId="49" fontId="12" fillId="4" borderId="14" applyNumberFormat="1" applyFont="1" applyFill="1" applyBorder="1" applyAlignment="1" applyProtection="0">
      <alignment vertical="bottom"/>
    </xf>
    <xf numFmtId="0" fontId="12" fillId="4" borderId="15" applyNumberFormat="0" applyFont="1" applyFill="1" applyBorder="1" applyAlignment="1" applyProtection="0">
      <alignment vertical="bottom"/>
    </xf>
    <xf numFmtId="49" fontId="13" fillId="4" borderId="12" applyNumberFormat="1" applyFont="1" applyFill="1" applyBorder="1" applyAlignment="1" applyProtection="0">
      <alignment horizontal="center" vertical="bottom"/>
    </xf>
    <xf numFmtId="0" fontId="12" fillId="4" borderId="16" applyNumberFormat="0" applyFont="1" applyFill="1" applyBorder="1" applyAlignment="1" applyProtection="0">
      <alignment vertical="bottom"/>
    </xf>
    <xf numFmtId="0" fontId="12" fillId="4" borderId="17" applyNumberFormat="0" applyFont="1" applyFill="1" applyBorder="1" applyAlignment="1" applyProtection="0">
      <alignment vertical="bottom"/>
    </xf>
    <xf numFmtId="0" fontId="12" fillId="4" borderId="18" applyNumberFormat="0" applyFont="1" applyFill="1" applyBorder="1" applyAlignment="1" applyProtection="0">
      <alignment vertical="bottom"/>
    </xf>
    <xf numFmtId="0" fontId="12" fillId="4" borderId="18" applyNumberFormat="0" applyFont="1" applyFill="1" applyBorder="1" applyAlignment="1" applyProtection="0">
      <alignment horizontal="right" vertical="bottom"/>
    </xf>
    <xf numFmtId="49" fontId="12" fillId="4" borderId="18" applyNumberFormat="1" applyFont="1" applyFill="1" applyBorder="1" applyAlignment="1" applyProtection="0">
      <alignment vertical="bottom"/>
    </xf>
    <xf numFmtId="0" fontId="12" fillId="4" borderId="19" applyNumberFormat="0" applyFont="1" applyFill="1" applyBorder="1" applyAlignment="1" applyProtection="0">
      <alignment vertical="bottom"/>
    </xf>
    <xf numFmtId="49" fontId="13" fillId="4" borderId="16" applyNumberFormat="1" applyFont="1" applyFill="1" applyBorder="1" applyAlignment="1" applyProtection="0">
      <alignment horizontal="center" vertical="bottom"/>
    </xf>
    <xf numFmtId="0" fontId="2" fillId="5" borderId="7" applyNumberFormat="1" applyFont="1" applyFill="1" applyBorder="1" applyAlignment="1" applyProtection="0">
      <alignment vertical="bottom"/>
    </xf>
    <xf numFmtId="49" fontId="2" fillId="5" borderId="9" applyNumberFormat="1" applyFont="1" applyFill="1" applyBorder="1" applyAlignment="1" applyProtection="0">
      <alignment vertical="bottom"/>
    </xf>
    <xf numFmtId="0" fontId="2" fillId="5" borderId="10" applyNumberFormat="0" applyFont="1" applyFill="1" applyBorder="1" applyAlignment="1" applyProtection="0">
      <alignment vertical="bottom"/>
    </xf>
    <xf numFmtId="49" fontId="2" fillId="5" borderId="10" applyNumberFormat="1" applyFont="1" applyFill="1" applyBorder="1" applyAlignment="1" applyProtection="0">
      <alignment vertical="bottom"/>
    </xf>
    <xf numFmtId="0" fontId="2" fillId="5" borderId="11" applyNumberFormat="0" applyFont="1" applyFill="1" applyBorder="1" applyAlignment="1" applyProtection="0">
      <alignment vertical="bottom"/>
    </xf>
    <xf numFmtId="59" fontId="2" fillId="5" borderId="7" applyNumberFormat="1" applyFont="1" applyFill="1" applyBorder="1" applyAlignment="1" applyProtection="0">
      <alignment vertical="bottom"/>
    </xf>
    <xf numFmtId="49" fontId="2" fillId="5" borderId="7" applyNumberFormat="1" applyFont="1" applyFill="1" applyBorder="1" applyAlignment="1" applyProtection="0">
      <alignment vertical="bottom"/>
    </xf>
    <xf numFmtId="0" fontId="2" fillId="5" borderId="9" applyNumberFormat="0" applyFont="1" applyFill="1" applyBorder="1" applyAlignment="1" applyProtection="0">
      <alignment vertical="bottom"/>
    </xf>
    <xf numFmtId="0" fontId="2" fillId="5" borderId="7" applyNumberFormat="0" applyFont="1" applyFill="1" applyBorder="1" applyAlignment="1" applyProtection="0">
      <alignment vertical="bottom"/>
    </xf>
    <xf numFmtId="49" fontId="7" fillId="5" borderId="9" applyNumberFormat="1" applyFont="1" applyFill="1" applyBorder="1" applyAlignment="1" applyProtection="0">
      <alignment vertical="bottom"/>
    </xf>
    <xf numFmtId="0" fontId="7" fillId="5" borderId="10" applyNumberFormat="0" applyFont="1" applyFill="1" applyBorder="1" applyAlignment="1" applyProtection="0">
      <alignment vertical="bottom"/>
    </xf>
    <xf numFmtId="0" fontId="7" fillId="5" borderId="10" applyNumberFormat="0" applyFont="1" applyFill="1" applyBorder="1" applyAlignment="1" applyProtection="0">
      <alignment horizontal="right" vertical="bottom"/>
    </xf>
    <xf numFmtId="49" fontId="7" fillId="5" borderId="10" applyNumberFormat="1" applyFont="1" applyFill="1" applyBorder="1" applyAlignment="1" applyProtection="0">
      <alignment vertical="bottom"/>
    </xf>
    <xf numFmtId="0" fontId="7" fillId="5" borderId="11" applyNumberFormat="0" applyFont="1" applyFill="1" applyBorder="1" applyAlignment="1" applyProtection="0">
      <alignment vertical="bottom"/>
    </xf>
    <xf numFmtId="60" fontId="7" fillId="5" borderId="7" applyNumberFormat="1" applyFont="1" applyFill="1" applyBorder="1" applyAlignment="1" applyProtection="0">
      <alignment vertical="bottom"/>
    </xf>
    <xf numFmtId="0" fontId="2" fillId="5" borderId="12" applyNumberFormat="1" applyFont="1" applyFill="1" applyBorder="1" applyAlignment="1" applyProtection="0">
      <alignment vertical="bottom"/>
    </xf>
    <xf numFmtId="49" fontId="2" fillId="5" borderId="13" applyNumberFormat="1" applyFont="1" applyFill="1" applyBorder="1" applyAlignment="1" applyProtection="0">
      <alignment horizontal="left" vertical="bottom"/>
    </xf>
    <xf numFmtId="0" fontId="2" fillId="2" borderId="14" applyNumberFormat="0" applyFont="1" applyFill="1" applyBorder="1" applyAlignment="1" applyProtection="0">
      <alignment vertical="bottom"/>
    </xf>
    <xf numFmtId="61" fontId="7" fillId="5" borderId="14" applyNumberFormat="1" applyFont="1" applyFill="1" applyBorder="1" applyAlignment="1" applyProtection="0">
      <alignment horizontal="center" vertical="bottom"/>
    </xf>
    <xf numFmtId="0" fontId="2" fillId="5" borderId="14" applyNumberFormat="0" applyFont="1" applyFill="1" applyBorder="1" applyAlignment="1" applyProtection="0">
      <alignment vertical="bottom"/>
    </xf>
    <xf numFmtId="0" fontId="2" fillId="5" borderId="15" applyNumberFormat="0" applyFont="1" applyFill="1" applyBorder="1" applyAlignment="1" applyProtection="0">
      <alignment vertical="bottom"/>
    </xf>
    <xf numFmtId="0" fontId="2" fillId="5" borderId="12" applyNumberFormat="0" applyFont="1" applyFill="1" applyBorder="1" applyAlignment="1" applyProtection="0">
      <alignment vertical="bottom"/>
    </xf>
    <xf numFmtId="0" fontId="2" fillId="5" borderId="20" applyNumberFormat="0" applyFont="1" applyFill="1" applyBorder="1" applyAlignment="1" applyProtection="0">
      <alignment vertical="bottom"/>
    </xf>
    <xf numFmtId="49" fontId="2" fillId="5" borderId="21" applyNumberFormat="1" applyFont="1" applyFill="1" applyBorder="1" applyAlignment="1" applyProtection="0">
      <alignment vertical="bottom"/>
    </xf>
    <xf numFmtId="0" fontId="2" fillId="5" borderId="22" applyNumberFormat="0" applyFont="1" applyFill="1" applyBorder="1" applyAlignment="1" applyProtection="0">
      <alignment vertical="bottom"/>
    </xf>
    <xf numFmtId="49" fontId="2" fillId="5" borderId="22" applyNumberFormat="1" applyFont="1" applyFill="1" applyBorder="1" applyAlignment="1" applyProtection="0">
      <alignment vertical="bottom"/>
    </xf>
    <xf numFmtId="62" fontId="2" fillId="5" borderId="22" applyNumberFormat="1" applyFont="1" applyFill="1" applyBorder="1" applyAlignment="1" applyProtection="0">
      <alignment vertical="bottom"/>
    </xf>
    <xf numFmtId="59" fontId="2" fillId="5" borderId="23" applyNumberFormat="1" applyFont="1" applyFill="1" applyBorder="1" applyAlignment="1" applyProtection="0">
      <alignment vertical="bottom"/>
    </xf>
    <xf numFmtId="62" fontId="2" fillId="5" borderId="18" applyNumberFormat="1" applyFont="1" applyFill="1" applyBorder="1" applyAlignment="1" applyProtection="0">
      <alignment vertical="bottom"/>
    </xf>
    <xf numFmtId="60" fontId="2" fillId="5" borderId="20" applyNumberFormat="1" applyFont="1" applyFill="1" applyBorder="1" applyAlignment="1" applyProtection="0">
      <alignment vertical="bottom"/>
    </xf>
    <xf numFmtId="0" fontId="2" fillId="5" borderId="16" applyNumberFormat="0" applyFont="1" applyFill="1" applyBorder="1" applyAlignment="1" applyProtection="0">
      <alignment vertical="bottom"/>
    </xf>
    <xf numFmtId="49" fontId="2" fillId="5" borderId="17" applyNumberFormat="1" applyFont="1" applyFill="1" applyBorder="1" applyAlignment="1" applyProtection="0">
      <alignment vertical="bottom"/>
    </xf>
    <xf numFmtId="0" fontId="2" fillId="5" borderId="18" applyNumberFormat="0" applyFont="1" applyFill="1" applyBorder="1" applyAlignment="1" applyProtection="0">
      <alignment vertical="bottom"/>
    </xf>
    <xf numFmtId="49" fontId="2" fillId="5" borderId="18" applyNumberFormat="1" applyFont="1" applyFill="1" applyBorder="1" applyAlignment="1" applyProtection="0">
      <alignment vertical="bottom"/>
    </xf>
    <xf numFmtId="62" fontId="7" fillId="5" borderId="10" applyNumberFormat="1" applyFont="1" applyFill="1" applyBorder="1" applyAlignment="1" applyProtection="0">
      <alignment vertical="bottom"/>
    </xf>
    <xf numFmtId="59" fontId="2" fillId="5" borderId="19" applyNumberFormat="1" applyFont="1" applyFill="1" applyBorder="1" applyAlignment="1" applyProtection="0">
      <alignment vertical="bottom"/>
    </xf>
    <xf numFmtId="60" fontId="7" fillId="5" borderId="16" applyNumberFormat="1" applyFont="1" applyFill="1" applyBorder="1" applyAlignment="1" applyProtection="0">
      <alignment vertical="bottom"/>
    </xf>
    <xf numFmtId="49" fontId="2" fillId="5" borderId="13" applyNumberFormat="1" applyFont="1" applyFill="1" applyBorder="1" applyAlignment="1" applyProtection="0">
      <alignment vertical="bottom"/>
    </xf>
    <xf numFmtId="49" fontId="2" fillId="5" borderId="14" applyNumberFormat="1" applyFont="1" applyFill="1" applyBorder="1" applyAlignment="1" applyProtection="0">
      <alignment vertical="bottom"/>
    </xf>
    <xf numFmtId="60" fontId="2" fillId="5" borderId="12" applyNumberFormat="1" applyFont="1" applyFill="1" applyBorder="1" applyAlignment="1" applyProtection="0">
      <alignment vertical="bottom"/>
    </xf>
    <xf numFmtId="0" fontId="2" fillId="5" borderId="19" applyNumberFormat="0" applyFont="1" applyFill="1" applyBorder="1" applyAlignment="1" applyProtection="0">
      <alignment vertical="bottom"/>
    </xf>
    <xf numFmtId="0" fontId="5" fillId="5" borderId="7" applyNumberFormat="0" applyFont="1" applyFill="1" applyBorder="1" applyAlignment="1" applyProtection="0">
      <alignment vertical="bottom"/>
    </xf>
    <xf numFmtId="49" fontId="6" fillId="5" borderId="9" applyNumberFormat="1" applyFont="1" applyFill="1" applyBorder="1" applyAlignment="1" applyProtection="0">
      <alignment vertical="bottom"/>
    </xf>
    <xf numFmtId="0" fontId="4" fillId="5" borderId="10" applyNumberFormat="0" applyFont="1" applyFill="1" applyBorder="1" applyAlignment="1" applyProtection="0">
      <alignment vertical="bottom"/>
    </xf>
    <xf numFmtId="0" fontId="5" fillId="5" borderId="10" applyNumberFormat="0" applyFont="1" applyFill="1" applyBorder="1" applyAlignment="1" applyProtection="0">
      <alignment horizontal="right" vertical="bottom"/>
    </xf>
    <xf numFmtId="49" fontId="5" fillId="5" borderId="10" applyNumberFormat="1" applyFont="1" applyFill="1" applyBorder="1" applyAlignment="1" applyProtection="0">
      <alignment vertical="bottom"/>
    </xf>
    <xf numFmtId="0" fontId="5" fillId="5" borderId="10" applyNumberFormat="0" applyFont="1" applyFill="1" applyBorder="1" applyAlignment="1" applyProtection="0">
      <alignment vertical="bottom"/>
    </xf>
    <xf numFmtId="0" fontId="5" fillId="5" borderId="11" applyNumberFormat="0" applyFont="1" applyFill="1" applyBorder="1" applyAlignment="1" applyProtection="0">
      <alignment vertical="bottom"/>
    </xf>
    <xf numFmtId="63" fontId="6" fillId="5" borderId="7" applyNumberFormat="1" applyFont="1" applyFill="1" applyBorder="1" applyAlignment="1" applyProtection="0">
      <alignment horizontal="center" vertical="bottom"/>
    </xf>
    <xf numFmtId="0" fontId="7" fillId="2" borderId="8" applyNumberFormat="0" applyFont="1" applyFill="1" applyBorder="1" applyAlignment="1" applyProtection="0">
      <alignment vertical="bottom"/>
    </xf>
    <xf numFmtId="64" fontId="7" fillId="2" borderId="8" applyNumberFormat="1" applyFont="1" applyFill="1" applyBorder="1" applyAlignment="1" applyProtection="0">
      <alignment vertical="bottom"/>
    </xf>
    <xf numFmtId="0" fontId="7" fillId="2" borderId="1" applyNumberFormat="0" applyFont="1" applyFill="1" applyBorder="1" applyAlignment="1" applyProtection="0">
      <alignment vertical="bottom"/>
    </xf>
    <xf numFmtId="64" fontId="7" fillId="2" borderId="1" applyNumberFormat="1" applyFont="1" applyFill="1" applyBorder="1" applyAlignment="1" applyProtection="0">
      <alignment vertical="bottom"/>
    </xf>
    <xf numFmtId="49" fontId="2" fillId="2" borderId="2" applyNumberFormat="1" applyFont="1" applyFill="1" applyBorder="1" applyAlignment="1" applyProtection="0">
      <alignment vertical="bottom"/>
    </xf>
    <xf numFmtId="64" fontId="7" fillId="2" borderId="2" applyNumberFormat="1" applyFont="1" applyFill="1" applyBorder="1" applyAlignment="1" applyProtection="0">
      <alignment vertical="bottom"/>
    </xf>
    <xf numFmtId="49" fontId="7" fillId="2" borderId="24" applyNumberFormat="1" applyFont="1" applyFill="1" applyBorder="1" applyAlignment="1" applyProtection="0">
      <alignment horizontal="center" vertical="bottom"/>
    </xf>
    <xf numFmtId="0" fontId="7" fillId="2" borderId="25" applyNumberFormat="0" applyFont="1" applyFill="1" applyBorder="1" applyAlignment="1" applyProtection="0">
      <alignment horizontal="center" vertical="bottom"/>
    </xf>
    <xf numFmtId="0" fontId="2" fillId="2" borderId="25" applyNumberFormat="0" applyFont="1" applyFill="1" applyBorder="1" applyAlignment="1" applyProtection="0">
      <alignment vertical="bottom"/>
    </xf>
    <xf numFmtId="49" fontId="2" fillId="2" borderId="25" applyNumberFormat="1" applyFont="1" applyFill="1" applyBorder="1" applyAlignment="1" applyProtection="0">
      <alignment vertical="bottom"/>
    </xf>
    <xf numFmtId="0" fontId="2" fillId="2" borderId="26" applyNumberFormat="0" applyFont="1" applyFill="1" applyBorder="1" applyAlignment="1" applyProtection="0">
      <alignment vertical="bottom"/>
    </xf>
    <xf numFmtId="49" fontId="2" fillId="2" borderId="24" applyNumberFormat="1" applyFont="1" applyFill="1" applyBorder="1" applyAlignment="1" applyProtection="0">
      <alignment vertical="bottom"/>
    </xf>
    <xf numFmtId="59" fontId="2" fillId="2" borderId="26" applyNumberFormat="1" applyFont="1" applyFill="1" applyBorder="1" applyAlignment="1" applyProtection="0">
      <alignment vertical="bottom"/>
    </xf>
    <xf numFmtId="49" fontId="7" fillId="2" borderId="24" applyNumberFormat="1" applyFont="1" applyFill="1" applyBorder="1" applyAlignment="1" applyProtection="0">
      <alignment vertical="bottom"/>
    </xf>
    <xf numFmtId="59" fontId="7" fillId="2" borderId="7" applyNumberFormat="1" applyFont="1" applyFill="1" applyBorder="1" applyAlignment="1" applyProtection="0">
      <alignment horizontal="center" vertical="bottom"/>
    </xf>
    <xf numFmtId="59" fontId="2" fillId="2" borderId="8" applyNumberFormat="1" applyFont="1" applyFill="1" applyBorder="1" applyAlignment="1" applyProtection="0">
      <alignment vertical="bottom"/>
    </xf>
    <xf numFmtId="59" fontId="7" fillId="2" borderId="8" applyNumberFormat="1" applyFont="1" applyFill="1" applyBorder="1" applyAlignment="1" applyProtection="0">
      <alignment horizontal="center" vertical="bottom"/>
    </xf>
    <xf numFmtId="59" fontId="2" fillId="2" borderId="7" applyNumberFormat="1" applyFont="1" applyFill="1" applyBorder="1" applyAlignment="1" applyProtection="0">
      <alignment vertical="bottom"/>
    </xf>
    <xf numFmtId="59" fontId="2" fillId="2" borderId="7" applyNumberFormat="1" applyFont="1" applyFill="1" applyBorder="1" applyAlignment="1" applyProtection="0">
      <alignment horizontal="right" vertical="bottom"/>
    </xf>
    <xf numFmtId="59" fontId="7" fillId="2" borderId="7" applyNumberFormat="1" applyFont="1" applyFill="1" applyBorder="1" applyAlignment="1" applyProtection="0">
      <alignment vertical="bottom"/>
    </xf>
    <xf numFmtId="0" fontId="2" fillId="2" borderId="7" applyNumberFormat="0" applyFont="1" applyFill="1" applyBorder="1" applyAlignment="1" applyProtection="0">
      <alignment horizontal="right" vertical="bottom"/>
    </xf>
    <xf numFmtId="49" fontId="7" fillId="2" borderId="7" applyNumberFormat="1" applyFont="1" applyFill="1" applyBorder="1" applyAlignment="1" applyProtection="0">
      <alignment vertical="bottom"/>
    </xf>
    <xf numFmtId="49" fontId="7" fillId="2" borderId="8" applyNumberFormat="1" applyFont="1" applyFill="1" applyBorder="1" applyAlignment="1" applyProtection="0">
      <alignment vertical="bottom"/>
    </xf>
    <xf numFmtId="59" fontId="7" fillId="2" borderId="8" applyNumberFormat="1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/>
    </xf>
    <xf numFmtId="59" fontId="7" fillId="2" borderId="1" applyNumberFormat="1" applyFont="1" applyFill="1" applyBorder="1" applyAlignment="1" applyProtection="0">
      <alignment vertical="bottom"/>
    </xf>
    <xf numFmtId="49" fontId="7" fillId="3" borderId="10" applyNumberFormat="1" applyFont="1" applyFill="1" applyBorder="1" applyAlignment="1" applyProtection="0">
      <alignment vertical="bottom"/>
    </xf>
    <xf numFmtId="59" fontId="7" fillId="3" borderId="10" applyNumberFormat="1" applyFont="1" applyFill="1" applyBorder="1" applyAlignment="1" applyProtection="0">
      <alignment vertical="bottom"/>
    </xf>
    <xf numFmtId="59" fontId="7" fillId="3" borderId="11" applyNumberFormat="1" applyFont="1" applyFill="1" applyBorder="1" applyAlignment="1" applyProtection="0">
      <alignment vertical="bottom"/>
    </xf>
    <xf numFmtId="0" fontId="7" fillId="2" borderId="4" applyNumberFormat="0" applyFont="1" applyFill="1" applyBorder="1" applyAlignment="1" applyProtection="0">
      <alignment vertical="bottom"/>
    </xf>
    <xf numFmtId="0" fontId="2" fillId="2" borderId="6" applyNumberFormat="0" applyFont="1" applyFill="1" applyBorder="1" applyAlignment="1" applyProtection="0">
      <alignment vertical="bottom"/>
    </xf>
    <xf numFmtId="60" fontId="2" fillId="2" borderId="7" applyNumberFormat="1" applyFont="1" applyFill="1" applyBorder="1" applyAlignment="1" applyProtection="0">
      <alignment horizontal="center" vertical="bottom"/>
    </xf>
    <xf numFmtId="49" fontId="7" fillId="6" borderId="7" applyNumberFormat="1" applyFont="1" applyFill="1" applyBorder="1" applyAlignment="1" applyProtection="0">
      <alignment horizontal="center" vertical="bottom"/>
    </xf>
    <xf numFmtId="62" fontId="7" fillId="6" borderId="7" applyNumberFormat="1" applyFont="1" applyFill="1" applyBorder="1" applyAlignment="1" applyProtection="0">
      <alignment horizontal="center" vertical="bottom"/>
    </xf>
    <xf numFmtId="0" fontId="2" fillId="2" borderId="27" applyNumberFormat="0" applyFont="1" applyFill="1" applyBorder="1" applyAlignment="1" applyProtection="0">
      <alignment vertical="bottom"/>
    </xf>
    <xf numFmtId="0" fontId="2" fillId="2" borderId="28" applyNumberFormat="0" applyFont="1" applyFill="1" applyBorder="1" applyAlignment="1" applyProtection="0">
      <alignment vertical="bottom"/>
    </xf>
    <xf numFmtId="49" fontId="7" fillId="2" borderId="3" applyNumberFormat="1" applyFont="1" applyFill="1" applyBorder="1" applyAlignment="1" applyProtection="0">
      <alignment horizontal="left" vertical="bottom"/>
    </xf>
    <xf numFmtId="49" fontId="7" fillId="2" borderId="1" applyNumberFormat="1" applyFont="1" applyFill="1" applyBorder="1" applyAlignment="1" applyProtection="0">
      <alignment horizontal="center" vertical="bottom"/>
    </xf>
    <xf numFmtId="0" fontId="2" fillId="2" borderId="29" applyNumberFormat="0" applyFont="1" applyFill="1" applyBorder="1" applyAlignment="1" applyProtection="0">
      <alignment vertical="bottom"/>
    </xf>
    <xf numFmtId="49" fontId="7" fillId="2" borderId="5" applyNumberFormat="1" applyFont="1" applyFill="1" applyBorder="1" applyAlignment="1" applyProtection="0">
      <alignment horizontal="left" vertical="bottom"/>
    </xf>
    <xf numFmtId="0" fontId="2" fillId="2" borderId="30" applyNumberFormat="0" applyFont="1" applyFill="1" applyBorder="1" applyAlignment="1" applyProtection="0">
      <alignment vertical="bottom"/>
    </xf>
    <xf numFmtId="0" fontId="2" fillId="2" borderId="31" applyNumberFormat="0" applyFont="1" applyFill="1" applyBorder="1" applyAlignment="1" applyProtection="0">
      <alignment vertical="bottom"/>
    </xf>
    <xf numFmtId="49" fontId="7" fillId="2" borderId="6" applyNumberFormat="1" applyFont="1" applyFill="1" applyBorder="1" applyAlignment="1" applyProtection="0">
      <alignment horizontal="left" vertical="bottom"/>
    </xf>
    <xf numFmtId="0" fontId="2" fillId="2" borderId="24" applyNumberFormat="0" applyFont="1" applyFill="1" applyBorder="1" applyAlignment="1" applyProtection="0">
      <alignment vertical="bottom"/>
    </xf>
    <xf numFmtId="49" fontId="2" fillId="2" borderId="7" applyNumberFormat="1" applyFont="1" applyFill="1" applyBorder="1" applyAlignment="1" applyProtection="0">
      <alignment horizontal="right" vertical="bottom"/>
    </xf>
    <xf numFmtId="49" fontId="2" fillId="2" borderId="25" applyNumberFormat="1" applyFont="1" applyFill="1" applyBorder="1" applyAlignment="1" applyProtection="0">
      <alignment horizontal="right" vertical="bottom"/>
    </xf>
    <xf numFmtId="49" fontId="14" fillId="2" borderId="7" applyNumberFormat="1" applyFont="1" applyFill="1" applyBorder="1" applyAlignment="1" applyProtection="0">
      <alignment horizontal="center" vertical="bottom"/>
    </xf>
    <xf numFmtId="49" fontId="14" fillId="2" borderId="24" applyNumberFormat="1" applyFont="1" applyFill="1" applyBorder="1" applyAlignment="1" applyProtection="0">
      <alignment horizontal="left" vertical="bottom"/>
    </xf>
    <xf numFmtId="49" fontId="14" fillId="2" borderId="26" applyNumberFormat="1" applyFont="1" applyFill="1" applyBorder="1" applyAlignment="1" applyProtection="0">
      <alignment horizontal="left" vertical="bottom"/>
    </xf>
    <xf numFmtId="0" fontId="14" fillId="2" borderId="4" applyNumberFormat="0" applyFont="1" applyFill="1" applyBorder="1" applyAlignment="1" applyProtection="0">
      <alignment horizontal="center" vertical="bottom"/>
    </xf>
    <xf numFmtId="0" fontId="14" fillId="2" borderId="1" applyNumberFormat="0" applyFont="1" applyFill="1" applyBorder="1" applyAlignment="1" applyProtection="0">
      <alignment horizontal="center" vertical="bottom"/>
    </xf>
    <xf numFmtId="63" fontId="2" fillId="2" borderId="7" applyNumberFormat="1" applyFont="1" applyFill="1" applyBorder="1" applyAlignment="1" applyProtection="0">
      <alignment horizontal="center" vertical="bottom"/>
    </xf>
    <xf numFmtId="65" fontId="2" fillId="2" borderId="7" applyNumberFormat="1" applyFont="1" applyFill="1" applyBorder="1" applyAlignment="1" applyProtection="0">
      <alignment horizontal="center" vertical="bottom"/>
    </xf>
    <xf numFmtId="62" fontId="7" fillId="6" borderId="9" applyNumberFormat="1" applyFont="1" applyFill="1" applyBorder="1" applyAlignment="1" applyProtection="0">
      <alignment horizontal="center" vertical="center"/>
    </xf>
    <xf numFmtId="62" fontId="7" fillId="6" borderId="11" applyNumberFormat="1" applyFont="1" applyFill="1" applyBorder="1" applyAlignment="1" applyProtection="0">
      <alignment horizontal="center" vertical="center"/>
    </xf>
    <xf numFmtId="0" fontId="2" fillId="2" borderId="8" applyNumberFormat="0" applyFont="1" applyFill="1" applyBorder="1" applyAlignment="1" applyProtection="0">
      <alignment horizontal="center" vertical="bottom"/>
    </xf>
    <xf numFmtId="49" fontId="2" fillId="2" borderId="8" applyNumberFormat="1" applyFont="1" applyFill="1" applyBorder="1" applyAlignment="1" applyProtection="0">
      <alignment horizontal="center" vertical="bottom"/>
    </xf>
    <xf numFmtId="61" fontId="2" fillId="2" borderId="26" applyNumberFormat="1" applyFont="1" applyFill="1" applyBorder="1" applyAlignment="1" applyProtection="0">
      <alignment vertical="bottom"/>
    </xf>
    <xf numFmtId="2" fontId="2" fillId="2" borderId="7" applyNumberFormat="1" applyFont="1" applyFill="1" applyBorder="1" applyAlignment="1" applyProtection="0">
      <alignment vertical="bottom"/>
    </xf>
    <xf numFmtId="61" fontId="2" fillId="2" borderId="4" applyNumberFormat="1" applyFont="1" applyFill="1" applyBorder="1" applyAlignment="1" applyProtection="0">
      <alignment vertical="bottom"/>
    </xf>
    <xf numFmtId="61" fontId="2" fillId="2" borderId="8" applyNumberFormat="1" applyFont="1" applyFill="1" applyBorder="1" applyAlignment="1" applyProtection="0">
      <alignment vertical="bottom"/>
    </xf>
    <xf numFmtId="61" fontId="15" fillId="2" borderId="1" applyNumberFormat="1" applyFont="1" applyFill="1" applyBorder="1" applyAlignment="1" applyProtection="0">
      <alignment horizontal="right" vertical="bottom"/>
    </xf>
    <xf numFmtId="0" fontId="2" fillId="2" borderId="32" applyNumberFormat="0" applyFont="1" applyFill="1" applyBorder="1" applyAlignment="1" applyProtection="0">
      <alignment vertical="bottom"/>
    </xf>
    <xf numFmtId="0" fontId="14" fillId="2" borderId="33" applyNumberFormat="0" applyFont="1" applyFill="1" applyBorder="1" applyAlignment="1" applyProtection="0">
      <alignment horizontal="center" vertical="bottom"/>
    </xf>
    <xf numFmtId="49" fontId="14" fillId="2" borderId="34" applyNumberFormat="1" applyFont="1" applyFill="1" applyBorder="1" applyAlignment="1" applyProtection="0">
      <alignment horizontal="center" vertical="bottom"/>
    </xf>
    <xf numFmtId="49" fontId="14" fillId="2" borderId="35" applyNumberFormat="1" applyFont="1" applyFill="1" applyBorder="1" applyAlignment="1" applyProtection="0">
      <alignment horizontal="center" vertical="bottom"/>
    </xf>
    <xf numFmtId="49" fontId="14" fillId="2" borderId="36" applyNumberFormat="1" applyFont="1" applyFill="1" applyBorder="1" applyAlignment="1" applyProtection="0">
      <alignment horizontal="center" vertical="bottom"/>
    </xf>
    <xf numFmtId="0" fontId="14" fillId="2" borderId="37" applyNumberFormat="0" applyFont="1" applyFill="1" applyBorder="1" applyAlignment="1" applyProtection="0">
      <alignment horizontal="left" vertical="bottom"/>
    </xf>
    <xf numFmtId="49" fontId="14" fillId="2" borderId="1" applyNumberFormat="1" applyFont="1" applyFill="1" applyBorder="1" applyAlignment="1" applyProtection="0">
      <alignment horizontal="left" vertical="bottom"/>
    </xf>
    <xf numFmtId="0" fontId="2" fillId="2" borderId="33" applyNumberFormat="0" applyFont="1" applyFill="1" applyBorder="1" applyAlignment="1" applyProtection="0">
      <alignment vertical="bottom"/>
    </xf>
    <xf numFmtId="0" fontId="2" fillId="2" borderId="38" applyNumberFormat="1" applyFont="1" applyFill="1" applyBorder="1" applyAlignment="1" applyProtection="0">
      <alignment horizontal="center" vertical="bottom"/>
    </xf>
    <xf numFmtId="0" fontId="2" fillId="2" borderId="39" applyNumberFormat="1" applyFont="1" applyFill="1" applyBorder="1" applyAlignment="1" applyProtection="0">
      <alignment horizontal="center" vertical="bottom"/>
    </xf>
    <xf numFmtId="60" fontId="2" fillId="2" borderId="40" applyNumberFormat="1" applyFont="1" applyFill="1" applyBorder="1" applyAlignment="1" applyProtection="0">
      <alignment horizontal="center" vertical="bottom"/>
    </xf>
    <xf numFmtId="0" fontId="2" fillId="2" borderId="37" applyNumberFormat="0" applyFont="1" applyFill="1" applyBorder="1" applyAlignment="1" applyProtection="0">
      <alignment horizontal="center" vertical="bottom"/>
    </xf>
    <xf numFmtId="59" fontId="2" fillId="2" borderId="1" applyNumberFormat="1" applyFont="1" applyFill="1" applyBorder="1" applyAlignment="1" applyProtection="0">
      <alignment horizontal="left" vertical="bottom"/>
    </xf>
    <xf numFmtId="0" fontId="2" fillId="2" borderId="41" applyNumberFormat="0" applyFont="1" applyFill="1" applyBorder="1" applyAlignment="1" applyProtection="0">
      <alignment vertical="bottom"/>
    </xf>
    <xf numFmtId="60" fontId="7" fillId="2" borderId="7" applyNumberFormat="1" applyFont="1" applyFill="1" applyBorder="1" applyAlignment="1" applyProtection="0">
      <alignment horizontal="center" vertical="bottom"/>
    </xf>
    <xf numFmtId="2" fontId="2" fillId="2" borderId="7" applyNumberFormat="1" applyFont="1" applyFill="1" applyBorder="1" applyAlignment="1" applyProtection="0">
      <alignment horizontal="center" vertical="bottom"/>
    </xf>
    <xf numFmtId="66" fontId="7" fillId="6" borderId="9" applyNumberFormat="1" applyFont="1" applyFill="1" applyBorder="1" applyAlignment="1" applyProtection="0">
      <alignment horizontal="center" vertical="bottom"/>
    </xf>
    <xf numFmtId="66" fontId="7" fillId="6" borderId="11" applyNumberFormat="1" applyFont="1" applyFill="1" applyBorder="1" applyAlignment="1" applyProtection="0">
      <alignment horizontal="center" vertical="bottom"/>
    </xf>
    <xf numFmtId="62" fontId="7" fillId="6" borderId="9" applyNumberFormat="1" applyFont="1" applyFill="1" applyBorder="1" applyAlignment="1" applyProtection="0">
      <alignment horizontal="center" vertical="bottom"/>
    </xf>
    <xf numFmtId="62" fontId="7" fillId="6" borderId="11" applyNumberFormat="1" applyFont="1" applyFill="1" applyBorder="1" applyAlignment="1" applyProtection="0">
      <alignment horizontal="center" vertical="bottom"/>
    </xf>
    <xf numFmtId="0" fontId="2" fillId="2" borderId="42" applyNumberFormat="0" applyFont="1" applyFill="1" applyBorder="1" applyAlignment="1" applyProtection="0">
      <alignment vertical="bottom"/>
    </xf>
    <xf numFmtId="49" fontId="7" fillId="6" borderId="43" applyNumberFormat="1" applyFont="1" applyFill="1" applyBorder="1" applyAlignment="1" applyProtection="0">
      <alignment vertical="bottom"/>
    </xf>
    <xf numFmtId="0" fontId="7" fillId="6" borderId="22" applyNumberFormat="0" applyFont="1" applyFill="1" applyBorder="1" applyAlignment="1" applyProtection="0">
      <alignment vertical="bottom"/>
    </xf>
    <xf numFmtId="0" fontId="7" fillId="6" borderId="22" applyNumberFormat="0" applyFont="1" applyFill="1" applyBorder="1" applyAlignment="1" applyProtection="0">
      <alignment horizontal="right" vertical="bottom"/>
    </xf>
    <xf numFmtId="49" fontId="7" fillId="6" borderId="22" applyNumberFormat="1" applyFont="1" applyFill="1" applyBorder="1" applyAlignment="1" applyProtection="0">
      <alignment vertical="bottom"/>
    </xf>
    <xf numFmtId="0" fontId="7" fillId="2" borderId="44" applyNumberFormat="0" applyFont="1" applyFill="1" applyBorder="1" applyAlignment="1" applyProtection="0">
      <alignment vertical="bottom"/>
    </xf>
    <xf numFmtId="0" fontId="2" fillId="2" borderId="45" applyNumberFormat="0" applyFont="1" applyFill="1" applyBorder="1" applyAlignment="1" applyProtection="0">
      <alignment vertical="bottom"/>
    </xf>
    <xf numFmtId="0" fontId="2" fillId="2" borderId="45" applyNumberFormat="0" applyFont="1" applyFill="1" applyBorder="1" applyAlignment="1" applyProtection="0">
      <alignment horizontal="right" vertical="bottom"/>
    </xf>
    <xf numFmtId="49" fontId="2" fillId="2" borderId="45" applyNumberFormat="1" applyFont="1" applyFill="1" applyBorder="1" applyAlignment="1" applyProtection="0">
      <alignment vertical="bottom"/>
    </xf>
    <xf numFmtId="49" fontId="2" fillId="5" borderId="12" applyNumberFormat="1" applyFont="1" applyFill="1" applyBorder="1" applyAlignment="1" applyProtection="0">
      <alignment horizontal="center" vertical="bottom"/>
    </xf>
    <xf numFmtId="0" fontId="2" fillId="5" borderId="14" applyNumberFormat="0" applyFont="1" applyFill="1" applyBorder="1" applyAlignment="1" applyProtection="0">
      <alignment horizontal="right" vertical="bottom"/>
    </xf>
    <xf numFmtId="49" fontId="16" fillId="5" borderId="12" applyNumberFormat="1" applyFont="1" applyFill="1" applyBorder="1" applyAlignment="1" applyProtection="0">
      <alignment horizontal="center" vertical="bottom"/>
    </xf>
    <xf numFmtId="0" fontId="2" fillId="5" borderId="17" applyNumberFormat="0" applyFont="1" applyFill="1" applyBorder="1" applyAlignment="1" applyProtection="0">
      <alignment vertical="bottom"/>
    </xf>
    <xf numFmtId="49" fontId="16" fillId="5" borderId="16" applyNumberFormat="1" applyFont="1" applyFill="1" applyBorder="1" applyAlignment="1" applyProtection="0">
      <alignment horizontal="center" vertical="bottom"/>
    </xf>
    <xf numFmtId="59" fontId="2" fillId="5" borderId="12" applyNumberFormat="1" applyFont="1" applyFill="1" applyBorder="1" applyAlignment="1" applyProtection="0">
      <alignment vertical="bottom"/>
    </xf>
    <xf numFmtId="59" fontId="2" fillId="5" borderId="16" applyNumberFormat="1" applyFont="1" applyFill="1" applyBorder="1" applyAlignment="1" applyProtection="0">
      <alignment vertical="bottom"/>
    </xf>
    <xf numFmtId="49" fontId="2" fillId="5" borderId="12" applyNumberFormat="1" applyFont="1" applyFill="1" applyBorder="1" applyAlignment="1" applyProtection="0">
      <alignment vertical="bottom"/>
    </xf>
    <xf numFmtId="0" fontId="2" fillId="5" borderId="13" applyNumberFormat="0" applyFont="1" applyFill="1" applyBorder="1" applyAlignment="1" applyProtection="0">
      <alignment vertical="bottom"/>
    </xf>
    <xf numFmtId="49" fontId="2" fillId="5" borderId="16" applyNumberFormat="1" applyFont="1" applyFill="1" applyBorder="1" applyAlignment="1" applyProtection="0">
      <alignment vertical="bottom"/>
    </xf>
    <xf numFmtId="59" fontId="15" fillId="5" borderId="7" applyNumberFormat="1" applyFont="1" applyFill="1" applyBorder="1" applyAlignment="1" applyProtection="0">
      <alignment vertical="bottom"/>
    </xf>
    <xf numFmtId="60" fontId="2" fillId="5" borderId="7" applyNumberFormat="1" applyFont="1" applyFill="1" applyBorder="1" applyAlignment="1" applyProtection="0">
      <alignment vertical="bottom"/>
    </xf>
    <xf numFmtId="64" fontId="2" fillId="5" borderId="7" applyNumberFormat="1" applyFont="1" applyFill="1" applyBorder="1" applyAlignment="1" applyProtection="0">
      <alignment vertical="bottom"/>
    </xf>
    <xf numFmtId="59" fontId="2" fillId="5" borderId="22" applyNumberFormat="1" applyFont="1" applyFill="1" applyBorder="1" applyAlignment="1" applyProtection="0">
      <alignment vertical="bottom"/>
    </xf>
    <xf numFmtId="59" fontId="2" fillId="5" borderId="18" applyNumberFormat="1" applyFont="1" applyFill="1" applyBorder="1" applyAlignment="1" applyProtection="0">
      <alignment vertical="bottom"/>
    </xf>
    <xf numFmtId="59" fontId="2" fillId="5" borderId="10" applyNumberFormat="1" applyFont="1" applyFill="1" applyBorder="1" applyAlignment="1" applyProtection="0">
      <alignment vertical="bottom"/>
    </xf>
    <xf numFmtId="60" fontId="2" fillId="5" borderId="16" applyNumberFormat="1" applyFont="1" applyFill="1" applyBorder="1" applyAlignment="1" applyProtection="0">
      <alignment vertical="bottom"/>
    </xf>
    <xf numFmtId="60" fontId="6" fillId="5" borderId="7" applyNumberFormat="1" applyFont="1" applyFill="1" applyBorder="1" applyAlignment="1" applyProtection="0">
      <alignment vertical="bottom"/>
    </xf>
    <xf numFmtId="0" fontId="4" fillId="2" borderId="8" applyNumberFormat="0" applyFont="1" applyFill="1" applyBorder="1" applyAlignment="1" applyProtection="0">
      <alignment vertical="bottom"/>
    </xf>
    <xf numFmtId="0" fontId="5" fillId="2" borderId="8" applyNumberFormat="0" applyFont="1" applyFill="1" applyBorder="1" applyAlignment="1" applyProtection="0">
      <alignment horizontal="right" vertical="bottom"/>
    </xf>
    <xf numFmtId="60" fontId="4" fillId="2" borderId="8" applyNumberFormat="1" applyFont="1" applyFill="1" applyBorder="1" applyAlignment="1" applyProtection="0">
      <alignment vertical="bottom"/>
    </xf>
    <xf numFmtId="0" fontId="7" fillId="2" borderId="2" applyNumberFormat="0" applyFont="1" applyFill="1" applyBorder="1" applyAlignment="1" applyProtection="0">
      <alignment horizontal="right" vertical="bottom"/>
    </xf>
    <xf numFmtId="0" fontId="2" fillId="2" borderId="26" applyNumberFormat="0" applyFont="1" applyFill="1" applyBorder="1" applyAlignment="1" applyProtection="0">
      <alignment horizontal="right" vertical="bottom"/>
    </xf>
    <xf numFmtId="49" fontId="2" fillId="2" borderId="27" applyNumberFormat="1" applyFont="1" applyFill="1" applyBorder="1" applyAlignment="1" applyProtection="0">
      <alignment vertical="bottom"/>
    </xf>
    <xf numFmtId="59" fontId="2" fillId="2" borderId="3" applyNumberFormat="1" applyFont="1" applyFill="1" applyBorder="1" applyAlignment="1" applyProtection="0">
      <alignment horizontal="center" vertical="bottom"/>
    </xf>
    <xf numFmtId="49" fontId="2" fillId="2" borderId="4" applyNumberFormat="1" applyFont="1" applyFill="1" applyBorder="1" applyAlignment="1" applyProtection="0">
      <alignment vertical="bottom"/>
    </xf>
    <xf numFmtId="59" fontId="2" fillId="2" borderId="5" applyNumberFormat="1" applyFont="1" applyFill="1" applyBorder="1" applyAlignment="1" applyProtection="0">
      <alignment horizontal="center" vertical="bottom"/>
    </xf>
    <xf numFmtId="49" fontId="2" fillId="2" borderId="30" applyNumberFormat="1" applyFont="1" applyFill="1" applyBorder="1" applyAlignment="1" applyProtection="0">
      <alignment vertical="bottom"/>
    </xf>
    <xf numFmtId="59" fontId="2" fillId="2" borderId="6" applyNumberFormat="1" applyFont="1" applyFill="1" applyBorder="1" applyAlignment="1" applyProtection="0">
      <alignment horizontal="center" vertical="bottom"/>
    </xf>
    <xf numFmtId="49" fontId="7" fillId="6" borderId="9" applyNumberFormat="1" applyFont="1" applyFill="1" applyBorder="1" applyAlignment="1" applyProtection="0">
      <alignment vertical="bottom"/>
    </xf>
    <xf numFmtId="0" fontId="2" fillId="6" borderId="10" applyNumberFormat="0" applyFont="1" applyFill="1" applyBorder="1" applyAlignment="1" applyProtection="0">
      <alignment vertical="bottom"/>
    </xf>
    <xf numFmtId="0" fontId="2" fillId="6" borderId="11" applyNumberFormat="0" applyFont="1" applyFill="1" applyBorder="1" applyAlignment="1" applyProtection="0">
      <alignment vertical="bottom"/>
    </xf>
    <xf numFmtId="59" fontId="7" fillId="6" borderId="7" applyNumberFormat="1" applyFont="1" applyFill="1" applyBorder="1" applyAlignment="1" applyProtection="0">
      <alignment horizontal="center" vertical="bottom"/>
    </xf>
    <xf numFmtId="0" fontId="5" fillId="2" borderId="8" applyNumberFormat="0" applyFont="1" applyFill="1" applyBorder="1" applyAlignment="1" applyProtection="0">
      <alignment vertical="bottom"/>
    </xf>
    <xf numFmtId="49" fontId="5" fillId="2" borderId="8" applyNumberFormat="1" applyFont="1" applyFill="1" applyBorder="1" applyAlignment="1" applyProtection="0">
      <alignment vertical="bottom"/>
    </xf>
    <xf numFmtId="60" fontId="4" fillId="2" borderId="1" applyNumberFormat="1" applyFont="1" applyFill="1" applyBorder="1" applyAlignment="1" applyProtection="0">
      <alignment vertical="bottom"/>
    </xf>
    <xf numFmtId="0" fontId="5" fillId="2" borderId="2" applyNumberFormat="0" applyFont="1" applyFill="1" applyBorder="1" applyAlignment="1" applyProtection="0">
      <alignment vertical="bottom"/>
    </xf>
    <xf numFmtId="0" fontId="4" fillId="2" borderId="2" applyNumberFormat="0" applyFont="1" applyFill="1" applyBorder="1" applyAlignment="1" applyProtection="0">
      <alignment vertical="bottom"/>
    </xf>
    <xf numFmtId="0" fontId="5" fillId="2" borderId="2" applyNumberFormat="0" applyFont="1" applyFill="1" applyBorder="1" applyAlignment="1" applyProtection="0">
      <alignment horizontal="right" vertical="bottom"/>
    </xf>
    <xf numFmtId="49" fontId="5" fillId="2" borderId="2" applyNumberFormat="1" applyFont="1" applyFill="1" applyBorder="1" applyAlignment="1" applyProtection="0">
      <alignment vertical="bottom"/>
    </xf>
    <xf numFmtId="64" fontId="4" fillId="2" borderId="2" applyNumberFormat="1" applyFont="1" applyFill="1" applyBorder="1" applyAlignment="1" applyProtection="0">
      <alignment vertical="bottom"/>
    </xf>
    <xf numFmtId="49" fontId="5" fillId="3" borderId="10" applyNumberFormat="1" applyFont="1" applyFill="1" applyBorder="1" applyAlignment="1" applyProtection="0">
      <alignment vertical="bottom"/>
    </xf>
    <xf numFmtId="0" fontId="5" fillId="3" borderId="10" applyNumberFormat="0" applyFont="1" applyFill="1" applyBorder="1" applyAlignment="1" applyProtection="0">
      <alignment vertical="bottom"/>
    </xf>
    <xf numFmtId="64" fontId="4" fillId="3" borderId="11" applyNumberFormat="1" applyFont="1" applyFill="1" applyBorder="1" applyAlignment="1" applyProtection="0">
      <alignment vertical="bottom"/>
    </xf>
    <xf numFmtId="64" fontId="4" fillId="2" borderId="8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64" fontId="4" fillId="2" borderId="1" applyNumberFormat="1" applyFont="1" applyFill="1" applyBorder="1" applyAlignment="1" applyProtection="0">
      <alignment vertical="bottom"/>
    </xf>
    <xf numFmtId="59" fontId="2" fillId="2" borderId="2" applyNumberFormat="1" applyFont="1" applyFill="1" applyBorder="1" applyAlignment="1" applyProtection="0">
      <alignment horizontal="center" vertical="bottom"/>
    </xf>
    <xf numFmtId="49" fontId="2" fillId="2" borderId="3" applyNumberFormat="1" applyFont="1" applyFill="1" applyBorder="1" applyAlignment="1" applyProtection="0">
      <alignment vertical="bottom"/>
    </xf>
    <xf numFmtId="49" fontId="7" fillId="2" borderId="27" applyNumberFormat="1" applyFont="1" applyFill="1" applyBorder="1" applyAlignment="1" applyProtection="0">
      <alignment vertical="bottom"/>
    </xf>
    <xf numFmtId="0" fontId="2" fillId="2" borderId="28" applyNumberFormat="0" applyFont="1" applyFill="1" applyBorder="1" applyAlignment="1" applyProtection="0">
      <alignment horizontal="right" vertical="bottom"/>
    </xf>
    <xf numFmtId="0" fontId="2" fillId="2" borderId="31" applyNumberFormat="0" applyFont="1" applyFill="1" applyBorder="1" applyAlignment="1" applyProtection="0">
      <alignment horizontal="right" vertical="bottom"/>
    </xf>
    <xf numFmtId="0" fontId="7" fillId="2" borderId="25" applyNumberFormat="0" applyFont="1" applyFill="1" applyBorder="1" applyAlignment="1" applyProtection="0">
      <alignment vertical="bottom"/>
    </xf>
    <xf numFmtId="0" fontId="2" fillId="2" borderId="25" applyNumberFormat="0" applyFont="1" applyFill="1" applyBorder="1" applyAlignment="1" applyProtection="0">
      <alignment horizontal="right" vertical="bottom"/>
    </xf>
    <xf numFmtId="63" fontId="5" fillId="2" borderId="7" applyNumberFormat="1" applyFont="1" applyFill="1" applyBorder="1" applyAlignment="1" applyProtection="0">
      <alignment horizontal="center" vertical="bottom"/>
    </xf>
    <xf numFmtId="67" fontId="2" fillId="2" borderId="7" applyNumberFormat="1" applyFont="1" applyFill="1" applyBorder="1" applyAlignment="1" applyProtection="0">
      <alignment horizontal="center" vertical="center"/>
    </xf>
    <xf numFmtId="59" fontId="2" fillId="2" borderId="1" applyNumberFormat="1" applyFont="1" applyFill="1" applyBorder="1" applyAlignment="1" applyProtection="0">
      <alignment vertical="bottom"/>
    </xf>
    <xf numFmtId="59" fontId="2" fillId="2" borderId="2" applyNumberFormat="1" applyFont="1" applyFill="1" applyBorder="1" applyAlignment="1" applyProtection="0">
      <alignment vertical="bottom"/>
    </xf>
    <xf numFmtId="67" fontId="2" fillId="2" borderId="7" applyNumberFormat="1" applyFont="1" applyFill="1" applyBorder="1" applyAlignment="1" applyProtection="0">
      <alignment horizontal="center" vertical="bottom"/>
    </xf>
    <xf numFmtId="59" fontId="2" fillId="3" borderId="10" applyNumberFormat="1" applyFont="1" applyFill="1" applyBorder="1" applyAlignment="1" applyProtection="0">
      <alignment vertical="bottom"/>
    </xf>
    <xf numFmtId="63" fontId="2" fillId="2" borderId="7" applyNumberFormat="1" applyFont="1" applyFill="1" applyBorder="1" applyAlignment="1" applyProtection="0">
      <alignment horizontal="center" vertical="center"/>
    </xf>
    <xf numFmtId="59" fontId="2" fillId="2" borderId="42" applyNumberFormat="1" applyFont="1" applyFill="1" applyBorder="1" applyAlignment="1" applyProtection="0">
      <alignment vertical="bottom"/>
    </xf>
    <xf numFmtId="49" fontId="2" fillId="3" borderId="43" applyNumberFormat="1" applyFont="1" applyFill="1" applyBorder="1" applyAlignment="1" applyProtection="0">
      <alignment vertical="bottom"/>
    </xf>
    <xf numFmtId="0" fontId="2" fillId="3" borderId="22" applyNumberFormat="0" applyFont="1" applyFill="1" applyBorder="1" applyAlignment="1" applyProtection="0">
      <alignment vertical="bottom"/>
    </xf>
    <xf numFmtId="59" fontId="2" fillId="3" borderId="22" applyNumberFormat="1" applyFont="1" applyFill="1" applyBorder="1" applyAlignment="1" applyProtection="0">
      <alignment vertical="bottom"/>
    </xf>
    <xf numFmtId="0" fontId="2" fillId="3" borderId="46" applyNumberFormat="0" applyFont="1" applyFill="1" applyBorder="1" applyAlignment="1" applyProtection="0">
      <alignment vertical="bottom"/>
    </xf>
    <xf numFmtId="0" fontId="2" fillId="2" borderId="47" applyNumberFormat="0" applyFont="1" applyFill="1" applyBorder="1" applyAlignment="1" applyProtection="0">
      <alignment vertical="bottom"/>
    </xf>
    <xf numFmtId="59" fontId="2" fillId="2" borderId="47" applyNumberFormat="1" applyFont="1" applyFill="1" applyBorder="1" applyAlignment="1" applyProtection="0">
      <alignment vertical="bottom"/>
    </xf>
    <xf numFmtId="49" fontId="2" fillId="3" borderId="22" applyNumberFormat="1" applyFont="1" applyFill="1" applyBorder="1" applyAlignment="1" applyProtection="0">
      <alignment vertical="bottom"/>
    </xf>
    <xf numFmtId="2" fontId="2" fillId="2" borderId="7" applyNumberFormat="1" applyFont="1" applyFill="1" applyBorder="1" applyAlignment="1" applyProtection="0">
      <alignment horizontal="center" vertical="center"/>
    </xf>
    <xf numFmtId="0" fontId="2" fillId="2" borderId="48" applyNumberFormat="0" applyFont="1" applyFill="1" applyBorder="1" applyAlignment="1" applyProtection="0">
      <alignment vertical="bottom"/>
    </xf>
    <xf numFmtId="49" fontId="2" fillId="3" borderId="49" applyNumberFormat="1" applyFont="1" applyFill="1" applyBorder="1" applyAlignment="1" applyProtection="0">
      <alignment vertical="bottom"/>
    </xf>
    <xf numFmtId="0" fontId="2" fillId="3" borderId="14" applyNumberFormat="0" applyFont="1" applyFill="1" applyBorder="1" applyAlignment="1" applyProtection="0">
      <alignment vertical="bottom"/>
    </xf>
    <xf numFmtId="0" fontId="2" fillId="3" borderId="14" applyNumberFormat="0" applyFont="1" applyFill="1" applyBorder="1" applyAlignment="1" applyProtection="0">
      <alignment horizontal="right" vertical="bottom"/>
    </xf>
    <xf numFmtId="66" fontId="7" fillId="3" borderId="14" applyNumberFormat="1" applyFont="1" applyFill="1" applyBorder="1" applyAlignment="1" applyProtection="0">
      <alignment horizontal="center" vertical="bottom"/>
    </xf>
    <xf numFmtId="0" fontId="2" fillId="2" borderId="47" applyNumberFormat="0" applyFont="1" applyFill="1" applyBorder="1" applyAlignment="1" applyProtection="0">
      <alignment horizontal="right" vertical="bottom"/>
    </xf>
    <xf numFmtId="66" fontId="7" fillId="2" borderId="47" applyNumberFormat="1" applyFont="1" applyFill="1" applyBorder="1" applyAlignment="1" applyProtection="0">
      <alignment horizontal="center" vertical="bottom"/>
    </xf>
    <xf numFmtId="0" fontId="2" fillId="2" borderId="50" applyNumberFormat="0" applyFont="1" applyFill="1" applyBorder="1" applyAlignment="1" applyProtection="0">
      <alignment vertical="bottom"/>
    </xf>
    <xf numFmtId="49" fontId="2" fillId="2" borderId="8" applyNumberFormat="1" applyFont="1" applyFill="1" applyBorder="1" applyAlignment="1" applyProtection="0">
      <alignment horizontal="left" vertical="bottom"/>
    </xf>
    <xf numFmtId="49" fontId="2" fillId="3" borderId="14" applyNumberFormat="1" applyFont="1" applyFill="1" applyBorder="1" applyAlignment="1" applyProtection="0">
      <alignment vertical="bottom"/>
    </xf>
    <xf numFmtId="63" fontId="2" fillId="2" borderId="8" applyNumberFormat="1" applyFont="1" applyFill="1" applyBorder="1" applyAlignment="1" applyProtection="0">
      <alignment horizontal="center" vertical="bottom"/>
    </xf>
    <xf numFmtId="60" fontId="2" fillId="2" borderId="1" applyNumberFormat="1" applyFont="1" applyFill="1" applyBorder="1" applyAlignment="1" applyProtection="0">
      <alignment vertical="bottom"/>
    </xf>
    <xf numFmtId="66" fontId="2" fillId="2" borderId="24" applyNumberFormat="1" applyFont="1" applyFill="1" applyBorder="1" applyAlignment="1" applyProtection="0">
      <alignment vertical="bottom"/>
    </xf>
    <xf numFmtId="66" fontId="2" fillId="2" borderId="26" applyNumberFormat="1" applyFont="1" applyFill="1" applyBorder="1" applyAlignment="1" applyProtection="0">
      <alignment vertical="bottom"/>
    </xf>
    <xf numFmtId="66" fontId="7" fillId="6" borderId="7" applyNumberFormat="1" applyFont="1" applyFill="1" applyBorder="1" applyAlignment="1" applyProtection="0">
      <alignment horizontal="center" vertical="bottom"/>
    </xf>
    <xf numFmtId="68" fontId="2" fillId="2" borderId="7" applyNumberFormat="1" applyFont="1" applyFill="1" applyBorder="1" applyAlignment="1" applyProtection="0">
      <alignment horizontal="center" vertical="bottom"/>
    </xf>
    <xf numFmtId="0" fontId="14" fillId="2" borderId="27" applyNumberFormat="0" applyFont="1" applyFill="1" applyBorder="1" applyAlignment="1" applyProtection="0">
      <alignment horizontal="center" vertical="bottom"/>
    </xf>
    <xf numFmtId="0" fontId="14" fillId="2" borderId="8" applyNumberFormat="0" applyFont="1" applyFill="1" applyBorder="1" applyAlignment="1" applyProtection="0">
      <alignment horizontal="center" vertical="bottom"/>
    </xf>
    <xf numFmtId="49" fontId="7" fillId="2" borderId="50" applyNumberFormat="1" applyFont="1" applyFill="1" applyBorder="1" applyAlignment="1" applyProtection="0">
      <alignment vertical="bottom"/>
    </xf>
    <xf numFmtId="0" fontId="2" fillId="2" borderId="51" applyNumberFormat="0" applyFont="1" applyFill="1" applyBorder="1" applyAlignment="1" applyProtection="0">
      <alignment vertical="bottom"/>
    </xf>
    <xf numFmtId="49" fontId="14" fillId="2" borderId="7" applyNumberFormat="1" applyFont="1" applyFill="1" applyBorder="1" applyAlignment="1" applyProtection="0">
      <alignment horizontal="left" vertical="bottom"/>
    </xf>
    <xf numFmtId="0" fontId="14" fillId="2" borderId="7" applyNumberFormat="0" applyFont="1" applyFill="1" applyBorder="1" applyAlignment="1" applyProtection="0">
      <alignment horizontal="center" vertical="bottom"/>
    </xf>
    <xf numFmtId="66" fontId="7" fillId="2" borderId="7" applyNumberFormat="1" applyFont="1" applyFill="1" applyBorder="1" applyAlignment="1" applyProtection="0">
      <alignment vertical="bottom"/>
    </xf>
    <xf numFmtId="66" fontId="2" fillId="2" borderId="7" applyNumberFormat="1" applyFont="1" applyFill="1" applyBorder="1" applyAlignment="1" applyProtection="0">
      <alignment vertical="bottom"/>
    </xf>
    <xf numFmtId="0" fontId="7" fillId="6" borderId="7" applyNumberFormat="0" applyFont="1" applyFill="1" applyBorder="1" applyAlignment="1" applyProtection="0">
      <alignment horizontal="center" vertical="bottom"/>
    </xf>
    <xf numFmtId="2" fontId="2" fillId="2" borderId="8" applyNumberFormat="1" applyFont="1" applyFill="1" applyBorder="1" applyAlignment="1" applyProtection="0">
      <alignment vertical="bottom"/>
    </xf>
    <xf numFmtId="62" fontId="2" fillId="2" borderId="7" applyNumberFormat="1" applyFont="1" applyFill="1" applyBorder="1" applyAlignment="1" applyProtection="0">
      <alignment horizontal="left" vertical="bottom"/>
    </xf>
    <xf numFmtId="60" fontId="7" fillId="2" borderId="8" applyNumberFormat="1" applyFont="1" applyFill="1" applyBorder="1" applyAlignment="1" applyProtection="0">
      <alignment horizontal="center" vertical="bottom"/>
    </xf>
    <xf numFmtId="60" fontId="2" fillId="2" borderId="42" applyNumberFormat="1" applyFont="1" applyFill="1" applyBorder="1" applyAlignment="1" applyProtection="0">
      <alignment vertical="bottom"/>
    </xf>
    <xf numFmtId="0" fontId="2" fillId="3" borderId="22" applyNumberFormat="0" applyFont="1" applyFill="1" applyBorder="1" applyAlignment="1" applyProtection="0">
      <alignment horizontal="center" vertical="bottom"/>
    </xf>
    <xf numFmtId="63" fontId="2" fillId="3" borderId="22" applyNumberFormat="1" applyFont="1" applyFill="1" applyBorder="1" applyAlignment="1" applyProtection="0">
      <alignment horizontal="center" vertical="bottom"/>
    </xf>
    <xf numFmtId="49" fontId="2" fillId="2" borderId="47" applyNumberFormat="1" applyFont="1" applyFill="1" applyBorder="1" applyAlignment="1" applyProtection="0">
      <alignment vertical="bottom"/>
    </xf>
    <xf numFmtId="0" fontId="2" fillId="2" borderId="47" applyNumberFormat="0" applyFont="1" applyFill="1" applyBorder="1" applyAlignment="1" applyProtection="0">
      <alignment horizontal="center" vertical="bottom"/>
    </xf>
    <xf numFmtId="63" fontId="2" fillId="2" borderId="47" applyNumberFormat="1" applyFont="1" applyFill="1" applyBorder="1" applyAlignment="1" applyProtection="0">
      <alignment horizontal="center" vertical="bottom"/>
    </xf>
    <xf numFmtId="49" fontId="2" fillId="2" borderId="1" applyNumberFormat="1" applyFont="1" applyFill="1" applyBorder="1" applyAlignment="1" applyProtection="0">
      <alignment horizontal="right" vertical="bottom"/>
    </xf>
    <xf numFmtId="0" fontId="2" fillId="2" borderId="1" applyNumberFormat="0" applyFont="1" applyFill="1" applyBorder="1" applyAlignment="1" applyProtection="0">
      <alignment horizontal="center" vertical="bottom"/>
    </xf>
    <xf numFmtId="63" fontId="2" fillId="2" borderId="1" applyNumberFormat="1" applyFont="1" applyFill="1" applyBorder="1" applyAlignment="1" applyProtection="0">
      <alignment horizontal="center" vertical="bottom"/>
    </xf>
    <xf numFmtId="49" fontId="2" fillId="2" borderId="2" applyNumberFormat="1" applyFont="1" applyFill="1" applyBorder="1" applyAlignment="1" applyProtection="0">
      <alignment horizontal="right" vertical="bottom"/>
    </xf>
    <xf numFmtId="0" fontId="2" fillId="2" borderId="2" applyNumberFormat="0" applyFont="1" applyFill="1" applyBorder="1" applyAlignment="1" applyProtection="0">
      <alignment horizontal="center" vertical="bottom"/>
    </xf>
    <xf numFmtId="63" fontId="2" fillId="2" borderId="2" applyNumberFormat="1" applyFont="1" applyFill="1" applyBorder="1" applyAlignment="1" applyProtection="0">
      <alignment horizontal="center" vertical="bottom"/>
    </xf>
    <xf numFmtId="63" fontId="2" fillId="2" borderId="7" applyNumberFormat="1" applyFont="1" applyFill="1" applyBorder="1" applyAlignment="1" applyProtection="0">
      <alignment vertical="bottom"/>
    </xf>
    <xf numFmtId="0" fontId="2" fillId="2" borderId="7" applyNumberFormat="1" applyFont="1" applyFill="1" applyBorder="1" applyAlignment="1" applyProtection="0">
      <alignment horizontal="right" vertical="bottom"/>
    </xf>
    <xf numFmtId="49" fontId="2" fillId="2" borderId="7" applyNumberFormat="1" applyFont="1" applyFill="1" applyBorder="1" applyAlignment="1" applyProtection="0">
      <alignment horizontal="justify" vertical="center"/>
    </xf>
    <xf numFmtId="69" fontId="2" fillId="2" borderId="7" applyNumberFormat="1" applyFont="1" applyFill="1" applyBorder="1" applyAlignment="1" applyProtection="0">
      <alignment horizontal="center" vertical="bottom"/>
    </xf>
    <xf numFmtId="63" fontId="7" fillId="2" borderId="7" applyNumberFormat="1" applyFont="1" applyFill="1" applyBorder="1" applyAlignment="1" applyProtection="0">
      <alignment vertical="bottom"/>
    </xf>
    <xf numFmtId="63" fontId="2" fillId="2" borderId="8" applyNumberFormat="1" applyFont="1" applyFill="1" applyBorder="1" applyAlignment="1" applyProtection="0">
      <alignment vertical="bottom"/>
    </xf>
    <xf numFmtId="49" fontId="14" fillId="2" borderId="7" applyNumberFormat="1" applyFont="1" applyFill="1" applyBorder="1" applyAlignment="1" applyProtection="0">
      <alignment vertical="bottom"/>
    </xf>
    <xf numFmtId="49" fontId="14" fillId="2" borderId="24" applyNumberFormat="1" applyFont="1" applyFill="1" applyBorder="1" applyAlignment="1" applyProtection="0">
      <alignment horizontal="center" vertical="bottom"/>
    </xf>
    <xf numFmtId="70" fontId="14" fillId="2" borderId="26" applyNumberFormat="1" applyFont="1" applyFill="1" applyBorder="1" applyAlignment="1" applyProtection="0">
      <alignment vertical="bottom"/>
    </xf>
    <xf numFmtId="0" fontId="2" fillId="2" borderId="4" applyNumberFormat="0" applyFont="1" applyFill="1" applyBorder="1" applyAlignment="1" applyProtection="0">
      <alignment horizontal="center" vertical="bottom"/>
    </xf>
    <xf numFmtId="63" fontId="2" fillId="2" borderId="1" applyNumberFormat="1" applyFont="1" applyFill="1" applyBorder="1" applyAlignment="1" applyProtection="0">
      <alignment vertical="bottom"/>
    </xf>
    <xf numFmtId="63" fontId="2" fillId="2" borderId="25" applyNumberFormat="1" applyFont="1" applyFill="1" applyBorder="1" applyAlignment="1" applyProtection="0">
      <alignment vertical="bottom"/>
    </xf>
    <xf numFmtId="49" fontId="7" fillId="2" borderId="26" applyNumberFormat="1" applyFont="1" applyFill="1" applyBorder="1" applyAlignment="1" applyProtection="0">
      <alignment horizontal="right" vertical="bottom"/>
    </xf>
    <xf numFmtId="49" fontId="7" fillId="2" borderId="7" applyNumberFormat="1" applyFont="1" applyFill="1" applyBorder="1" applyAlignment="1" applyProtection="0">
      <alignment horizontal="right" vertical="bottom"/>
    </xf>
    <xf numFmtId="0" fontId="7" fillId="2" borderId="8" applyNumberFormat="0" applyFont="1" applyFill="1" applyBorder="1" applyAlignment="1" applyProtection="0">
      <alignment horizontal="right" vertical="bottom"/>
    </xf>
    <xf numFmtId="49" fontId="7" fillId="2" borderId="8" applyNumberFormat="1" applyFont="1" applyFill="1" applyBorder="1" applyAlignment="1" applyProtection="0">
      <alignment horizontal="right" vertical="bottom"/>
    </xf>
    <xf numFmtId="0" fontId="7" fillId="2" borderId="42" applyNumberFormat="0" applyFont="1" applyFill="1" applyBorder="1" applyAlignment="1" applyProtection="0">
      <alignment horizontal="right" vertical="bottom"/>
    </xf>
    <xf numFmtId="49" fontId="7" fillId="2" borderId="42" applyNumberFormat="1" applyFont="1" applyFill="1" applyBorder="1" applyAlignment="1" applyProtection="0">
      <alignment horizontal="right" vertical="bottom"/>
    </xf>
    <xf numFmtId="0" fontId="2" fillId="2" borderId="42" applyNumberFormat="0" applyFont="1" applyFill="1" applyBorder="1" applyAlignment="1" applyProtection="0">
      <alignment horizontal="center" vertical="bottom"/>
    </xf>
    <xf numFmtId="63" fontId="2" fillId="2" borderId="42" applyNumberFormat="1" applyFont="1" applyFill="1" applyBorder="1" applyAlignment="1" applyProtection="0">
      <alignment vertical="bottom"/>
    </xf>
    <xf numFmtId="49" fontId="2" fillId="3" borderId="22" applyNumberFormat="1" applyFont="1" applyFill="1" applyBorder="1" applyAlignment="1" applyProtection="0">
      <alignment horizontal="right" vertical="bottom"/>
    </xf>
    <xf numFmtId="63" fontId="2" fillId="3" borderId="22" applyNumberFormat="1" applyFont="1" applyFill="1" applyBorder="1" applyAlignment="1" applyProtection="0">
      <alignment vertical="bottom"/>
    </xf>
    <xf numFmtId="49" fontId="2" fillId="2" borderId="47" applyNumberFormat="1" applyFont="1" applyFill="1" applyBorder="1" applyAlignment="1" applyProtection="0">
      <alignment horizontal="right" vertical="bottom"/>
    </xf>
    <xf numFmtId="63" fontId="2" fillId="2" borderId="47" applyNumberFormat="1" applyFont="1" applyFill="1" applyBorder="1" applyAlignment="1" applyProtection="0">
      <alignment vertical="bottom"/>
    </xf>
    <xf numFmtId="63" fontId="2" fillId="2" borderId="2" applyNumberFormat="1" applyFont="1" applyFill="1" applyBorder="1" applyAlignment="1" applyProtection="0">
      <alignment vertical="bottom"/>
    </xf>
    <xf numFmtId="49" fontId="2" fillId="2" borderId="7" applyNumberFormat="1" applyFont="1" applyFill="1" applyBorder="1" applyAlignment="1" applyProtection="0">
      <alignment horizontal="left" vertical="center"/>
    </xf>
    <xf numFmtId="0" fontId="7" fillId="2" borderId="7" applyNumberFormat="1" applyFont="1" applyFill="1" applyBorder="1" applyAlignment="1" applyProtection="0">
      <alignment vertical="bottom"/>
    </xf>
    <xf numFmtId="49" fontId="2" fillId="2" borderId="42" applyNumberFormat="1" applyFont="1" applyFill="1" applyBorder="1" applyAlignment="1" applyProtection="0">
      <alignment horizontal="right" vertical="bottom"/>
    </xf>
    <xf numFmtId="0" fontId="14" fillId="2" borderId="4" applyNumberFormat="0" applyFont="1" applyFill="1" applyBorder="1" applyAlignment="1" applyProtection="0">
      <alignment vertical="bottom"/>
    </xf>
    <xf numFmtId="62" fontId="2" fillId="2" borderId="7" applyNumberFormat="1" applyFont="1" applyFill="1" applyBorder="1" applyAlignment="1" applyProtection="0">
      <alignment vertical="bottom"/>
    </xf>
    <xf numFmtId="62" fontId="7" fillId="6" borderId="7" applyNumberFormat="1" applyFont="1" applyFill="1" applyBorder="1" applyAlignment="1" applyProtection="0">
      <alignment vertical="bottom"/>
    </xf>
    <xf numFmtId="70" fontId="2" fillId="2" borderId="7" applyNumberFormat="1" applyFont="1" applyFill="1" applyBorder="1" applyAlignment="1" applyProtection="0">
      <alignment horizontal="right" vertical="bottom"/>
    </xf>
    <xf numFmtId="13" fontId="2" fillId="2" borderId="7" applyNumberFormat="1" applyFont="1" applyFill="1" applyBorder="1" applyAlignment="1" applyProtection="0">
      <alignment horizontal="right" vertical="bottom"/>
    </xf>
    <xf numFmtId="63" fontId="14" fillId="2" borderId="1" applyNumberFormat="1" applyFont="1" applyFill="1" applyBorder="1" applyAlignment="1" applyProtection="0">
      <alignment vertical="bottom"/>
    </xf>
    <xf numFmtId="0" fontId="14" fillId="2" borderId="1" applyNumberFormat="0" applyFont="1" applyFill="1" applyBorder="1" applyAlignment="1" applyProtection="0">
      <alignment vertical="bottom"/>
    </xf>
    <xf numFmtId="2" fontId="2" fillId="2" borderId="25" applyNumberFormat="1" applyFont="1" applyFill="1" applyBorder="1" applyAlignment="1" applyProtection="0">
      <alignment vertical="bottom"/>
    </xf>
    <xf numFmtId="49" fontId="2" fillId="2" borderId="26" applyNumberFormat="1" applyFont="1" applyFill="1" applyBorder="1" applyAlignment="1" applyProtection="0">
      <alignment horizontal="right" vertical="bottom"/>
    </xf>
    <xf numFmtId="49" fontId="14" fillId="2" borderId="26" applyNumberFormat="1" applyFont="1" applyFill="1" applyBorder="1" applyAlignment="1" applyProtection="0">
      <alignment horizontal="center" vertical="bottom"/>
    </xf>
    <xf numFmtId="49" fontId="2" fillId="2" borderId="7" applyNumberFormat="1" applyFont="1" applyFill="1" applyBorder="1" applyAlignment="1" applyProtection="0">
      <alignment horizontal="left" vertical="bottom"/>
    </xf>
    <xf numFmtId="70" fontId="2" fillId="2" borderId="7" applyNumberFormat="1" applyFont="1" applyFill="1" applyBorder="1" applyAlignment="1" applyProtection="0">
      <alignment vertical="bottom"/>
    </xf>
    <xf numFmtId="1" fontId="2" fillId="2" borderId="7" applyNumberFormat="1" applyFont="1" applyFill="1" applyBorder="1" applyAlignment="1" applyProtection="0">
      <alignment horizontal="center" vertical="bottom"/>
    </xf>
    <xf numFmtId="49" fontId="14" fillId="2" borderId="24" applyNumberFormat="1" applyFont="1" applyFill="1" applyBorder="1" applyAlignment="1" applyProtection="0">
      <alignment vertical="bottom"/>
    </xf>
    <xf numFmtId="59" fontId="2" fillId="2" borderId="4" applyNumberFormat="1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horizontal="right" vertical="bottom"/>
    </xf>
    <xf numFmtId="49" fontId="9" fillId="2" borderId="32" applyNumberFormat="1" applyFont="1" applyFill="1" applyBorder="1" applyAlignment="1" applyProtection="0">
      <alignment horizontal="center" vertical="center"/>
    </xf>
    <xf numFmtId="0" fontId="9" fillId="2" borderId="32" applyNumberFormat="0" applyFont="1" applyFill="1" applyBorder="1" applyAlignment="1" applyProtection="0">
      <alignment horizontal="center" vertical="center"/>
    </xf>
    <xf numFmtId="49" fontId="17" fillId="7" borderId="52" applyNumberFormat="1" applyFont="1" applyFill="1" applyBorder="1" applyAlignment="1" applyProtection="0">
      <alignment horizontal="left" vertical="bottom"/>
    </xf>
    <xf numFmtId="0" fontId="17" fillId="7" borderId="53" applyNumberFormat="0" applyFont="1" applyFill="1" applyBorder="1" applyAlignment="1" applyProtection="0">
      <alignment horizontal="left" vertical="bottom"/>
    </xf>
    <xf numFmtId="49" fontId="17" fillId="7" borderId="54" applyNumberFormat="1" applyFont="1" applyFill="1" applyBorder="1" applyAlignment="1" applyProtection="0">
      <alignment horizontal="center" vertical="bottom"/>
    </xf>
    <xf numFmtId="49" fontId="17" fillId="7" borderId="53" applyNumberFormat="1" applyFont="1" applyFill="1" applyBorder="1" applyAlignment="1" applyProtection="0">
      <alignment horizontal="left" vertical="bottom"/>
    </xf>
    <xf numFmtId="49" fontId="18" fillId="2" borderId="55" applyNumberFormat="1" applyFont="1" applyFill="1" applyBorder="1" applyAlignment="1" applyProtection="0">
      <alignment horizontal="left" vertical="bottom"/>
    </xf>
    <xf numFmtId="0" fontId="18" fillId="2" borderId="51" applyNumberFormat="0" applyFont="1" applyFill="1" applyBorder="1" applyAlignment="1" applyProtection="0">
      <alignment horizontal="left" vertical="bottom"/>
    </xf>
    <xf numFmtId="49" fontId="18" fillId="2" borderId="56" applyNumberFormat="1" applyFont="1" applyFill="1" applyBorder="1" applyAlignment="1" applyProtection="0">
      <alignment horizontal="center" vertical="bottom"/>
    </xf>
    <xf numFmtId="49" fontId="2" fillId="2" borderId="55" applyNumberFormat="1" applyFont="1" applyFill="1" applyBorder="1" applyAlignment="1" applyProtection="0">
      <alignment vertical="bottom"/>
    </xf>
    <xf numFmtId="49" fontId="2" fillId="2" borderId="51" applyNumberFormat="1" applyFont="1" applyFill="1" applyBorder="1" applyAlignment="1" applyProtection="0">
      <alignment vertical="bottom"/>
    </xf>
    <xf numFmtId="62" fontId="19" fillId="2" borderId="56" applyNumberFormat="1" applyFont="1" applyFill="1" applyBorder="1" applyAlignment="1" applyProtection="0">
      <alignment horizontal="right" vertical="bottom"/>
    </xf>
    <xf numFmtId="49" fontId="18" fillId="8" borderId="57" applyNumberFormat="1" applyFont="1" applyFill="1" applyBorder="1" applyAlignment="1" applyProtection="0">
      <alignment horizontal="left" vertical="bottom"/>
    </xf>
    <xf numFmtId="0" fontId="18" fillId="8" borderId="22" applyNumberFormat="0" applyFont="1" applyFill="1" applyBorder="1" applyAlignment="1" applyProtection="0">
      <alignment horizontal="left" vertical="bottom"/>
    </xf>
    <xf numFmtId="49" fontId="18" fillId="8" borderId="58" applyNumberFormat="1" applyFont="1" applyFill="1" applyBorder="1" applyAlignment="1" applyProtection="0">
      <alignment horizontal="center" vertical="bottom"/>
    </xf>
    <xf numFmtId="49" fontId="2" fillId="8" borderId="57" applyNumberFormat="1" applyFont="1" applyFill="1" applyBorder="1" applyAlignment="1" applyProtection="0">
      <alignment vertical="bottom"/>
    </xf>
    <xf numFmtId="49" fontId="2" fillId="8" borderId="22" applyNumberFormat="1" applyFont="1" applyFill="1" applyBorder="1" applyAlignment="1" applyProtection="0">
      <alignment vertical="bottom"/>
    </xf>
    <xf numFmtId="62" fontId="19" fillId="8" borderId="58" applyNumberFormat="1" applyFont="1" applyFill="1" applyBorder="1" applyAlignment="1" applyProtection="0">
      <alignment horizontal="right" vertical="bottom"/>
    </xf>
    <xf numFmtId="0" fontId="19" fillId="2" borderId="55" applyNumberFormat="0" applyFont="1" applyFill="1" applyBorder="1" applyAlignment="1" applyProtection="0">
      <alignment horizontal="center" vertical="bottom"/>
    </xf>
    <xf numFmtId="0" fontId="19" fillId="2" borderId="51" applyNumberFormat="0" applyFont="1" applyFill="1" applyBorder="1" applyAlignment="1" applyProtection="0">
      <alignment horizontal="center" vertical="bottom"/>
    </xf>
    <xf numFmtId="0" fontId="19" fillId="2" borderId="56" applyNumberFormat="0" applyFont="1" applyFill="1" applyBorder="1" applyAlignment="1" applyProtection="0">
      <alignment horizontal="center" vertical="bottom"/>
    </xf>
    <xf numFmtId="49" fontId="17" fillId="7" borderId="57" applyNumberFormat="1" applyFont="1" applyFill="1" applyBorder="1" applyAlignment="1" applyProtection="0">
      <alignment horizontal="center" vertical="bottom"/>
    </xf>
    <xf numFmtId="0" fontId="17" fillId="7" borderId="22" applyNumberFormat="0" applyFont="1" applyFill="1" applyBorder="1" applyAlignment="1" applyProtection="0">
      <alignment horizontal="center" vertical="bottom"/>
    </xf>
    <xf numFmtId="49" fontId="17" fillId="7" borderId="58" applyNumberFormat="1" applyFont="1" applyFill="1" applyBorder="1" applyAlignment="1" applyProtection="0">
      <alignment horizontal="center" vertical="bottom"/>
    </xf>
    <xf numFmtId="49" fontId="19" fillId="2" borderId="55" applyNumberFormat="1" applyFont="1" applyFill="1" applyBorder="1" applyAlignment="1" applyProtection="0">
      <alignment horizontal="left" vertical="bottom"/>
    </xf>
    <xf numFmtId="0" fontId="19" fillId="2" borderId="51" applyNumberFormat="0" applyFont="1" applyFill="1" applyBorder="1" applyAlignment="1" applyProtection="0">
      <alignment horizontal="left" vertical="bottom"/>
    </xf>
    <xf numFmtId="62" fontId="19" fillId="2" borderId="56" applyNumberFormat="1" applyFont="1" applyFill="1" applyBorder="1" applyAlignment="1" applyProtection="0">
      <alignment horizontal="center" vertical="bottom"/>
    </xf>
    <xf numFmtId="49" fontId="19" fillId="8" borderId="57" applyNumberFormat="1" applyFont="1" applyFill="1" applyBorder="1" applyAlignment="1" applyProtection="0">
      <alignment horizontal="left" vertical="bottom"/>
    </xf>
    <xf numFmtId="0" fontId="19" fillId="8" borderId="22" applyNumberFormat="0" applyFont="1" applyFill="1" applyBorder="1" applyAlignment="1" applyProtection="0">
      <alignment horizontal="left" vertical="bottom"/>
    </xf>
    <xf numFmtId="62" fontId="19" fillId="8" borderId="58" applyNumberFormat="1" applyFont="1" applyFill="1" applyBorder="1" applyAlignment="1" applyProtection="0">
      <alignment horizontal="center" vertical="bottom"/>
    </xf>
    <xf numFmtId="49" fontId="18" fillId="8" borderId="57" applyNumberFormat="1" applyFont="1" applyFill="1" applyBorder="1" applyAlignment="1" applyProtection="0">
      <alignment horizontal="center" vertical="center"/>
    </xf>
    <xf numFmtId="0" fontId="18" fillId="8" borderId="22" applyNumberFormat="0" applyFont="1" applyFill="1" applyBorder="1" applyAlignment="1" applyProtection="0">
      <alignment horizontal="center" vertical="center"/>
    </xf>
    <xf numFmtId="0" fontId="18" fillId="8" borderId="58" applyNumberFormat="0" applyFont="1" applyFill="1" applyBorder="1" applyAlignment="1" applyProtection="0">
      <alignment horizontal="center" vertical="center"/>
    </xf>
    <xf numFmtId="49" fontId="17" fillId="7" borderId="57" applyNumberFormat="1" applyFont="1" applyFill="1" applyBorder="1" applyAlignment="1" applyProtection="0">
      <alignment horizontal="left" vertical="bottom"/>
    </xf>
    <xf numFmtId="0" fontId="17" fillId="7" borderId="22" applyNumberFormat="0" applyFont="1" applyFill="1" applyBorder="1" applyAlignment="1" applyProtection="0">
      <alignment horizontal="left" vertical="bottom"/>
    </xf>
    <xf numFmtId="49" fontId="19" fillId="2" borderId="55" applyNumberFormat="1" applyFont="1" applyFill="1" applyBorder="1" applyAlignment="1" applyProtection="0">
      <alignment horizontal="center" vertical="bottom"/>
    </xf>
    <xf numFmtId="49" fontId="19" fillId="2" borderId="51" applyNumberFormat="1" applyFont="1" applyFill="1" applyBorder="1" applyAlignment="1" applyProtection="0">
      <alignment horizontal="center" vertical="bottom"/>
    </xf>
    <xf numFmtId="49" fontId="19" fillId="2" borderId="56" applyNumberFormat="1" applyFont="1" applyFill="1" applyBorder="1" applyAlignment="1" applyProtection="0">
      <alignment horizontal="center" vertical="bottom"/>
    </xf>
    <xf numFmtId="49" fontId="17" fillId="7" borderId="22" applyNumberFormat="1" applyFont="1" applyFill="1" applyBorder="1" applyAlignment="1" applyProtection="0">
      <alignment horizontal="left" vertical="bottom"/>
    </xf>
    <xf numFmtId="49" fontId="19" fillId="2" borderId="51" applyNumberFormat="1" applyFont="1" applyFill="1" applyBorder="1" applyAlignment="1" applyProtection="0">
      <alignment horizontal="left" vertical="bottom"/>
    </xf>
    <xf numFmtId="49" fontId="19" fillId="8" borderId="22" applyNumberFormat="1" applyFont="1" applyFill="1" applyBorder="1" applyAlignment="1" applyProtection="0">
      <alignment horizontal="left" vertical="bottom"/>
    </xf>
    <xf numFmtId="49" fontId="20" fillId="8" borderId="57" applyNumberFormat="1" applyFont="1" applyFill="1" applyBorder="1" applyAlignment="1" applyProtection="0">
      <alignment horizontal="center" vertical="bottom"/>
    </xf>
    <xf numFmtId="0" fontId="20" fillId="8" borderId="22" applyNumberFormat="0" applyFont="1" applyFill="1" applyBorder="1" applyAlignment="1" applyProtection="0">
      <alignment horizontal="center" vertical="bottom"/>
    </xf>
    <xf numFmtId="0" fontId="20" fillId="8" borderId="58" applyNumberFormat="0" applyFont="1" applyFill="1" applyBorder="1" applyAlignment="1" applyProtection="0">
      <alignment horizontal="center" vertical="bottom"/>
    </xf>
    <xf numFmtId="49" fontId="19" fillId="2" borderId="59" applyNumberFormat="1" applyFont="1" applyFill="1" applyBorder="1" applyAlignment="1" applyProtection="0">
      <alignment horizontal="left" vertical="bottom"/>
    </xf>
    <xf numFmtId="0" fontId="19" fillId="2" borderId="47" applyNumberFormat="0" applyFont="1" applyFill="1" applyBorder="1" applyAlignment="1" applyProtection="0">
      <alignment horizontal="left" vertical="bottom"/>
    </xf>
    <xf numFmtId="62" fontId="19" fillId="2" borderId="60" applyNumberFormat="1" applyFont="1" applyFill="1" applyBorder="1" applyAlignment="1" applyProtection="0">
      <alignment horizontal="center" vertical="bottom"/>
    </xf>
    <xf numFmtId="0" fontId="19" fillId="2" borderId="61" applyNumberFormat="0" applyFont="1" applyFill="1" applyBorder="1" applyAlignment="1" applyProtection="0">
      <alignment horizontal="center" vertical="bottom"/>
    </xf>
    <xf numFmtId="0" fontId="19" fillId="2" borderId="42" applyNumberFormat="0" applyFont="1" applyFill="1" applyBorder="1" applyAlignment="1" applyProtection="0">
      <alignment horizontal="center" vertical="bottom"/>
    </xf>
    <xf numFmtId="62" fontId="19" fillId="2" borderId="62" applyNumberFormat="1" applyFont="1" applyFill="1" applyBorder="1" applyAlignment="1" applyProtection="0">
      <alignment horizontal="center" vertical="bottom"/>
    </xf>
    <xf numFmtId="49" fontId="19" fillId="8" borderId="57" applyNumberFormat="1" applyFont="1" applyFill="1" applyBorder="1" applyAlignment="1" applyProtection="0">
      <alignment horizontal="left" vertical="center" wrapText="1"/>
    </xf>
    <xf numFmtId="49" fontId="19" fillId="8" borderId="22" applyNumberFormat="1" applyFont="1" applyFill="1" applyBorder="1" applyAlignment="1" applyProtection="0">
      <alignment horizontal="left" vertical="center" wrapText="1"/>
    </xf>
    <xf numFmtId="62" fontId="2" fillId="8" borderId="58" applyNumberFormat="1" applyFont="1" applyFill="1" applyBorder="1" applyAlignment="1" applyProtection="0">
      <alignment vertical="center"/>
    </xf>
    <xf numFmtId="49" fontId="20" fillId="8" borderId="57" applyNumberFormat="1" applyFont="1" applyFill="1" applyBorder="1" applyAlignment="1" applyProtection="0">
      <alignment horizontal="left" vertical="bottom"/>
    </xf>
    <xf numFmtId="49" fontId="20" fillId="8" borderId="22" applyNumberFormat="1" applyFont="1" applyFill="1" applyBorder="1" applyAlignment="1" applyProtection="0">
      <alignment horizontal="left" vertical="bottom"/>
    </xf>
    <xf numFmtId="49" fontId="20" fillId="8" borderId="58" applyNumberFormat="1" applyFont="1" applyFill="1" applyBorder="1" applyAlignment="1" applyProtection="0">
      <alignment horizontal="left" vertical="bottom"/>
    </xf>
    <xf numFmtId="49" fontId="20" fillId="2" borderId="55" applyNumberFormat="1" applyFont="1" applyFill="1" applyBorder="1" applyAlignment="1" applyProtection="0">
      <alignment horizontal="left" vertical="bottom"/>
    </xf>
    <xf numFmtId="49" fontId="20" fillId="2" borderId="51" applyNumberFormat="1" applyFont="1" applyFill="1" applyBorder="1" applyAlignment="1" applyProtection="0">
      <alignment horizontal="left" vertical="bottom"/>
    </xf>
    <xf numFmtId="49" fontId="20" fillId="2" borderId="56" applyNumberFormat="1" applyFont="1" applyFill="1" applyBorder="1" applyAlignment="1" applyProtection="0">
      <alignment horizontal="left" vertical="bottom"/>
    </xf>
    <xf numFmtId="49" fontId="20" fillId="2" borderId="59" applyNumberFormat="1" applyFont="1" applyFill="1" applyBorder="1" applyAlignment="1" applyProtection="0">
      <alignment horizontal="left" vertical="bottom"/>
    </xf>
    <xf numFmtId="49" fontId="20" fillId="2" borderId="47" applyNumberFormat="1" applyFont="1" applyFill="1" applyBorder="1" applyAlignment="1" applyProtection="0">
      <alignment horizontal="left" vertical="bottom"/>
    </xf>
    <xf numFmtId="49" fontId="20" fillId="2" borderId="60" applyNumberFormat="1" applyFont="1" applyFill="1" applyBorder="1" applyAlignment="1" applyProtection="0">
      <alignment horizontal="left" vertical="bottom"/>
    </xf>
    <xf numFmtId="49" fontId="19" fillId="2" borderId="61" applyNumberFormat="1" applyFont="1" applyFill="1" applyBorder="1" applyAlignment="1" applyProtection="0">
      <alignment horizontal="center" vertical="bottom"/>
    </xf>
    <xf numFmtId="49" fontId="19" fillId="2" borderId="42" applyNumberFormat="1" applyFont="1" applyFill="1" applyBorder="1" applyAlignment="1" applyProtection="0">
      <alignment horizontal="center" vertical="bottom"/>
    </xf>
    <xf numFmtId="49" fontId="19" fillId="2" borderId="62" applyNumberFormat="1" applyFont="1" applyFill="1" applyBorder="1" applyAlignment="1" applyProtection="0">
      <alignment horizontal="center" vertical="bottom"/>
    </xf>
    <xf numFmtId="49" fontId="18" fillId="2" borderId="59" applyNumberFormat="1" applyFont="1" applyFill="1" applyBorder="1" applyAlignment="1" applyProtection="0">
      <alignment horizontal="left" vertical="center" wrapText="1"/>
    </xf>
    <xf numFmtId="49" fontId="18" fillId="2" borderId="47" applyNumberFormat="1" applyFont="1" applyFill="1" applyBorder="1" applyAlignment="1" applyProtection="0">
      <alignment horizontal="left" vertical="center" wrapText="1"/>
    </xf>
    <xf numFmtId="49" fontId="18" fillId="2" borderId="60" applyNumberFormat="1" applyFont="1" applyFill="1" applyBorder="1" applyAlignment="1" applyProtection="0">
      <alignment horizontal="left" vertical="center" wrapText="1"/>
    </xf>
    <xf numFmtId="49" fontId="19" fillId="2" borderId="55" applyNumberFormat="1" applyFont="1" applyFill="1" applyBorder="1" applyAlignment="1" applyProtection="0">
      <alignment horizontal="left" vertical="center" wrapText="1"/>
    </xf>
    <xf numFmtId="0" fontId="19" fillId="2" borderId="51" applyNumberFormat="0" applyFont="1" applyFill="1" applyBorder="1" applyAlignment="1" applyProtection="0">
      <alignment horizontal="left" vertical="center" wrapText="1"/>
    </xf>
    <xf numFmtId="62" fontId="2" fillId="2" borderId="56" applyNumberFormat="1" applyFont="1" applyFill="1" applyBorder="1" applyAlignment="1" applyProtection="0">
      <alignment vertical="center"/>
    </xf>
    <xf numFmtId="49" fontId="18" fillId="2" borderId="37" applyNumberFormat="1" applyFont="1" applyFill="1" applyBorder="1" applyAlignment="1" applyProtection="0">
      <alignment horizontal="left" vertical="center" wrapText="1"/>
    </xf>
    <xf numFmtId="49" fontId="18" fillId="2" borderId="1" applyNumberFormat="1" applyFont="1" applyFill="1" applyBorder="1" applyAlignment="1" applyProtection="0">
      <alignment horizontal="left" vertical="center" wrapText="1"/>
    </xf>
    <xf numFmtId="49" fontId="18" fillId="2" borderId="33" applyNumberFormat="1" applyFont="1" applyFill="1" applyBorder="1" applyAlignment="1" applyProtection="0">
      <alignment horizontal="left" vertical="center" wrapText="1"/>
    </xf>
    <xf numFmtId="0" fontId="19" fillId="2" borderId="62" applyNumberFormat="0" applyFont="1" applyFill="1" applyBorder="1" applyAlignment="1" applyProtection="0">
      <alignment horizontal="center" vertical="bottom"/>
    </xf>
    <xf numFmtId="49" fontId="17" fillId="7" borderId="22" applyNumberFormat="1" applyFont="1" applyFill="1" applyBorder="1" applyAlignment="1" applyProtection="0">
      <alignment horizontal="center" vertical="bottom"/>
    </xf>
    <xf numFmtId="49" fontId="19" fillId="2" borderId="51" applyNumberFormat="1" applyFont="1" applyFill="1" applyBorder="1" applyAlignment="1" applyProtection="0">
      <alignment horizontal="left" vertical="center" wrapText="1"/>
    </xf>
    <xf numFmtId="49" fontId="19" fillId="2" borderId="63" applyNumberFormat="1" applyFont="1" applyFill="1" applyBorder="1" applyAlignment="1" applyProtection="0">
      <alignment horizontal="left" vertical="bottom"/>
    </xf>
    <xf numFmtId="49" fontId="19" fillId="2" borderId="64" applyNumberFormat="1" applyFont="1" applyFill="1" applyBorder="1" applyAlignment="1" applyProtection="0">
      <alignment horizontal="left" vertical="bottom"/>
    </xf>
    <xf numFmtId="62" fontId="19" fillId="2" borderId="65" applyNumberFormat="1" applyFont="1" applyFill="1" applyBorder="1" applyAlignment="1" applyProtection="0">
      <alignment horizontal="center" vertical="bottom"/>
    </xf>
    <xf numFmtId="0" fontId="19" fillId="2" borderId="64" applyNumberFormat="0" applyFont="1" applyFill="1" applyBorder="1" applyAlignment="1" applyProtection="0">
      <alignment horizontal="left" vertical="bottom"/>
    </xf>
    <xf numFmtId="49" fontId="19" fillId="8" borderId="52" applyNumberFormat="1" applyFont="1" applyFill="1" applyBorder="1" applyAlignment="1" applyProtection="0">
      <alignment horizontal="left" vertical="bottom"/>
    </xf>
    <xf numFmtId="0" fontId="19" fillId="8" borderId="53" applyNumberFormat="0" applyFont="1" applyFill="1" applyBorder="1" applyAlignment="1" applyProtection="0">
      <alignment horizontal="left" vertical="bottom"/>
    </xf>
    <xf numFmtId="62" fontId="19" fillId="8" borderId="54" applyNumberFormat="1" applyFont="1" applyFill="1" applyBorder="1" applyAlignment="1" applyProtection="0">
      <alignment horizontal="center" vertical="bottom"/>
    </xf>
    <xf numFmtId="49" fontId="19" fillId="8" borderId="53" applyNumberFormat="1" applyFont="1" applyFill="1" applyBorder="1" applyAlignment="1" applyProtection="0">
      <alignment horizontal="left" vertical="bottom"/>
    </xf>
    <xf numFmtId="62" fontId="2" fillId="8" borderId="54" applyNumberFormat="1" applyFont="1" applyFill="1" applyBorder="1" applyAlignment="1" applyProtection="0">
      <alignment vertical="bottom"/>
    </xf>
    <xf numFmtId="62" fontId="2" fillId="2" borderId="56" applyNumberFormat="1" applyFont="1" applyFill="1" applyBorder="1" applyAlignment="1" applyProtection="0">
      <alignment vertical="bottom"/>
    </xf>
    <xf numFmtId="62" fontId="2" fillId="8" borderId="58" applyNumberFormat="1" applyFont="1" applyFill="1" applyBorder="1" applyAlignment="1" applyProtection="0">
      <alignment vertical="bottom"/>
    </xf>
    <xf numFmtId="0" fontId="19" fillId="8" borderId="22" applyNumberFormat="0" applyFont="1" applyFill="1" applyBorder="1" applyAlignment="1" applyProtection="0">
      <alignment horizontal="left" vertical="center" wrapText="1"/>
    </xf>
    <xf numFmtId="49" fontId="20" fillId="2" borderId="59" applyNumberFormat="1" applyFont="1" applyFill="1" applyBorder="1" applyAlignment="1" applyProtection="0">
      <alignment horizontal="left" vertical="center" wrapText="1"/>
    </xf>
    <xf numFmtId="49" fontId="20" fillId="2" borderId="47" applyNumberFormat="1" applyFont="1" applyFill="1" applyBorder="1" applyAlignment="1" applyProtection="0">
      <alignment horizontal="left" vertical="center" wrapText="1"/>
    </xf>
    <xf numFmtId="49" fontId="20" fillId="2" borderId="60" applyNumberFormat="1" applyFont="1" applyFill="1" applyBorder="1" applyAlignment="1" applyProtection="0">
      <alignment horizontal="left" vertical="center" wrapText="1"/>
    </xf>
    <xf numFmtId="49" fontId="20" fillId="2" borderId="61" applyNumberFormat="1" applyFont="1" applyFill="1" applyBorder="1" applyAlignment="1" applyProtection="0">
      <alignment horizontal="left" vertical="center" wrapText="1"/>
    </xf>
    <xf numFmtId="49" fontId="20" fillId="2" borderId="42" applyNumberFormat="1" applyFont="1" applyFill="1" applyBorder="1" applyAlignment="1" applyProtection="0">
      <alignment horizontal="left" vertical="center" wrapText="1"/>
    </xf>
    <xf numFmtId="49" fontId="20" fillId="2" borderId="62" applyNumberFormat="1" applyFont="1" applyFill="1" applyBorder="1" applyAlignment="1" applyProtection="0">
      <alignment horizontal="left" vertical="center" wrapText="1"/>
    </xf>
    <xf numFmtId="62" fontId="2" fillId="2" borderId="65" applyNumberFormat="1" applyFont="1" applyFill="1" applyBorder="1" applyAlignment="1" applyProtection="0">
      <alignment vertical="bottom"/>
    </xf>
    <xf numFmtId="49" fontId="19" fillId="8" borderId="66" applyNumberFormat="1" applyFont="1" applyFill="1" applyBorder="1" applyAlignment="1" applyProtection="0">
      <alignment horizontal="left" vertical="bottom"/>
    </xf>
    <xf numFmtId="49" fontId="19" fillId="8" borderId="67" applyNumberFormat="1" applyFont="1" applyFill="1" applyBorder="1" applyAlignment="1" applyProtection="0">
      <alignment horizontal="left" vertical="bottom"/>
    </xf>
    <xf numFmtId="62" fontId="19" fillId="8" borderId="68" applyNumberFormat="1" applyFont="1" applyFill="1" applyBorder="1" applyAlignment="1" applyProtection="0">
      <alignment horizontal="right" vertical="bottom"/>
    </xf>
    <xf numFmtId="49" fontId="19" fillId="2" borderId="41" applyNumberFormat="1" applyFont="1" applyFill="1" applyBorder="1" applyAlignment="1" applyProtection="0">
      <alignment horizontal="left" vertical="bottom"/>
    </xf>
    <xf numFmtId="62" fontId="2" fillId="2" borderId="41" applyNumberFormat="1" applyFont="1" applyFill="1" applyBorder="1" applyAlignment="1" applyProtection="0">
      <alignment vertical="bottom"/>
    </xf>
    <xf numFmtId="62" fontId="19" fillId="2" borderId="41" applyNumberFormat="1" applyFont="1" applyFill="1" applyBorder="1" applyAlignment="1" applyProtection="0">
      <alignment horizontal="right" vertical="bottom"/>
    </xf>
    <xf numFmtId="49" fontId="21" fillId="2" borderId="1" applyNumberFormat="1" applyFont="1" applyFill="1" applyBorder="1" applyAlignment="1" applyProtection="0">
      <alignment vertical="bottom"/>
    </xf>
    <xf numFmtId="0" fontId="21" fillId="2" borderId="1" applyNumberFormat="0" applyFont="1" applyFill="1" applyBorder="1" applyAlignment="1" applyProtection="0">
      <alignment vertical="bottom"/>
    </xf>
    <xf numFmtId="0" fontId="22" fillId="2" borderId="1" applyNumberFormat="0" applyFont="1" applyFill="1" applyBorder="1" applyAlignment="1" applyProtection="0">
      <alignment vertical="bottom"/>
    </xf>
    <xf numFmtId="0" fontId="22" fillId="2" borderId="69" applyNumberFormat="0" applyFont="1" applyFill="1" applyBorder="1" applyAlignment="1" applyProtection="0">
      <alignment vertical="bottom"/>
    </xf>
    <xf numFmtId="0" fontId="22" fillId="2" borderId="32" applyNumberFormat="0" applyFont="1" applyFill="1" applyBorder="1" applyAlignment="1" applyProtection="0">
      <alignment vertical="bottom"/>
    </xf>
    <xf numFmtId="0" fontId="22" fillId="2" borderId="32" applyNumberFormat="0" applyFont="1" applyFill="1" applyBorder="1" applyAlignment="1" applyProtection="0">
      <alignment horizontal="right" vertical="bottom"/>
    </xf>
    <xf numFmtId="49" fontId="7" fillId="2" borderId="32" applyNumberFormat="1" applyFont="1" applyFill="1" applyBorder="1" applyAlignment="1" applyProtection="0">
      <alignment vertical="bottom"/>
    </xf>
    <xf numFmtId="0" fontId="7" fillId="2" borderId="32" applyNumberFormat="0" applyFont="1" applyFill="1" applyBorder="1" applyAlignment="1" applyProtection="0">
      <alignment vertical="bottom"/>
    </xf>
    <xf numFmtId="49" fontId="7" fillId="2" borderId="70" applyNumberFormat="1" applyFont="1" applyFill="1" applyBorder="1" applyAlignment="1" applyProtection="0">
      <alignment horizontal="left" vertical="center" wrapText="1"/>
    </xf>
    <xf numFmtId="0" fontId="7" fillId="2" borderId="41" applyNumberFormat="0" applyFont="1" applyFill="1" applyBorder="1" applyAlignment="1" applyProtection="0">
      <alignment horizontal="left" vertical="center" wrapText="1"/>
    </xf>
    <xf numFmtId="0" fontId="7" fillId="2" borderId="71" applyNumberFormat="0" applyFont="1" applyFill="1" applyBorder="1" applyAlignment="1" applyProtection="0">
      <alignment horizontal="left" vertical="center" wrapText="1"/>
    </xf>
    <xf numFmtId="0" fontId="7" fillId="2" borderId="37" applyNumberFormat="0" applyFont="1" applyFill="1" applyBorder="1" applyAlignment="1" applyProtection="0">
      <alignment horizontal="left" vertical="center" wrapText="1"/>
    </xf>
    <xf numFmtId="0" fontId="7" fillId="2" borderId="1" applyNumberFormat="0" applyFont="1" applyFill="1" applyBorder="1" applyAlignment="1" applyProtection="0">
      <alignment horizontal="left" vertical="center" wrapText="1"/>
    </xf>
    <xf numFmtId="0" fontId="7" fillId="2" borderId="33" applyNumberFormat="0" applyFont="1" applyFill="1" applyBorder="1" applyAlignment="1" applyProtection="0">
      <alignment horizontal="left" vertical="center" wrapText="1"/>
    </xf>
    <xf numFmtId="0" fontId="7" fillId="2" borderId="72" applyNumberFormat="0" applyFont="1" applyFill="1" applyBorder="1" applyAlignment="1" applyProtection="0">
      <alignment horizontal="left" vertical="center" wrapText="1"/>
    </xf>
    <xf numFmtId="0" fontId="7" fillId="2" borderId="32" applyNumberFormat="0" applyFont="1" applyFill="1" applyBorder="1" applyAlignment="1" applyProtection="0">
      <alignment horizontal="left" vertical="center" wrapText="1"/>
    </xf>
    <xf numFmtId="0" fontId="7" fillId="2" borderId="73" applyNumberFormat="0" applyFont="1" applyFill="1" applyBorder="1" applyAlignment="1" applyProtection="0">
      <alignment horizontal="left" vertical="center" wrapText="1"/>
    </xf>
    <xf numFmtId="0" fontId="7" fillId="2" borderId="74" applyNumberFormat="0" applyFont="1" applyFill="1" applyBorder="1" applyAlignment="1" applyProtection="0">
      <alignment vertical="center" wrapText="1"/>
    </xf>
    <xf numFmtId="0" fontId="7" fillId="2" borderId="75" applyNumberFormat="0" applyFont="1" applyFill="1" applyBorder="1" applyAlignment="1" applyProtection="0">
      <alignment vertical="center" wrapText="1"/>
    </xf>
    <xf numFmtId="0" fontId="2" fillId="2" borderId="41" applyNumberFormat="0" applyFont="1" applyFill="1" applyBorder="1" applyAlignment="1" applyProtection="0">
      <alignment horizontal="right" vertical="bottom"/>
    </xf>
    <xf numFmtId="49" fontId="2" fillId="2" borderId="41" applyNumberFormat="1" applyFont="1" applyFill="1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d0806"/>
      <rgbColor rgb="ff33cccc"/>
      <rgbColor rgb="ff969696"/>
      <rgbColor rgb="ffc0c0c0"/>
      <rgbColor rgb="ffff0000"/>
      <rgbColor rgb="fffcf305"/>
      <rgbColor rgb="ff3366ff"/>
      <rgbColor rgb="ffcc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7530"/>
  <sheetViews>
    <sheetView workbookViewId="0" showGridLines="0" defaultGridColor="1"/>
  </sheetViews>
  <sheetFormatPr defaultColWidth="8.83333" defaultRowHeight="13.45" customHeight="1" outlineLevelRow="0" outlineLevelCol="0"/>
  <cols>
    <col min="1" max="1" width="6.85156" style="1" customWidth="1"/>
    <col min="2" max="2" width="22" style="1" customWidth="1"/>
    <col min="3" max="3" width="15.5" style="1" customWidth="1"/>
    <col min="4" max="4" width="11.5" style="1" customWidth="1"/>
    <col min="5" max="5" width="11" style="1" customWidth="1"/>
    <col min="6" max="6" width="12" style="1" customWidth="1"/>
    <col min="7" max="7" width="12.5" style="1" customWidth="1"/>
    <col min="8" max="8" width="9" style="1" customWidth="1"/>
    <col min="9" max="16384" width="8.85156" style="1" customWidth="1"/>
  </cols>
  <sheetData>
    <row r="1" ht="16.6" customHeight="1">
      <c r="A1" s="2"/>
      <c r="B1" s="3"/>
      <c r="C1" s="3"/>
      <c r="D1" s="4"/>
      <c r="E1" s="5"/>
      <c r="F1" s="3"/>
      <c r="G1" s="3"/>
      <c r="H1" s="3"/>
    </row>
    <row r="2" ht="16.6" customHeight="1">
      <c r="A2" s="2"/>
      <c r="B2" s="3"/>
      <c r="C2" s="3"/>
      <c r="D2" s="4"/>
      <c r="E2" s="5"/>
      <c r="F2" s="3"/>
      <c r="G2" s="3"/>
      <c r="H2" s="3"/>
    </row>
    <row r="3" ht="16.6" customHeight="1">
      <c r="A3" s="2"/>
      <c r="B3" s="3"/>
      <c r="C3" s="3"/>
      <c r="D3" s="4"/>
      <c r="E3" s="5"/>
      <c r="F3" s="3"/>
      <c r="G3" s="3"/>
      <c r="H3" s="3"/>
    </row>
    <row r="4" ht="16.6" customHeight="1">
      <c r="A4" s="3"/>
      <c r="B4" s="3"/>
      <c r="C4" s="3"/>
      <c r="D4" s="4"/>
      <c r="E4" s="5"/>
      <c r="F4" s="3"/>
      <c r="G4" s="3"/>
      <c r="H4" s="3"/>
    </row>
    <row r="5" ht="16.6" customHeight="1">
      <c r="A5" s="3"/>
      <c r="B5" s="3"/>
      <c r="C5" s="3"/>
      <c r="D5" s="4"/>
      <c r="E5" s="5"/>
      <c r="F5" s="3"/>
      <c r="G5" s="3"/>
      <c r="H5" s="3"/>
    </row>
    <row r="6" ht="16.6" customHeight="1">
      <c r="A6" s="3"/>
      <c r="B6" s="3"/>
      <c r="C6" s="3"/>
      <c r="D6" s="4"/>
      <c r="E6" s="5"/>
      <c r="F6" s="3"/>
      <c r="G6" s="3"/>
      <c r="H6" s="3"/>
    </row>
    <row r="7" ht="16.6" customHeight="1">
      <c r="A7" s="3"/>
      <c r="B7" s="3"/>
      <c r="C7" s="3"/>
      <c r="D7" s="4"/>
      <c r="E7" s="5"/>
      <c r="F7" s="3"/>
      <c r="G7" s="3"/>
      <c r="H7" s="3"/>
    </row>
    <row r="8" ht="16.6" customHeight="1">
      <c r="A8" s="3"/>
      <c r="B8" s="3"/>
      <c r="C8" s="3"/>
      <c r="D8" s="4"/>
      <c r="E8" s="5"/>
      <c r="F8" s="3"/>
      <c r="G8" s="3"/>
      <c r="H8" s="3"/>
    </row>
    <row r="9" ht="16.6" customHeight="1">
      <c r="A9" s="3"/>
      <c r="B9" s="3"/>
      <c r="C9" s="3"/>
      <c r="D9" s="4"/>
      <c r="E9" s="5"/>
      <c r="F9" s="3"/>
      <c r="G9" s="3"/>
      <c r="H9" s="3"/>
    </row>
    <row r="10" ht="16.6" customHeight="1">
      <c r="A10" s="3"/>
      <c r="B10" s="3"/>
      <c r="C10" s="3"/>
      <c r="D10" s="4"/>
      <c r="E10" s="5"/>
      <c r="F10" s="3"/>
      <c r="G10" s="3"/>
      <c r="H10" s="3"/>
    </row>
    <row r="11" ht="16.6" customHeight="1">
      <c r="A11" s="3"/>
      <c r="B11" s="3"/>
      <c r="C11" s="3"/>
      <c r="D11" s="4"/>
      <c r="E11" s="5"/>
      <c r="F11" s="3"/>
      <c r="G11" s="3"/>
      <c r="H11" s="3"/>
    </row>
    <row r="12" ht="16.6" customHeight="1">
      <c r="A12" s="3"/>
      <c r="B12" s="3"/>
      <c r="C12" s="3"/>
      <c r="D12" s="4"/>
      <c r="E12" s="5"/>
      <c r="F12" s="3"/>
      <c r="G12" s="3"/>
      <c r="H12" s="3"/>
    </row>
    <row r="13" ht="16.6" customHeight="1">
      <c r="A13" s="3"/>
      <c r="B13" s="3"/>
      <c r="C13" s="3"/>
      <c r="D13" s="4"/>
      <c r="E13" s="5"/>
      <c r="F13" s="3"/>
      <c r="G13" s="3"/>
      <c r="H13" s="3"/>
    </row>
    <row r="14" ht="16.6" customHeight="1">
      <c r="A14" s="3"/>
      <c r="B14" s="3"/>
      <c r="C14" s="3"/>
      <c r="D14" s="4"/>
      <c r="E14" s="5"/>
      <c r="F14" s="3"/>
      <c r="G14" s="3"/>
      <c r="H14" s="3"/>
    </row>
    <row r="15" ht="16.6" customHeight="1">
      <c r="A15" s="3"/>
      <c r="B15" s="3"/>
      <c r="C15" s="3"/>
      <c r="D15" s="4"/>
      <c r="E15" s="5"/>
      <c r="F15" s="3"/>
      <c r="G15" s="3"/>
      <c r="H15" s="3"/>
    </row>
    <row r="16" ht="16.6" customHeight="1">
      <c r="A16" s="3"/>
      <c r="B16" s="3"/>
      <c r="C16" s="3"/>
      <c r="D16" s="4"/>
      <c r="E16" s="5"/>
      <c r="F16" s="3"/>
      <c r="G16" s="3"/>
      <c r="H16" s="3"/>
    </row>
    <row r="17" ht="16.6" customHeight="1">
      <c r="A17" s="3"/>
      <c r="B17" s="3"/>
      <c r="C17" s="3"/>
      <c r="D17" s="4"/>
      <c r="E17" s="5"/>
      <c r="F17" s="3"/>
      <c r="G17" s="3"/>
      <c r="H17" s="3"/>
    </row>
    <row r="18" ht="16.6" customHeight="1">
      <c r="A18" s="3"/>
      <c r="B18" s="3"/>
      <c r="C18" s="3"/>
      <c r="D18" s="4"/>
      <c r="E18" s="5"/>
      <c r="F18" s="3"/>
      <c r="G18" s="3"/>
      <c r="H18" s="3"/>
    </row>
    <row r="19" ht="16.6" customHeight="1">
      <c r="A19" s="3"/>
      <c r="B19" s="3"/>
      <c r="C19" s="3"/>
      <c r="D19" s="4"/>
      <c r="E19" s="5"/>
      <c r="F19" s="3"/>
      <c r="G19" s="3"/>
      <c r="H19" s="3"/>
    </row>
    <row r="20" ht="16.6" customHeight="1">
      <c r="A20" s="3"/>
      <c r="B20" s="3"/>
      <c r="C20" s="3"/>
      <c r="D20" s="4"/>
      <c r="E20" s="5"/>
      <c r="F20" s="3"/>
      <c r="G20" s="3"/>
      <c r="H20" s="3"/>
    </row>
    <row r="21" ht="16.6" customHeight="1">
      <c r="A21" s="3"/>
      <c r="B21" s="3"/>
      <c r="C21" s="3"/>
      <c r="D21" s="4"/>
      <c r="E21" s="5"/>
      <c r="F21" s="3"/>
      <c r="G21" s="3"/>
      <c r="H21" s="3"/>
    </row>
    <row r="22" ht="16.6" customHeight="1">
      <c r="A22" s="3"/>
      <c r="B22" s="3"/>
      <c r="C22" s="3"/>
      <c r="D22" s="4"/>
      <c r="E22" s="5"/>
      <c r="F22" s="3"/>
      <c r="G22" s="3"/>
      <c r="H22" s="3"/>
    </row>
    <row r="23" ht="16.6" customHeight="1">
      <c r="A23" s="3"/>
      <c r="B23" s="3"/>
      <c r="C23" s="3"/>
      <c r="D23" s="4"/>
      <c r="E23" s="5"/>
      <c r="F23" s="3"/>
      <c r="G23" s="3"/>
      <c r="H23" s="3"/>
    </row>
    <row r="24" ht="16.6" customHeight="1">
      <c r="A24" s="3"/>
      <c r="B24" s="3"/>
      <c r="C24" s="3"/>
      <c r="D24" s="4"/>
      <c r="E24" s="5"/>
      <c r="F24" s="3"/>
      <c r="G24" s="3"/>
      <c r="H24" s="3"/>
    </row>
    <row r="25" ht="16.6" customHeight="1">
      <c r="A25" t="s" s="6">
        <v>0</v>
      </c>
      <c r="B25" s="3"/>
      <c r="C25" s="3"/>
      <c r="D25" s="4"/>
      <c r="E25" s="5"/>
      <c r="F25" s="3"/>
      <c r="G25" s="3"/>
      <c r="H25" s="3"/>
    </row>
    <row r="26" ht="16.6" customHeight="1">
      <c r="A26" s="3"/>
      <c r="B26" s="3"/>
      <c r="C26" s="3"/>
      <c r="D26" s="4"/>
      <c r="E26" s="5"/>
      <c r="F26" s="3"/>
      <c r="G26" s="3"/>
      <c r="H26" s="3"/>
    </row>
    <row r="27" ht="16.6" customHeight="1">
      <c r="A27" s="3"/>
      <c r="B27" s="3"/>
      <c r="C27" s="3"/>
      <c r="D27" s="4"/>
      <c r="E27" s="5"/>
      <c r="F27" s="3"/>
      <c r="G27" s="3"/>
      <c r="H27" s="3"/>
    </row>
    <row r="28" ht="16.6" customHeight="1">
      <c r="A28" t="s" s="5">
        <v>1</v>
      </c>
      <c r="B28" s="3"/>
      <c r="C28" s="3"/>
      <c r="D28" s="4"/>
      <c r="E28" s="5"/>
      <c r="F28" s="3"/>
      <c r="G28" s="3"/>
      <c r="H28" s="3"/>
    </row>
    <row r="29" ht="16.6" customHeight="1">
      <c r="A29" s="3"/>
      <c r="B29" s="3"/>
      <c r="C29" s="3"/>
      <c r="D29" s="4"/>
      <c r="E29" s="5"/>
      <c r="F29" s="3"/>
      <c r="G29" s="3"/>
      <c r="H29" s="3"/>
    </row>
    <row r="30" ht="16.6" customHeight="1">
      <c r="A30" t="s" s="5">
        <v>2</v>
      </c>
      <c r="B30" s="3"/>
      <c r="C30" s="3"/>
      <c r="D30" s="4"/>
      <c r="E30" s="5"/>
      <c r="F30" s="3"/>
      <c r="G30" s="3"/>
      <c r="H30" s="3"/>
    </row>
    <row r="31" ht="16.6" customHeight="1">
      <c r="A31" s="3"/>
      <c r="B31" s="3"/>
      <c r="C31" s="3"/>
      <c r="D31" s="4"/>
      <c r="E31" s="5"/>
      <c r="F31" s="3"/>
      <c r="G31" s="3"/>
      <c r="H31" s="3"/>
    </row>
    <row r="32" ht="16.6" customHeight="1">
      <c r="A32" t="s" s="5">
        <v>3</v>
      </c>
      <c r="B32" s="3"/>
      <c r="C32" s="3"/>
      <c r="D32" s="4"/>
      <c r="E32" s="5"/>
      <c r="F32" s="3"/>
      <c r="G32" s="3"/>
      <c r="H32" s="3"/>
    </row>
    <row r="33" ht="16.6" customHeight="1">
      <c r="A33" s="3"/>
      <c r="B33" s="3"/>
      <c r="C33" s="3"/>
      <c r="D33" s="4"/>
      <c r="E33" s="5"/>
      <c r="F33" s="3"/>
      <c r="G33" s="3"/>
      <c r="H33" s="3"/>
    </row>
    <row r="34" ht="16.6" customHeight="1">
      <c r="A34" t="s" s="5">
        <v>4</v>
      </c>
      <c r="B34" s="3"/>
      <c r="C34" s="3"/>
      <c r="D34" s="4"/>
      <c r="E34" s="5"/>
      <c r="F34" s="3"/>
      <c r="G34" s="3"/>
      <c r="H34" s="3"/>
    </row>
    <row r="35" ht="16.6" customHeight="1">
      <c r="A35" s="3"/>
      <c r="B35" s="3"/>
      <c r="C35" s="3"/>
      <c r="D35" s="4"/>
      <c r="E35" s="5"/>
      <c r="F35" s="3"/>
      <c r="G35" s="3"/>
      <c r="H35" s="3"/>
    </row>
    <row r="36" ht="16.6" customHeight="1">
      <c r="A36" t="s" s="5">
        <v>5</v>
      </c>
      <c r="B36" s="3"/>
      <c r="C36" s="3"/>
      <c r="D36" s="4"/>
      <c r="E36" s="5"/>
      <c r="F36" s="3"/>
      <c r="G36" s="3"/>
      <c r="H36" s="3"/>
    </row>
    <row r="37" ht="16.6" customHeight="1">
      <c r="A37" s="3"/>
      <c r="B37" s="3"/>
      <c r="C37" s="3"/>
      <c r="D37" s="4"/>
      <c r="E37" s="5"/>
      <c r="F37" s="3"/>
      <c r="G37" s="3"/>
      <c r="H37" s="3"/>
    </row>
    <row r="38" ht="16.6" customHeight="1">
      <c r="A38" t="s" s="5">
        <v>6</v>
      </c>
      <c r="B38" s="3"/>
      <c r="C38" s="3"/>
      <c r="D38" s="4"/>
      <c r="E38" s="5"/>
      <c r="F38" s="3"/>
      <c r="G38" s="3"/>
      <c r="H38" s="3"/>
    </row>
    <row r="39" ht="16.6" customHeight="1">
      <c r="A39" s="3"/>
      <c r="B39" s="3"/>
      <c r="C39" s="3"/>
      <c r="D39" s="4"/>
      <c r="E39" s="5"/>
      <c r="F39" s="3"/>
      <c r="G39" s="3"/>
      <c r="H39" s="3"/>
    </row>
    <row r="40" ht="16.6" customHeight="1">
      <c r="A40" s="3"/>
      <c r="B40" s="3"/>
      <c r="C40" s="3"/>
      <c r="D40" s="4"/>
      <c r="E40" s="5"/>
      <c r="F40" s="3"/>
      <c r="G40" s="3"/>
      <c r="H40" s="3"/>
    </row>
    <row r="41" ht="16.6" customHeight="1">
      <c r="A41" t="s" s="5">
        <v>7</v>
      </c>
      <c r="B41" s="3"/>
      <c r="C41" s="3"/>
      <c r="D41" s="7"/>
      <c r="E41" s="5"/>
      <c r="F41" s="3"/>
      <c r="G41" s="3"/>
      <c r="H41" s="3"/>
    </row>
    <row r="42" ht="16.6" customHeight="1">
      <c r="A42" s="3"/>
      <c r="B42" s="3"/>
      <c r="C42" s="3"/>
      <c r="D42" s="7"/>
      <c r="E42" s="5"/>
      <c r="F42" s="3"/>
      <c r="G42" s="3"/>
      <c r="H42" s="3"/>
    </row>
    <row r="43" ht="16.6" customHeight="1">
      <c r="A43" s="3"/>
      <c r="B43" s="3"/>
      <c r="C43" s="3"/>
      <c r="D43" s="4"/>
      <c r="E43" s="5"/>
      <c r="F43" s="3"/>
      <c r="G43" s="3"/>
      <c r="H43" s="3"/>
    </row>
    <row r="44" ht="16.6" customHeight="1">
      <c r="A44" t="s" s="5">
        <v>8</v>
      </c>
      <c r="B44" s="3"/>
      <c r="C44" s="3"/>
      <c r="D44" s="4"/>
      <c r="E44" s="5"/>
      <c r="F44" s="3"/>
      <c r="G44" s="3"/>
      <c r="H44" s="3"/>
    </row>
    <row r="45" ht="16.6" customHeight="1">
      <c r="A45" t="s" s="5">
        <v>9</v>
      </c>
      <c r="B45" s="3"/>
      <c r="C45" s="3"/>
      <c r="D45" s="4"/>
      <c r="E45" s="5"/>
      <c r="F45" s="3"/>
      <c r="G45" s="3"/>
      <c r="H45" s="3"/>
    </row>
    <row r="46" ht="16.6" customHeight="1">
      <c r="A46" t="s" s="5">
        <v>10</v>
      </c>
      <c r="B46" s="3"/>
      <c r="C46" s="3"/>
      <c r="D46" s="4"/>
      <c r="E46" s="5"/>
      <c r="F46" s="3"/>
      <c r="G46" s="3"/>
      <c r="H46" s="3"/>
    </row>
    <row r="47" ht="16.6" customHeight="1">
      <c r="A47" t="s" s="5">
        <v>11</v>
      </c>
      <c r="B47" s="3"/>
      <c r="C47" s="3"/>
      <c r="D47" s="4"/>
      <c r="E47" s="5"/>
      <c r="F47" s="3"/>
      <c r="G47" s="3"/>
      <c r="H47" s="3"/>
    </row>
    <row r="48" ht="16.6" customHeight="1">
      <c r="A48" s="3"/>
      <c r="B48" s="3"/>
      <c r="C48" s="3"/>
      <c r="D48" s="4"/>
      <c r="E48" s="5"/>
      <c r="F48" s="3"/>
      <c r="G48" s="3"/>
      <c r="H48" s="3"/>
    </row>
    <row r="49" ht="16.6" customHeight="1">
      <c r="A49" t="s" s="5">
        <v>12</v>
      </c>
      <c r="B49" s="3"/>
      <c r="C49" s="3"/>
      <c r="D49" s="4"/>
      <c r="E49" s="5"/>
      <c r="F49" s="3"/>
      <c r="G49" s="3"/>
      <c r="H49" s="3"/>
    </row>
    <row r="50" ht="16.6" customHeight="1">
      <c r="A50" t="s" s="5">
        <v>13</v>
      </c>
      <c r="B50" s="3"/>
      <c r="C50" s="3"/>
      <c r="D50" s="4"/>
      <c r="E50" s="5"/>
      <c r="F50" s="3"/>
      <c r="G50" s="3"/>
      <c r="H50" s="3"/>
    </row>
    <row r="51" ht="16.6" customHeight="1">
      <c r="A51" t="s" s="5">
        <v>14</v>
      </c>
      <c r="B51" s="3"/>
      <c r="C51" s="3"/>
      <c r="D51" s="4"/>
      <c r="E51" s="5"/>
      <c r="F51" s="3"/>
      <c r="G51" s="3"/>
      <c r="H51" s="3"/>
    </row>
    <row r="52" ht="16.6" customHeight="1">
      <c r="A52" s="3"/>
      <c r="B52" s="3"/>
      <c r="C52" s="3"/>
      <c r="D52" s="4"/>
      <c r="E52" s="5"/>
      <c r="F52" s="3"/>
      <c r="G52" s="3"/>
      <c r="H52" s="3"/>
    </row>
    <row r="53" ht="16.6" customHeight="1">
      <c r="A53" t="s" s="5">
        <v>15</v>
      </c>
      <c r="B53" s="3"/>
      <c r="C53" s="3"/>
      <c r="D53" s="4"/>
      <c r="E53" s="5"/>
      <c r="F53" s="3"/>
      <c r="G53" s="3"/>
      <c r="H53" s="3"/>
    </row>
    <row r="54" ht="16.6" customHeight="1">
      <c r="A54" t="s" s="5">
        <v>16</v>
      </c>
      <c r="B54" s="3"/>
      <c r="C54" s="3"/>
      <c r="D54" s="4"/>
      <c r="E54" s="5"/>
      <c r="F54" s="3"/>
      <c r="G54" s="3"/>
      <c r="H54" s="3"/>
    </row>
    <row r="55" ht="16.6" customHeight="1">
      <c r="A55" t="s" s="5">
        <v>17</v>
      </c>
      <c r="B55" s="3"/>
      <c r="C55" s="3"/>
      <c r="D55" s="4"/>
      <c r="E55" s="5"/>
      <c r="F55" s="3"/>
      <c r="G55" s="3"/>
      <c r="H55" s="3"/>
    </row>
    <row r="56" ht="16.6" customHeight="1">
      <c r="A56" t="s" s="5">
        <v>18</v>
      </c>
      <c r="B56" s="3"/>
      <c r="C56" s="3"/>
      <c r="D56" s="4"/>
      <c r="E56" s="5"/>
      <c r="F56" s="3"/>
      <c r="G56" s="3"/>
      <c r="H56" s="3"/>
    </row>
    <row r="57" ht="16.6" customHeight="1">
      <c r="A57" t="s" s="5">
        <v>19</v>
      </c>
      <c r="B57" s="3"/>
      <c r="C57" s="3"/>
      <c r="D57" s="4"/>
      <c r="E57" s="5"/>
      <c r="F57" s="3"/>
      <c r="G57" s="3"/>
      <c r="H57" s="3"/>
    </row>
    <row r="58" ht="16.6" customHeight="1">
      <c r="A58" s="3"/>
      <c r="B58" s="3"/>
      <c r="C58" s="3"/>
      <c r="D58" s="4"/>
      <c r="E58" s="5"/>
      <c r="F58" s="3"/>
      <c r="G58" s="3"/>
      <c r="H58" s="3"/>
    </row>
    <row r="59" ht="16.6" customHeight="1">
      <c r="A59" t="s" s="5">
        <v>20</v>
      </c>
      <c r="B59" s="3"/>
      <c r="C59" s="3"/>
      <c r="D59" s="4"/>
      <c r="E59" s="5"/>
      <c r="F59" s="3"/>
      <c r="G59" s="3"/>
      <c r="H59" s="3"/>
    </row>
    <row r="60" ht="16.6" customHeight="1">
      <c r="A60" t="s" s="5">
        <v>21</v>
      </c>
      <c r="B60" s="3"/>
      <c r="C60" s="3"/>
      <c r="D60" s="4"/>
      <c r="E60" s="5"/>
      <c r="F60" s="3"/>
      <c r="G60" s="3"/>
      <c r="H60" s="3"/>
    </row>
    <row r="61" ht="16.6" customHeight="1">
      <c r="A61" s="3"/>
      <c r="B61" s="3"/>
      <c r="C61" s="3"/>
      <c r="D61" s="4"/>
      <c r="E61" s="5"/>
      <c r="F61" s="3"/>
      <c r="G61" s="3"/>
      <c r="H61" s="3"/>
    </row>
    <row r="62" ht="16.6" customHeight="1">
      <c r="A62" t="s" s="5">
        <v>22</v>
      </c>
      <c r="B62" s="3"/>
      <c r="C62" s="3"/>
      <c r="D62" s="4"/>
      <c r="E62" s="5"/>
      <c r="F62" s="3"/>
      <c r="G62" s="3"/>
      <c r="H62" s="3"/>
    </row>
    <row r="63" ht="16.6" customHeight="1">
      <c r="A63" t="s" s="5">
        <v>23</v>
      </c>
      <c r="B63" s="3"/>
      <c r="C63" s="3"/>
      <c r="D63" s="4"/>
      <c r="E63" s="5"/>
      <c r="F63" s="3"/>
      <c r="G63" s="3"/>
      <c r="H63" s="3"/>
    </row>
    <row r="64" ht="16.6" customHeight="1">
      <c r="A64" t="s" s="5">
        <v>24</v>
      </c>
      <c r="B64" s="3"/>
      <c r="C64" s="3"/>
      <c r="D64" s="4"/>
      <c r="E64" s="5"/>
      <c r="F64" s="3"/>
      <c r="G64" s="3"/>
      <c r="H64" s="3"/>
    </row>
    <row r="65" ht="16.6" customHeight="1">
      <c r="A65" t="s" s="5">
        <v>25</v>
      </c>
      <c r="B65" s="3"/>
      <c r="C65" s="3"/>
      <c r="D65" s="4"/>
      <c r="E65" s="5"/>
      <c r="F65" s="3"/>
      <c r="G65" s="3"/>
      <c r="H65" s="3"/>
    </row>
    <row r="66" ht="16.6" customHeight="1">
      <c r="A66" s="3"/>
      <c r="B66" s="3"/>
      <c r="C66" s="3"/>
      <c r="D66" s="4"/>
      <c r="E66" s="5"/>
      <c r="F66" s="3"/>
      <c r="G66" s="3"/>
      <c r="H66" s="3"/>
    </row>
    <row r="67" ht="16.6" customHeight="1">
      <c r="A67" t="s" s="5">
        <v>26</v>
      </c>
      <c r="B67" s="3"/>
      <c r="C67" s="3"/>
      <c r="D67" s="4"/>
      <c r="E67" s="5"/>
      <c r="F67" s="3"/>
      <c r="G67" s="3"/>
      <c r="H67" s="3"/>
    </row>
    <row r="68" ht="16.6" customHeight="1">
      <c r="A68" t="s" s="5">
        <v>27</v>
      </c>
      <c r="B68" s="3"/>
      <c r="C68" s="3"/>
      <c r="D68" s="4"/>
      <c r="E68" s="5"/>
      <c r="F68" s="3"/>
      <c r="G68" s="3"/>
      <c r="H68" s="3"/>
    </row>
    <row r="69" ht="16.6" customHeight="1">
      <c r="A69" t="s" s="5">
        <v>28</v>
      </c>
      <c r="B69" s="3"/>
      <c r="C69" s="3"/>
      <c r="D69" s="4"/>
      <c r="E69" s="5"/>
      <c r="F69" s="3"/>
      <c r="G69" s="3"/>
      <c r="H69" s="3"/>
    </row>
    <row r="70" ht="16.6" customHeight="1">
      <c r="A70" t="s" s="5">
        <v>29</v>
      </c>
      <c r="B70" s="3"/>
      <c r="C70" s="3"/>
      <c r="D70" s="4"/>
      <c r="E70" s="5"/>
      <c r="F70" s="3"/>
      <c r="G70" s="3"/>
      <c r="H70" s="3"/>
    </row>
    <row r="71" ht="16.6" customHeight="1">
      <c r="A71" s="3"/>
      <c r="B71" s="3"/>
      <c r="C71" s="3"/>
      <c r="D71" s="4"/>
      <c r="E71" s="5"/>
      <c r="F71" s="3"/>
      <c r="G71" s="3"/>
      <c r="H71" s="3"/>
    </row>
    <row r="72" ht="16.6" customHeight="1">
      <c r="A72" t="s" s="5">
        <v>30</v>
      </c>
      <c r="B72" s="3"/>
      <c r="C72" s="3"/>
      <c r="D72" s="4"/>
      <c r="E72" s="5"/>
      <c r="F72" s="3"/>
      <c r="G72" s="3"/>
      <c r="H72" s="3"/>
    </row>
    <row r="73" ht="16.6" customHeight="1">
      <c r="A73" t="s" s="5">
        <v>31</v>
      </c>
      <c r="B73" s="3"/>
      <c r="C73" s="3"/>
      <c r="D73" s="4"/>
      <c r="E73" s="5"/>
      <c r="F73" s="3"/>
      <c r="G73" s="3"/>
      <c r="H73" s="3"/>
    </row>
    <row r="74" ht="16.6" customHeight="1">
      <c r="A74" t="s" s="5">
        <v>32</v>
      </c>
      <c r="B74" s="3"/>
      <c r="C74" s="3"/>
      <c r="D74" s="4"/>
      <c r="E74" s="5"/>
      <c r="F74" s="3"/>
      <c r="G74" s="3"/>
      <c r="H74" s="3"/>
    </row>
    <row r="75" ht="16.6" customHeight="1">
      <c r="A75" t="s" s="5">
        <v>33</v>
      </c>
      <c r="B75" s="3"/>
      <c r="C75" s="3"/>
      <c r="D75" s="4"/>
      <c r="E75" s="5"/>
      <c r="F75" s="3"/>
      <c r="G75" s="3"/>
      <c r="H75" s="3"/>
    </row>
    <row r="76" ht="16.6" customHeight="1">
      <c r="A76" s="3"/>
      <c r="B76" s="3"/>
      <c r="C76" s="3"/>
      <c r="D76" s="4"/>
      <c r="E76" s="5"/>
      <c r="F76" s="3"/>
      <c r="G76" s="3"/>
      <c r="H76" s="3"/>
    </row>
    <row r="77" ht="16.6" customHeight="1">
      <c r="A77" t="s" s="5">
        <v>34</v>
      </c>
      <c r="B77" s="3"/>
      <c r="C77" s="3"/>
      <c r="D77" s="4"/>
      <c r="E77" s="5"/>
      <c r="F77" s="3"/>
      <c r="G77" s="3"/>
      <c r="H77" s="3"/>
    </row>
    <row r="78" ht="16.6" customHeight="1">
      <c r="A78" t="s" s="5">
        <v>35</v>
      </c>
      <c r="B78" s="3"/>
      <c r="C78" s="3"/>
      <c r="D78" s="4"/>
      <c r="E78" s="5"/>
      <c r="F78" s="3"/>
      <c r="G78" s="3"/>
      <c r="H78" s="3"/>
    </row>
    <row r="79" ht="16.6" customHeight="1">
      <c r="A79" t="s" s="5">
        <v>36</v>
      </c>
      <c r="B79" s="3"/>
      <c r="C79" s="3"/>
      <c r="D79" s="4"/>
      <c r="E79" s="5"/>
      <c r="F79" s="3"/>
      <c r="G79" s="3"/>
      <c r="H79" s="3"/>
    </row>
    <row r="80" ht="16.6" customHeight="1">
      <c r="A80" t="s" s="5">
        <v>37</v>
      </c>
      <c r="B80" s="3"/>
      <c r="C80" s="3"/>
      <c r="D80" s="4"/>
      <c r="E80" s="5"/>
      <c r="F80" s="3"/>
      <c r="G80" s="3"/>
      <c r="H80" s="3"/>
    </row>
    <row r="81" ht="16.6" customHeight="1">
      <c r="A81" t="s" s="5">
        <v>38</v>
      </c>
      <c r="B81" s="3"/>
      <c r="C81" s="3"/>
      <c r="D81" s="4"/>
      <c r="E81" s="5"/>
      <c r="F81" s="3"/>
      <c r="G81" s="3"/>
      <c r="H81" s="3"/>
    </row>
    <row r="82" ht="16.6" customHeight="1">
      <c r="A82" s="3"/>
      <c r="B82" s="3"/>
      <c r="C82" s="3"/>
      <c r="D82" s="4"/>
      <c r="E82" s="5"/>
      <c r="F82" s="3"/>
      <c r="G82" s="3"/>
      <c r="H82" s="3"/>
    </row>
    <row r="83" ht="16.6" customHeight="1">
      <c r="A83" s="3"/>
      <c r="B83" s="3"/>
      <c r="C83" s="3"/>
      <c r="D83" s="4"/>
      <c r="E83" s="5"/>
      <c r="F83" s="3"/>
      <c r="G83" s="3"/>
      <c r="H83" s="3"/>
    </row>
    <row r="84" ht="16.6" customHeight="1">
      <c r="A84" s="3"/>
      <c r="B84" s="3"/>
      <c r="C84" s="3"/>
      <c r="D84" s="4"/>
      <c r="E84" s="5"/>
      <c r="F84" s="3"/>
      <c r="G84" s="3"/>
      <c r="H84" s="3"/>
    </row>
    <row r="85" ht="16.6" customHeight="1">
      <c r="A85" s="3"/>
      <c r="B85" s="3"/>
      <c r="C85" s="3"/>
      <c r="D85" s="4"/>
      <c r="E85" s="5"/>
      <c r="F85" s="3"/>
      <c r="G85" s="3"/>
      <c r="H85" s="3"/>
    </row>
    <row r="86" ht="16.6" customHeight="1">
      <c r="A86" t="s" s="5">
        <v>39</v>
      </c>
      <c r="B86" s="3"/>
      <c r="C86" s="3"/>
      <c r="D86" s="4"/>
      <c r="E86" s="5"/>
      <c r="F86" s="3"/>
      <c r="G86" s="3"/>
      <c r="H86" s="3"/>
    </row>
    <row r="87" ht="16.6" customHeight="1">
      <c r="A87" s="3"/>
      <c r="B87" s="3"/>
      <c r="C87" s="3"/>
      <c r="D87" s="4"/>
      <c r="E87" s="5"/>
      <c r="F87" s="3"/>
      <c r="G87" s="3"/>
      <c r="H87" s="3"/>
    </row>
    <row r="88" ht="16.6" customHeight="1">
      <c r="A88" t="s" s="5">
        <v>40</v>
      </c>
      <c r="B88" s="3"/>
      <c r="C88" s="3"/>
      <c r="D88" s="7"/>
      <c r="E88" s="5"/>
      <c r="F88" s="3"/>
      <c r="G88" s="3"/>
      <c r="H88" s="3"/>
    </row>
    <row r="89" ht="16.6" customHeight="1">
      <c r="A89" s="3"/>
      <c r="B89" s="3"/>
      <c r="C89" s="3"/>
      <c r="D89" s="7"/>
      <c r="E89" s="5"/>
      <c r="F89" s="3"/>
      <c r="G89" s="3"/>
      <c r="H89" s="3"/>
    </row>
    <row r="90" ht="16.6" customHeight="1">
      <c r="A90" s="3"/>
      <c r="B90" s="3"/>
      <c r="C90" s="3"/>
      <c r="D90" s="4"/>
      <c r="E90" s="5"/>
      <c r="F90" s="3"/>
      <c r="G90" s="3"/>
      <c r="H90" s="3"/>
    </row>
    <row r="91" ht="16.6" customHeight="1">
      <c r="A91" t="s" s="5">
        <v>41</v>
      </c>
      <c r="B91" s="3"/>
      <c r="C91" s="3"/>
      <c r="D91" s="4"/>
      <c r="E91" s="5"/>
      <c r="F91" s="3"/>
      <c r="G91" s="3"/>
      <c r="H91" s="3"/>
    </row>
    <row r="92" ht="16.6" customHeight="1">
      <c r="A92" t="s" s="5">
        <v>42</v>
      </c>
      <c r="B92" s="3"/>
      <c r="C92" s="3"/>
      <c r="D92" s="4"/>
      <c r="E92" s="5"/>
      <c r="F92" s="3"/>
      <c r="G92" s="3"/>
      <c r="H92" s="3"/>
    </row>
    <row r="93" ht="16.6" customHeight="1">
      <c r="A93" s="3"/>
      <c r="B93" s="3"/>
      <c r="C93" s="3"/>
      <c r="D93" s="4"/>
      <c r="E93" s="5"/>
      <c r="F93" s="3"/>
      <c r="G93" s="3"/>
      <c r="H93" s="3"/>
    </row>
    <row r="94" ht="16.6" customHeight="1">
      <c r="A94" s="3"/>
      <c r="B94" s="3"/>
      <c r="C94" s="3"/>
      <c r="D94" s="4"/>
      <c r="E94" s="5"/>
      <c r="F94" s="3"/>
      <c r="G94" s="3"/>
      <c r="H94" s="3"/>
    </row>
    <row r="95" ht="16.6" customHeight="1">
      <c r="A95" t="s" s="5">
        <v>43</v>
      </c>
      <c r="B95" s="3"/>
      <c r="C95" s="3"/>
      <c r="D95" s="7"/>
      <c r="E95" s="5"/>
      <c r="F95" s="3"/>
      <c r="G95" s="3"/>
      <c r="H95" s="3"/>
    </row>
    <row r="96" ht="16.6" customHeight="1">
      <c r="A96" s="3"/>
      <c r="B96" s="3"/>
      <c r="C96" s="8"/>
      <c r="D96" s="7"/>
      <c r="E96" s="5"/>
      <c r="F96" s="3"/>
      <c r="G96" s="3"/>
      <c r="H96" s="3"/>
    </row>
    <row r="97" ht="16.6" customHeight="1">
      <c r="A97" t="s" s="5">
        <v>44</v>
      </c>
      <c r="B97" s="3"/>
      <c r="C97" s="3"/>
      <c r="D97" s="4"/>
      <c r="E97" s="5"/>
      <c r="F97" s="3"/>
      <c r="G97" s="3"/>
      <c r="H97" s="3"/>
    </row>
    <row r="98" ht="16.6" customHeight="1">
      <c r="A98" t="s" s="5">
        <v>45</v>
      </c>
      <c r="B98" s="3"/>
      <c r="C98" s="3"/>
      <c r="D98" s="4"/>
      <c r="E98" s="5"/>
      <c r="F98" s="3"/>
      <c r="G98" s="3"/>
      <c r="H98" s="3"/>
    </row>
    <row r="99" ht="16.6" customHeight="1">
      <c r="A99" t="s" s="5">
        <v>46</v>
      </c>
      <c r="B99" s="3"/>
      <c r="C99" s="3"/>
      <c r="D99" s="4"/>
      <c r="E99" s="5"/>
      <c r="F99" s="3"/>
      <c r="G99" s="3"/>
      <c r="H99" s="3"/>
    </row>
    <row r="100" ht="16.6" customHeight="1">
      <c r="A100" s="3"/>
      <c r="B100" s="3"/>
      <c r="C100" s="3"/>
      <c r="D100" s="4"/>
      <c r="E100" s="5"/>
      <c r="F100" s="3"/>
      <c r="G100" s="3"/>
      <c r="H100" s="3"/>
    </row>
    <row r="101" ht="16.6" customHeight="1">
      <c r="A101" t="s" s="5">
        <v>47</v>
      </c>
      <c r="B101" s="3"/>
      <c r="C101" s="3"/>
      <c r="D101" s="4"/>
      <c r="E101" s="5"/>
      <c r="F101" s="3"/>
      <c r="G101" s="3"/>
      <c r="H101" s="3"/>
    </row>
    <row r="102" ht="16.6" customHeight="1">
      <c r="A102" t="s" s="5">
        <v>48</v>
      </c>
      <c r="B102" s="3"/>
      <c r="C102" s="3"/>
      <c r="D102" s="4"/>
      <c r="E102" s="5"/>
      <c r="F102" s="3"/>
      <c r="G102" s="3"/>
      <c r="H102" s="3"/>
    </row>
    <row r="103" ht="16.6" customHeight="1">
      <c r="A103" s="3"/>
      <c r="B103" s="3"/>
      <c r="C103" s="3"/>
      <c r="D103" s="4"/>
      <c r="E103" s="5"/>
      <c r="F103" s="3"/>
      <c r="G103" s="3"/>
      <c r="H103" s="3"/>
    </row>
    <row r="104" ht="16.6" customHeight="1">
      <c r="A104" t="s" s="5">
        <v>49</v>
      </c>
      <c r="B104" s="3"/>
      <c r="C104" s="3"/>
      <c r="D104" s="4"/>
      <c r="E104" s="5"/>
      <c r="F104" s="3"/>
      <c r="G104" s="3"/>
      <c r="H104" s="3"/>
    </row>
    <row r="105" ht="16.6" customHeight="1">
      <c r="A105" t="s" s="5">
        <v>50</v>
      </c>
      <c r="B105" s="3"/>
      <c r="C105" s="3"/>
      <c r="D105" s="4"/>
      <c r="E105" s="5"/>
      <c r="F105" s="3"/>
      <c r="G105" s="3"/>
      <c r="H105" s="3"/>
    </row>
    <row r="106" ht="16.6" customHeight="1">
      <c r="A106" t="s" s="5">
        <v>51</v>
      </c>
      <c r="B106" s="3"/>
      <c r="C106" s="3"/>
      <c r="D106" s="4"/>
      <c r="E106" s="5"/>
      <c r="F106" s="3"/>
      <c r="G106" s="3"/>
      <c r="H106" s="3"/>
    </row>
    <row r="107" ht="16.6" customHeight="1">
      <c r="A107" s="3"/>
      <c r="B107" s="3"/>
      <c r="C107" s="3"/>
      <c r="D107" s="4"/>
      <c r="E107" s="5"/>
      <c r="F107" s="3"/>
      <c r="G107" s="3"/>
      <c r="H107" s="3"/>
    </row>
    <row r="108" ht="16.6" customHeight="1">
      <c r="A108" t="s" s="5">
        <v>52</v>
      </c>
      <c r="B108" s="3"/>
      <c r="C108" s="3"/>
      <c r="D108" s="4"/>
      <c r="E108" s="5"/>
      <c r="F108" s="3"/>
      <c r="G108" s="3"/>
      <c r="H108" s="3"/>
    </row>
    <row r="109" ht="16.6" customHeight="1">
      <c r="A109" t="s" s="5">
        <v>53</v>
      </c>
      <c r="B109" s="3"/>
      <c r="C109" s="3"/>
      <c r="D109" s="4"/>
      <c r="E109" s="5"/>
      <c r="F109" s="3"/>
      <c r="G109" s="3"/>
      <c r="H109" s="3"/>
    </row>
    <row r="110" ht="16.6" customHeight="1">
      <c r="A110" t="s" s="5">
        <v>54</v>
      </c>
      <c r="B110" s="3"/>
      <c r="C110" s="3"/>
      <c r="D110" s="4"/>
      <c r="E110" s="5"/>
      <c r="F110" s="3"/>
      <c r="G110" s="3"/>
      <c r="H110" s="3"/>
    </row>
    <row r="111" ht="16.6" customHeight="1">
      <c r="A111" t="s" s="5">
        <v>55</v>
      </c>
      <c r="B111" s="3"/>
      <c r="C111" s="3"/>
      <c r="D111" s="4"/>
      <c r="E111" s="5"/>
      <c r="F111" s="3"/>
      <c r="G111" s="3"/>
      <c r="H111" s="3"/>
    </row>
    <row r="112" ht="16.6" customHeight="1">
      <c r="A112" s="3"/>
      <c r="B112" s="3"/>
      <c r="C112" s="3"/>
      <c r="D112" s="4"/>
      <c r="E112" s="5"/>
      <c r="F112" s="3"/>
      <c r="G112" s="3"/>
      <c r="H112" s="3"/>
    </row>
    <row r="113" ht="16.6" customHeight="1">
      <c r="A113" t="s" s="9">
        <v>56</v>
      </c>
      <c r="B113" s="10"/>
      <c r="C113" s="3"/>
      <c r="D113" s="3"/>
      <c r="E113" s="3"/>
      <c r="F113" s="3"/>
      <c r="G113" s="3"/>
      <c r="H113" s="3"/>
    </row>
    <row r="114" ht="16.6" customHeight="1">
      <c r="A114" t="s" s="5">
        <v>57</v>
      </c>
      <c r="B114" s="3"/>
      <c r="C114" s="3"/>
      <c r="D114" s="3"/>
      <c r="E114" s="3"/>
      <c r="F114" s="3"/>
      <c r="G114" s="3"/>
      <c r="H114" s="3"/>
    </row>
    <row r="115" ht="16.6" customHeight="1">
      <c r="A115" s="3"/>
      <c r="B115" s="3"/>
      <c r="C115" s="3"/>
      <c r="D115" s="4"/>
      <c r="E115" s="5"/>
      <c r="F115" s="3"/>
      <c r="G115" s="3"/>
      <c r="H115" s="3"/>
    </row>
    <row r="116" ht="16.6" customHeight="1">
      <c r="A116" t="s" s="5">
        <v>58</v>
      </c>
      <c r="B116" s="3"/>
      <c r="C116" s="3"/>
      <c r="D116" s="7"/>
      <c r="E116" s="5"/>
      <c r="F116" s="3"/>
      <c r="G116" s="3"/>
      <c r="H116" s="3"/>
    </row>
    <row r="117" ht="16.6" customHeight="1">
      <c r="A117" s="3"/>
      <c r="B117" s="3"/>
      <c r="C117" s="3"/>
      <c r="D117" s="4"/>
      <c r="E117" s="5"/>
      <c r="F117" s="3"/>
      <c r="G117" s="3"/>
      <c r="H117" s="3"/>
    </row>
    <row r="118" ht="16.6" customHeight="1">
      <c r="A118" t="s" s="5">
        <v>59</v>
      </c>
      <c r="B118" s="3"/>
      <c r="C118" s="3"/>
      <c r="D118" s="4"/>
      <c r="E118" s="5"/>
      <c r="F118" s="3"/>
      <c r="G118" s="3"/>
      <c r="H118" s="3"/>
    </row>
    <row r="119" ht="16.6" customHeight="1">
      <c r="A119" t="s" s="5">
        <v>60</v>
      </c>
      <c r="B119" s="3"/>
      <c r="C119" s="3"/>
      <c r="D119" s="4"/>
      <c r="E119" s="5"/>
      <c r="F119" s="3"/>
      <c r="G119" s="3"/>
      <c r="H119" s="3"/>
    </row>
    <row r="120" ht="16.6" customHeight="1">
      <c r="A120" t="s" s="5">
        <v>61</v>
      </c>
      <c r="B120" s="3"/>
      <c r="C120" s="3"/>
      <c r="D120" s="4"/>
      <c r="E120" s="5"/>
      <c r="F120" s="3"/>
      <c r="G120" s="3"/>
      <c r="H120" s="3"/>
    </row>
    <row r="121" ht="16.6" customHeight="1">
      <c r="A121" s="3"/>
      <c r="B121" s="3"/>
      <c r="C121" s="3"/>
      <c r="D121" s="4"/>
      <c r="E121" s="5"/>
      <c r="F121" s="3"/>
      <c r="G121" s="3"/>
      <c r="H121" s="3"/>
    </row>
    <row r="122" ht="16.6" customHeight="1">
      <c r="A122" t="s" s="5">
        <v>62</v>
      </c>
      <c r="B122" s="3"/>
      <c r="C122" s="3"/>
      <c r="D122" s="4"/>
      <c r="E122" s="5"/>
      <c r="F122" s="3"/>
      <c r="G122" s="3"/>
      <c r="H122" s="3"/>
    </row>
    <row r="123" ht="16.6" customHeight="1">
      <c r="A123" t="s" s="5">
        <v>63</v>
      </c>
      <c r="B123" s="3"/>
      <c r="C123" s="3"/>
      <c r="D123" s="4"/>
      <c r="E123" s="5"/>
      <c r="F123" s="3"/>
      <c r="G123" s="3"/>
      <c r="H123" s="3"/>
    </row>
    <row r="124" ht="16.6" customHeight="1">
      <c r="A124" t="s" s="5">
        <v>64</v>
      </c>
      <c r="B124" s="3"/>
      <c r="C124" s="3"/>
      <c r="D124" s="4"/>
      <c r="E124" s="5"/>
      <c r="F124" s="3"/>
      <c r="G124" s="3"/>
      <c r="H124" s="3"/>
    </row>
    <row r="125" ht="16.6" customHeight="1">
      <c r="A125" s="3"/>
      <c r="B125" s="3"/>
      <c r="C125" s="3"/>
      <c r="D125" s="4"/>
      <c r="E125" s="5"/>
      <c r="F125" s="3"/>
      <c r="G125" s="3"/>
      <c r="H125" s="3"/>
    </row>
    <row r="126" ht="16.6" customHeight="1">
      <c r="A126" t="s" s="5">
        <v>65</v>
      </c>
      <c r="B126" s="3"/>
      <c r="C126" s="3"/>
      <c r="D126" s="4"/>
      <c r="E126" s="5"/>
      <c r="F126" s="3"/>
      <c r="G126" s="3"/>
      <c r="H126" s="3"/>
    </row>
    <row r="127" ht="16.6" customHeight="1">
      <c r="A127" t="s" s="5">
        <v>66</v>
      </c>
      <c r="B127" s="3"/>
      <c r="C127" s="3"/>
      <c r="D127" s="4"/>
      <c r="E127" s="5"/>
      <c r="F127" s="3"/>
      <c r="G127" s="3"/>
      <c r="H127" s="3"/>
    </row>
    <row r="128" ht="16.6" customHeight="1">
      <c r="A128" t="s" s="5">
        <v>67</v>
      </c>
      <c r="B128" s="3"/>
      <c r="C128" s="3"/>
      <c r="D128" s="4"/>
      <c r="E128" s="5"/>
      <c r="F128" s="3"/>
      <c r="G128" s="3"/>
      <c r="H128" s="3"/>
    </row>
    <row r="129" ht="16.6" customHeight="1">
      <c r="A129" t="s" s="5">
        <v>68</v>
      </c>
      <c r="B129" s="3"/>
      <c r="C129" s="3"/>
      <c r="D129" s="4"/>
      <c r="E129" s="5"/>
      <c r="F129" s="3"/>
      <c r="G129" s="3"/>
      <c r="H129" s="3"/>
    </row>
    <row r="130" ht="16.6" customHeight="1">
      <c r="A130" s="3"/>
      <c r="B130" s="3"/>
      <c r="C130" s="3"/>
      <c r="D130" s="4"/>
      <c r="E130" s="5"/>
      <c r="F130" s="3"/>
      <c r="G130" s="3"/>
      <c r="H130" s="3"/>
    </row>
    <row r="131" ht="16.6" customHeight="1">
      <c r="A131" s="3"/>
      <c r="B131" s="3"/>
      <c r="C131" s="3"/>
      <c r="D131" s="4"/>
      <c r="E131" s="5"/>
      <c r="F131" s="3"/>
      <c r="G131" s="3"/>
      <c r="H131" s="3"/>
    </row>
    <row r="132" ht="16.6" customHeight="1">
      <c r="A132" t="s" s="6">
        <v>69</v>
      </c>
      <c r="B132" s="3"/>
      <c r="C132" s="3"/>
      <c r="D132" s="4"/>
      <c r="E132" s="5"/>
      <c r="F132" s="3"/>
      <c r="G132" s="3"/>
      <c r="H132" s="3"/>
    </row>
    <row r="133" ht="16.6" customHeight="1">
      <c r="A133" t="s" s="5">
        <v>70</v>
      </c>
      <c r="B133" s="3"/>
      <c r="C133" s="3"/>
      <c r="D133" s="4"/>
      <c r="E133" s="5"/>
      <c r="F133" s="3"/>
      <c r="G133" s="3"/>
      <c r="H133" s="3"/>
    </row>
    <row r="134" ht="16.6" customHeight="1">
      <c r="A134" t="s" s="5">
        <v>71</v>
      </c>
      <c r="B134" s="3"/>
      <c r="C134" s="3"/>
      <c r="D134" s="4"/>
      <c r="E134" s="5"/>
      <c r="F134" s="3"/>
      <c r="G134" s="3"/>
      <c r="H134" s="3"/>
    </row>
    <row r="135" ht="16.6" customHeight="1">
      <c r="A135" s="3"/>
      <c r="B135" s="3"/>
      <c r="C135" s="3"/>
      <c r="D135" s="4"/>
      <c r="E135" s="5"/>
      <c r="F135" s="3"/>
      <c r="G135" s="3"/>
      <c r="H135" s="3"/>
    </row>
    <row r="136" ht="16.6" customHeight="1">
      <c r="A136" s="3"/>
      <c r="B136" s="3"/>
      <c r="C136" s="3"/>
      <c r="D136" s="4"/>
      <c r="E136" s="5"/>
      <c r="F136" s="3"/>
      <c r="G136" s="3"/>
      <c r="H136" s="3"/>
    </row>
    <row r="137" ht="16.6" customHeight="1">
      <c r="A137" s="3"/>
      <c r="B137" s="3"/>
      <c r="C137" s="3"/>
      <c r="D137" s="4"/>
      <c r="E137" s="5"/>
      <c r="F137" s="3"/>
      <c r="G137" s="3"/>
      <c r="H137" s="3"/>
    </row>
    <row r="138" ht="16.6" customHeight="1">
      <c r="A138" t="s" s="5">
        <v>72</v>
      </c>
      <c r="B138" s="3"/>
      <c r="C138" s="3"/>
      <c r="D138" s="7"/>
      <c r="E138" s="5"/>
      <c r="F138" s="3"/>
      <c r="G138" s="3"/>
      <c r="H138" s="3"/>
    </row>
    <row r="139" ht="16.6" customHeight="1">
      <c r="A139" s="3"/>
      <c r="B139" s="3"/>
      <c r="C139" s="3"/>
      <c r="D139" s="7"/>
      <c r="E139" s="5"/>
      <c r="F139" s="3"/>
      <c r="G139" s="3"/>
      <c r="H139" s="3"/>
    </row>
    <row r="140" ht="16.6" customHeight="1">
      <c r="A140" t="s" s="5">
        <v>73</v>
      </c>
      <c r="B140" s="3"/>
      <c r="C140" s="3"/>
      <c r="D140" s="4"/>
      <c r="E140" s="5"/>
      <c r="F140" s="3"/>
      <c r="G140" s="3"/>
      <c r="H140" s="3"/>
    </row>
    <row r="141" ht="16.6" customHeight="1">
      <c r="A141" t="s" s="5">
        <v>74</v>
      </c>
      <c r="B141" s="3"/>
      <c r="C141" s="3"/>
      <c r="D141" s="4"/>
      <c r="E141" s="5"/>
      <c r="F141" s="3"/>
      <c r="G141" s="3"/>
      <c r="H141" s="3"/>
    </row>
    <row r="142" ht="16.6" customHeight="1">
      <c r="A142" t="s" s="5">
        <v>75</v>
      </c>
      <c r="B142" s="3"/>
      <c r="C142" s="3"/>
      <c r="D142" s="4"/>
      <c r="E142" s="5"/>
      <c r="F142" s="3"/>
      <c r="G142" s="3"/>
      <c r="H142" s="3"/>
    </row>
    <row r="143" ht="16.6" customHeight="1">
      <c r="A143" t="s" s="5">
        <v>76</v>
      </c>
      <c r="B143" s="3"/>
      <c r="C143" s="3"/>
      <c r="D143" s="4"/>
      <c r="E143" s="5"/>
      <c r="F143" s="3"/>
      <c r="G143" s="3"/>
      <c r="H143" s="3"/>
    </row>
    <row r="144" ht="16.6" customHeight="1">
      <c r="A144" s="3"/>
      <c r="B144" s="3"/>
      <c r="C144" s="3"/>
      <c r="D144" s="4"/>
      <c r="E144" s="5"/>
      <c r="F144" s="3"/>
      <c r="G144" s="3"/>
      <c r="H144" s="3"/>
    </row>
    <row r="145" ht="16.6" customHeight="1">
      <c r="A145" t="s" s="5">
        <v>77</v>
      </c>
      <c r="B145" s="3"/>
      <c r="C145" s="3"/>
      <c r="D145" s="4"/>
      <c r="E145" s="5"/>
      <c r="F145" s="3"/>
      <c r="G145" s="3"/>
      <c r="H145" s="3"/>
    </row>
    <row r="146" ht="16.6" customHeight="1">
      <c r="A146" s="3"/>
      <c r="B146" s="3"/>
      <c r="C146" s="3"/>
      <c r="D146" s="4"/>
      <c r="E146" s="5"/>
      <c r="F146" s="3"/>
      <c r="G146" s="3"/>
      <c r="H146" s="3"/>
    </row>
    <row r="147" ht="16.6" customHeight="1">
      <c r="A147" s="3"/>
      <c r="B147" s="3"/>
      <c r="C147" s="3"/>
      <c r="D147" s="4"/>
      <c r="E147" s="5"/>
      <c r="F147" s="3"/>
      <c r="G147" s="3"/>
      <c r="H147" s="3"/>
    </row>
    <row r="148" ht="16.6" customHeight="1">
      <c r="A148" t="s" s="5">
        <v>78</v>
      </c>
      <c r="B148" s="3"/>
      <c r="C148" s="3"/>
      <c r="D148" s="7"/>
      <c r="E148" s="5"/>
      <c r="F148" s="3"/>
      <c r="G148" s="3"/>
      <c r="H148" s="3"/>
    </row>
    <row r="149" ht="16.6" customHeight="1">
      <c r="A149" s="3"/>
      <c r="B149" s="3"/>
      <c r="C149" s="3"/>
      <c r="D149" s="7"/>
      <c r="E149" s="5"/>
      <c r="F149" s="3"/>
      <c r="G149" s="3"/>
      <c r="H149" s="3"/>
    </row>
    <row r="150" ht="16.6" customHeight="1">
      <c r="A150" t="s" s="5">
        <v>79</v>
      </c>
      <c r="B150" s="3"/>
      <c r="C150" s="3"/>
      <c r="D150" s="4"/>
      <c r="E150" s="5"/>
      <c r="F150" s="3"/>
      <c r="G150" s="3"/>
      <c r="H150" s="3"/>
    </row>
    <row r="151" ht="16.6" customHeight="1">
      <c r="A151" t="s" s="5">
        <v>80</v>
      </c>
      <c r="B151" s="3"/>
      <c r="C151" s="3"/>
      <c r="D151" s="4"/>
      <c r="E151" s="5"/>
      <c r="F151" s="3"/>
      <c r="G151" s="3"/>
      <c r="H151" s="3"/>
    </row>
    <row r="152" ht="16.6" customHeight="1">
      <c r="A152" t="s" s="5">
        <v>81</v>
      </c>
      <c r="B152" s="3"/>
      <c r="C152" s="3"/>
      <c r="D152" s="4"/>
      <c r="E152" s="5"/>
      <c r="F152" s="3"/>
      <c r="G152" s="3"/>
      <c r="H152" s="3"/>
    </row>
    <row r="153" ht="16.6" customHeight="1">
      <c r="A153" s="3"/>
      <c r="B153" s="3"/>
      <c r="C153" s="3"/>
      <c r="D153" s="4"/>
      <c r="E153" s="5"/>
      <c r="F153" s="3"/>
      <c r="G153" s="3"/>
      <c r="H153" s="3"/>
    </row>
    <row r="154" ht="16.6" customHeight="1">
      <c r="A154" t="s" s="6">
        <v>82</v>
      </c>
      <c r="B154" s="3"/>
      <c r="C154" s="3"/>
      <c r="D154" s="4"/>
      <c r="E154" s="5"/>
      <c r="F154" s="3"/>
      <c r="G154" s="3"/>
      <c r="H154" s="3"/>
    </row>
    <row r="155" ht="16.6" customHeight="1">
      <c r="A155" t="s" s="5">
        <v>83</v>
      </c>
      <c r="B155" s="3"/>
      <c r="C155" s="3"/>
      <c r="D155" s="4"/>
      <c r="E155" s="5"/>
      <c r="F155" s="3"/>
      <c r="G155" s="3"/>
      <c r="H155" s="3"/>
    </row>
    <row r="156" ht="16.6" customHeight="1">
      <c r="A156" t="s" s="5">
        <v>84</v>
      </c>
      <c r="B156" s="3"/>
      <c r="C156" s="3"/>
      <c r="D156" s="4"/>
      <c r="E156" s="5"/>
      <c r="F156" s="3"/>
      <c r="G156" s="3"/>
      <c r="H156" s="3"/>
    </row>
    <row r="157" ht="16.6" customHeight="1">
      <c r="A157" s="3"/>
      <c r="B157" s="3"/>
      <c r="C157" s="3"/>
      <c r="D157" s="4"/>
      <c r="E157" s="5"/>
      <c r="F157" s="3"/>
      <c r="G157" s="3"/>
      <c r="H157" s="3"/>
    </row>
    <row r="158" ht="16.6" customHeight="1">
      <c r="A158" s="3"/>
      <c r="B158" s="3"/>
      <c r="C158" s="3"/>
      <c r="D158" s="4"/>
      <c r="E158" s="5"/>
      <c r="F158" s="3"/>
      <c r="G158" s="3"/>
      <c r="H158" s="3"/>
    </row>
    <row r="159" ht="16.6" customHeight="1">
      <c r="A159" t="s" s="5">
        <v>85</v>
      </c>
      <c r="B159" s="3"/>
      <c r="C159" s="3"/>
      <c r="D159" s="7"/>
      <c r="E159" s="5"/>
      <c r="F159" s="3"/>
      <c r="G159" s="3"/>
      <c r="H159" s="3"/>
    </row>
    <row r="160" ht="16.6" customHeight="1">
      <c r="A160" s="3"/>
      <c r="B160" s="3"/>
      <c r="C160" s="3"/>
      <c r="D160" s="7"/>
      <c r="E160" s="5"/>
      <c r="F160" s="3"/>
      <c r="G160" s="3"/>
      <c r="H160" s="3"/>
    </row>
    <row r="161" ht="16.6" customHeight="1">
      <c r="A161" t="s" s="5">
        <v>86</v>
      </c>
      <c r="B161" s="3"/>
      <c r="C161" s="3"/>
      <c r="D161" s="4"/>
      <c r="E161" s="5"/>
      <c r="F161" s="3"/>
      <c r="G161" s="3"/>
      <c r="H161" s="3"/>
    </row>
    <row r="162" ht="16.6" customHeight="1">
      <c r="A162" t="s" s="5">
        <v>87</v>
      </c>
      <c r="B162" s="3"/>
      <c r="C162" s="3"/>
      <c r="D162" s="4"/>
      <c r="E162" s="5"/>
      <c r="F162" s="3"/>
      <c r="G162" s="3"/>
      <c r="H162" s="3"/>
    </row>
    <row r="163" ht="16.6" customHeight="1">
      <c r="A163" s="3"/>
      <c r="B163" s="3"/>
      <c r="C163" s="3"/>
      <c r="D163" s="4"/>
      <c r="E163" s="5"/>
      <c r="F163" s="3"/>
      <c r="G163" s="3"/>
      <c r="H163" s="3"/>
    </row>
    <row r="164" ht="16.6" customHeight="1">
      <c r="A164" t="s" s="6">
        <v>88</v>
      </c>
      <c r="B164" s="3"/>
      <c r="C164" s="3"/>
      <c r="D164" s="4"/>
      <c r="E164" s="5"/>
      <c r="F164" s="3"/>
      <c r="G164" s="3"/>
      <c r="H164" s="3"/>
    </row>
    <row r="165" ht="16.6" customHeight="1">
      <c r="A165" t="s" s="5">
        <v>89</v>
      </c>
      <c r="B165" s="3"/>
      <c r="C165" s="3"/>
      <c r="D165" s="4"/>
      <c r="E165" s="5"/>
      <c r="F165" s="3"/>
      <c r="G165" s="3"/>
      <c r="H165" s="3"/>
    </row>
    <row r="166" ht="16.6" customHeight="1">
      <c r="A166" t="s" s="5">
        <v>90</v>
      </c>
      <c r="B166" s="3"/>
      <c r="C166" s="3"/>
      <c r="D166" s="4"/>
      <c r="E166" s="5"/>
      <c r="F166" s="3"/>
      <c r="G166" s="3"/>
      <c r="H166" s="3"/>
    </row>
    <row r="167" ht="16.6" customHeight="1">
      <c r="A167" s="3"/>
      <c r="B167" s="3"/>
      <c r="C167" s="3"/>
      <c r="D167" s="4"/>
      <c r="E167" s="5"/>
      <c r="F167" s="3"/>
      <c r="G167" s="3"/>
      <c r="H167" s="3"/>
    </row>
    <row r="168" ht="16.6" customHeight="1">
      <c r="A168" t="s" s="5">
        <v>91</v>
      </c>
      <c r="B168" s="3"/>
      <c r="C168" s="3"/>
      <c r="D168" s="4"/>
      <c r="E168" s="5"/>
      <c r="F168" s="3"/>
      <c r="G168" s="3"/>
      <c r="H168" s="3"/>
    </row>
    <row r="169" ht="13.65" customHeight="1">
      <c r="A169" s="11"/>
      <c r="B169" s="11"/>
      <c r="C169" s="11"/>
      <c r="D169" s="11"/>
      <c r="E169" s="11"/>
      <c r="F169" s="11"/>
      <c r="G169" s="11"/>
      <c r="H169" s="3"/>
    </row>
    <row r="170" ht="13.65" customHeight="1">
      <c r="A170" s="12"/>
      <c r="B170" s="12"/>
      <c r="C170" s="13"/>
      <c r="D170" s="14"/>
      <c r="E170" s="13"/>
      <c r="F170" s="12"/>
      <c r="G170" t="s" s="14">
        <v>92</v>
      </c>
      <c r="H170" s="15"/>
    </row>
    <row r="171" ht="13.65" customHeight="1">
      <c r="A171" t="s" s="16">
        <v>93</v>
      </c>
      <c r="B171" t="s" s="17">
        <v>94</v>
      </c>
      <c r="C171" t="s" s="16">
        <v>95</v>
      </c>
      <c r="D171" t="s" s="16">
        <v>96</v>
      </c>
      <c r="E171" t="s" s="16">
        <v>97</v>
      </c>
      <c r="F171" t="s" s="16">
        <v>98</v>
      </c>
      <c r="G171" t="s" s="16">
        <v>99</v>
      </c>
      <c r="H171" s="15"/>
    </row>
    <row r="172" ht="13.65" customHeight="1">
      <c r="A172" s="18"/>
      <c r="B172" s="18"/>
      <c r="C172" s="19"/>
      <c r="D172" s="20"/>
      <c r="E172" s="19"/>
      <c r="F172" s="18"/>
      <c r="G172" t="s" s="20">
        <v>100</v>
      </c>
      <c r="H172" s="15"/>
    </row>
    <row r="173" ht="13.65" customHeight="1">
      <c r="A173" s="21">
        <v>72</v>
      </c>
      <c r="B173" t="s" s="22">
        <v>101</v>
      </c>
      <c r="C173" s="23">
        <v>50</v>
      </c>
      <c r="D173" t="s" s="24">
        <v>102</v>
      </c>
      <c r="E173" s="25">
        <v>1.93</v>
      </c>
      <c r="F173" s="23">
        <v>25</v>
      </c>
      <c r="G173" s="26" cm="1">
        <f t="array" ref="G173">SUM(E173/F173)</f>
        <v>0.0772</v>
      </c>
      <c r="H173" s="15"/>
    </row>
    <row r="174" ht="13.65" customHeight="1">
      <c r="A174" s="21">
        <v>123</v>
      </c>
      <c r="B174" t="s" s="22">
        <v>103</v>
      </c>
      <c r="C174" s="23">
        <v>40</v>
      </c>
      <c r="D174" t="s" s="24">
        <v>104</v>
      </c>
      <c r="E174" s="25">
        <v>3.2</v>
      </c>
      <c r="F174" s="23">
        <v>40</v>
      </c>
      <c r="G174" s="26" cm="1">
        <f t="array" ref="G174">SUM(E174/F174)</f>
        <v>0.08</v>
      </c>
      <c r="H174" s="15"/>
    </row>
    <row r="175" ht="13.65" customHeight="1">
      <c r="A175" s="21">
        <v>117</v>
      </c>
      <c r="B175" t="s" s="22">
        <v>105</v>
      </c>
      <c r="C175" s="23">
        <v>100</v>
      </c>
      <c r="D175" t="s" s="24">
        <v>106</v>
      </c>
      <c r="E175" s="25">
        <v>1.2</v>
      </c>
      <c r="F175" s="23">
        <v>10</v>
      </c>
      <c r="G175" s="26" cm="1">
        <f t="array" ref="G175">SUM(E175/F175)</f>
        <v>0.12</v>
      </c>
      <c r="H175" s="15"/>
    </row>
    <row r="176" ht="13.65" customHeight="1">
      <c r="A176" s="21">
        <v>86</v>
      </c>
      <c r="B176" t="s" s="22">
        <v>107</v>
      </c>
      <c r="C176" t="s" s="24">
        <v>108</v>
      </c>
      <c r="D176" t="s" s="24">
        <v>102</v>
      </c>
      <c r="E176" s="25">
        <v>0.32</v>
      </c>
      <c r="F176" s="23">
        <v>2</v>
      </c>
      <c r="G176" s="26" cm="1">
        <f t="array" ref="G176">SUM(E176*2)</f>
        <v>0.64</v>
      </c>
      <c r="H176" s="15"/>
    </row>
    <row r="177" ht="13.65" customHeight="1">
      <c r="A177" s="21">
        <v>71</v>
      </c>
      <c r="B177" t="s" s="22">
        <v>109</v>
      </c>
      <c r="C177" s="23">
        <v>10</v>
      </c>
      <c r="D177" t="s" s="24">
        <v>102</v>
      </c>
      <c r="E177" s="25">
        <v>5.92</v>
      </c>
      <c r="F177" s="23">
        <v>5</v>
      </c>
      <c r="G177" s="26" cm="1">
        <f t="array" ref="G177">SUM(E177/F177)</f>
        <v>1.184</v>
      </c>
      <c r="H177" s="15"/>
    </row>
    <row r="178" ht="13.65" customHeight="1">
      <c r="A178" s="21">
        <v>87</v>
      </c>
      <c r="B178" t="s" s="22">
        <v>110</v>
      </c>
      <c r="C178" s="23">
        <v>50</v>
      </c>
      <c r="D178" t="s" s="24">
        <v>102</v>
      </c>
      <c r="E178" s="25">
        <v>9</v>
      </c>
      <c r="F178" s="23">
        <v>25</v>
      </c>
      <c r="G178" s="26" cm="1">
        <f t="array" ref="G178">SUM(E178/F178)</f>
        <v>0.36</v>
      </c>
      <c r="H178" s="15"/>
    </row>
    <row r="179" ht="13.65" customHeight="1">
      <c r="A179" s="21">
        <v>55</v>
      </c>
      <c r="B179" t="s" s="22">
        <v>111</v>
      </c>
      <c r="C179" t="s" s="24">
        <v>112</v>
      </c>
      <c r="D179" t="s" s="24">
        <v>113</v>
      </c>
      <c r="E179" s="25">
        <v>2.71</v>
      </c>
      <c r="F179" s="23">
        <v>75</v>
      </c>
      <c r="G179" s="26" cm="1">
        <f t="array" ref="G179">SUM(E179/F179)</f>
        <v>0.0361333333333333</v>
      </c>
      <c r="H179" s="15"/>
    </row>
    <row r="180" ht="13.65" customHeight="1">
      <c r="A180" s="21">
        <v>103</v>
      </c>
      <c r="B180" t="s" s="22">
        <v>114</v>
      </c>
      <c r="C180" s="23">
        <v>144</v>
      </c>
      <c r="D180" t="s" s="24">
        <v>104</v>
      </c>
      <c r="E180" s="25">
        <v>18</v>
      </c>
      <c r="F180" s="23">
        <v>144</v>
      </c>
      <c r="G180" s="26" cm="1">
        <f t="array" ref="G180">SUM(E180/F180)</f>
        <v>0.125</v>
      </c>
      <c r="H180" s="15"/>
    </row>
    <row r="181" ht="13.65" customHeight="1">
      <c r="A181" s="21">
        <v>129</v>
      </c>
      <c r="B181" t="s" s="22">
        <v>115</v>
      </c>
      <c r="C181" s="23">
        <v>10</v>
      </c>
      <c r="D181" t="s" s="24">
        <v>116</v>
      </c>
      <c r="E181" s="25">
        <v>17.12</v>
      </c>
      <c r="F181" s="23">
        <v>10</v>
      </c>
      <c r="G181" s="26" cm="1">
        <f t="array" ref="G181">SUM(E181/F181)</f>
        <v>1.712</v>
      </c>
      <c r="H181" s="15"/>
    </row>
    <row r="182" ht="13.65" customHeight="1">
      <c r="A182" s="21">
        <v>88</v>
      </c>
      <c r="B182" t="s" s="22">
        <v>117</v>
      </c>
      <c r="C182" s="27"/>
      <c r="D182" t="s" s="24">
        <v>102</v>
      </c>
      <c r="E182" s="25">
        <v>0.75</v>
      </c>
      <c r="F182" s="23">
        <v>2</v>
      </c>
      <c r="G182" s="26" cm="1">
        <f t="array" ref="G182">SUM(E182*2)</f>
        <v>1.5</v>
      </c>
      <c r="H182" s="15"/>
    </row>
    <row r="183" ht="13.65" customHeight="1">
      <c r="A183" s="28"/>
      <c r="B183" s="28"/>
      <c r="C183" s="27"/>
      <c r="D183" s="24"/>
      <c r="E183" s="27"/>
      <c r="F183" t="s" s="29">
        <v>118</v>
      </c>
      <c r="G183" s="30" cm="1">
        <f t="array" ref="G183">SUM(G173:G182)</f>
        <v>5.83433333333333</v>
      </c>
      <c r="H183" s="15"/>
    </row>
    <row r="184" ht="13.65" customHeight="1">
      <c r="A184" s="31"/>
      <c r="B184" s="31"/>
      <c r="C184" s="31"/>
      <c r="D184" s="31"/>
      <c r="E184" s="32"/>
      <c r="F184" s="31"/>
      <c r="G184" s="33"/>
      <c r="H184" s="34"/>
    </row>
    <row r="185" ht="13.65" customHeight="1">
      <c r="A185" s="3"/>
      <c r="B185" s="3"/>
      <c r="C185" t="s" s="5">
        <v>119</v>
      </c>
      <c r="D185" s="3"/>
      <c r="E185" s="3"/>
      <c r="F185" s="3"/>
      <c r="G185" s="3"/>
      <c r="H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</row>
    <row r="191" ht="13.65" customHeight="1">
      <c r="A191" t="s" s="5">
        <v>120</v>
      </c>
      <c r="B191" s="3"/>
      <c r="C191" s="3"/>
      <c r="D191" s="35"/>
      <c r="E191" s="5"/>
      <c r="F191" s="3"/>
      <c r="G191" s="3"/>
      <c r="H191" s="3"/>
    </row>
    <row r="192" ht="13.65" customHeight="1">
      <c r="A192" s="3"/>
      <c r="B192" s="3"/>
      <c r="C192" s="3"/>
      <c r="D192" s="35"/>
      <c r="E192" s="5"/>
      <c r="F192" s="3"/>
      <c r="G192" s="3"/>
      <c r="H192" s="3"/>
    </row>
    <row r="193" ht="13.65" customHeight="1">
      <c r="A193" t="s" s="5">
        <v>121</v>
      </c>
      <c r="B193" s="3"/>
      <c r="C193" s="3"/>
      <c r="D193" s="3"/>
      <c r="E193" s="3"/>
      <c r="F193" s="3"/>
      <c r="G193" s="3"/>
      <c r="H193" s="3"/>
    </row>
    <row r="194" ht="13.65" customHeight="1">
      <c r="A194" t="s" s="5">
        <v>122</v>
      </c>
      <c r="B194" s="3"/>
      <c r="C194" s="3"/>
      <c r="D194" s="3"/>
      <c r="E194" s="3"/>
      <c r="F194" s="3"/>
      <c r="G194" s="3"/>
      <c r="H194" s="3"/>
    </row>
    <row r="195" ht="13.65" customHeight="1">
      <c r="A195" t="s" s="5">
        <v>123</v>
      </c>
      <c r="B195" s="3"/>
      <c r="C195" s="3"/>
      <c r="D195" s="3"/>
      <c r="E195" s="3"/>
      <c r="F195" s="3"/>
      <c r="G195" s="3"/>
      <c r="H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</row>
    <row r="197" ht="13.65" customHeight="1">
      <c r="A197" t="s" s="5">
        <v>124</v>
      </c>
      <c r="B197" s="3"/>
      <c r="C197" s="3"/>
      <c r="D197" s="3"/>
      <c r="E197" s="3"/>
      <c r="F197" s="3"/>
      <c r="G197" s="3"/>
      <c r="H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</row>
    <row r="199" ht="13.65" customHeight="1">
      <c r="A199" t="s" s="5">
        <v>125</v>
      </c>
      <c r="B199" s="3"/>
      <c r="C199" s="3"/>
      <c r="D199" s="3"/>
      <c r="E199" s="3"/>
      <c r="F199" s="3"/>
      <c r="G199" s="3"/>
      <c r="H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</row>
    <row r="201" ht="13.65" customHeight="1">
      <c r="A201" t="s" s="5">
        <v>126</v>
      </c>
      <c r="B201" s="3"/>
      <c r="C201" s="3"/>
      <c r="D201" s="3"/>
      <c r="E201" s="3"/>
      <c r="F201" s="3"/>
      <c r="G201" s="3"/>
      <c r="H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</row>
    <row r="203" ht="13.65" customHeight="1">
      <c r="A203" t="s" s="5">
        <v>127</v>
      </c>
      <c r="B203" s="3"/>
      <c r="C203" s="3"/>
      <c r="D203" s="3"/>
      <c r="E203" s="3"/>
      <c r="F203" s="3"/>
      <c r="G203" s="3"/>
      <c r="H203" s="3"/>
    </row>
    <row r="204" ht="13.65" customHeight="1">
      <c r="A204" s="3"/>
      <c r="B204" s="3"/>
      <c r="C204" s="3"/>
      <c r="D204" s="3"/>
      <c r="E204" s="36"/>
      <c r="F204" s="3"/>
      <c r="G204" s="3"/>
      <c r="H204" s="3"/>
    </row>
    <row r="205" ht="13.65" customHeight="1">
      <c r="A205" s="37">
        <v>25</v>
      </c>
      <c r="B205" t="s" s="5">
        <v>128</v>
      </c>
      <c r="C205" t="s" s="5">
        <v>129</v>
      </c>
      <c r="D205" t="s" s="5">
        <v>130</v>
      </c>
      <c r="E205" t="s" s="5">
        <v>131</v>
      </c>
      <c r="F205" t="s" s="5">
        <v>132</v>
      </c>
      <c r="G205" t="s" s="5">
        <v>133</v>
      </c>
      <c r="H205" s="3"/>
    </row>
    <row r="206" ht="13.65" customHeight="1">
      <c r="A206" t="s" s="5">
        <v>134</v>
      </c>
      <c r="B206" t="s" s="5">
        <v>135</v>
      </c>
      <c r="C206" t="s" s="5">
        <v>134</v>
      </c>
      <c r="D206" s="38"/>
      <c r="E206" t="s" s="5">
        <v>134</v>
      </c>
      <c r="F206" s="3"/>
      <c r="G206" t="s" s="5">
        <v>134</v>
      </c>
      <c r="H206" s="3"/>
    </row>
    <row r="207" ht="13.65" customHeight="1">
      <c r="A207" t="s" s="5">
        <v>136</v>
      </c>
      <c r="B207" s="3"/>
      <c r="C207" t="s" s="5">
        <v>137</v>
      </c>
      <c r="D207" s="38"/>
      <c r="E207" t="s" s="5">
        <v>138</v>
      </c>
      <c r="F207" s="39"/>
      <c r="G207" t="s" s="5">
        <v>139</v>
      </c>
      <c r="H207" s="3"/>
    </row>
    <row r="208" ht="13.65" customHeight="1">
      <c r="A208" s="3"/>
      <c r="B208" s="3"/>
      <c r="C208" t="s" s="5">
        <v>140</v>
      </c>
      <c r="D208" s="38"/>
      <c r="E208" t="s" s="40">
        <v>141</v>
      </c>
      <c r="F208" s="40"/>
      <c r="G208" t="s" s="5">
        <v>142</v>
      </c>
      <c r="H208" s="3"/>
    </row>
    <row r="209" ht="13.65" customHeight="1">
      <c r="A209" s="3"/>
      <c r="B209" s="3"/>
      <c r="C209" t="s" s="5">
        <v>143</v>
      </c>
      <c r="D209" s="38"/>
      <c r="E209" t="s" s="40">
        <v>144</v>
      </c>
      <c r="F209" s="40"/>
      <c r="G209" t="s" s="5">
        <v>145</v>
      </c>
      <c r="H209" s="3"/>
    </row>
    <row r="210" ht="13.65" customHeight="1">
      <c r="A210" s="3"/>
      <c r="B210" s="3"/>
      <c r="C210" t="s" s="5">
        <v>146</v>
      </c>
      <c r="D210" s="38"/>
      <c r="E210" t="s" s="40">
        <v>147</v>
      </c>
      <c r="F210" s="40"/>
      <c r="G210" s="3"/>
      <c r="H210" s="3"/>
    </row>
    <row r="211" ht="13.65" customHeight="1">
      <c r="A211" s="3"/>
      <c r="B211" s="3"/>
      <c r="C211" s="39"/>
      <c r="D211" s="38"/>
      <c r="E211" s="40"/>
      <c r="F211" s="39"/>
      <c r="G211" s="3"/>
      <c r="H211" s="3"/>
    </row>
    <row r="212" ht="13.65" customHeight="1">
      <c r="A212" s="11"/>
      <c r="B212" s="11"/>
      <c r="C212" s="41"/>
      <c r="D212" s="42"/>
      <c r="E212" s="43"/>
      <c r="F212" s="41"/>
      <c r="G212" s="11"/>
      <c r="H212" s="11"/>
    </row>
    <row r="213" ht="12.75" customHeight="1">
      <c r="A213" t="s" s="44">
        <v>148</v>
      </c>
      <c r="B213" s="45"/>
      <c r="C213" s="45"/>
      <c r="D213" s="46"/>
      <c r="E213" s="47"/>
      <c r="F213" s="45"/>
      <c r="G213" s="45"/>
      <c r="H213" s="48"/>
    </row>
    <row r="214" ht="12.75" customHeight="1">
      <c r="A214" s="31"/>
      <c r="B214" s="31"/>
      <c r="C214" s="31"/>
      <c r="D214" s="49"/>
      <c r="E214" s="50"/>
      <c r="F214" s="31"/>
      <c r="G214" s="31"/>
      <c r="H214" s="31"/>
    </row>
    <row r="215" ht="12" customHeight="1">
      <c r="A215" s="3"/>
      <c r="B215" s="3"/>
      <c r="C215" s="3"/>
      <c r="D215" s="38"/>
      <c r="E215" s="5"/>
      <c r="F215" s="3"/>
      <c r="G215" s="3"/>
      <c r="H215" s="3"/>
    </row>
    <row r="216" ht="18.5" customHeight="1">
      <c r="A216" t="s" s="51">
        <v>149</v>
      </c>
      <c r="B216" s="52"/>
      <c r="C216" s="52"/>
      <c r="D216" s="35"/>
      <c r="E216" s="5"/>
      <c r="F216" s="3"/>
      <c r="G216" s="3"/>
      <c r="H216" s="3"/>
    </row>
    <row r="217" ht="13.65" customHeight="1">
      <c r="A217" s="3"/>
      <c r="B217" s="3"/>
      <c r="C217" s="3"/>
      <c r="D217" s="35"/>
      <c r="E217" s="5"/>
      <c r="F217" s="3"/>
      <c r="G217" s="3"/>
      <c r="H217" s="3"/>
    </row>
    <row r="218" ht="18.5" customHeight="1">
      <c r="A218" t="s" s="5">
        <v>150</v>
      </c>
      <c r="B218" s="3"/>
      <c r="C218" s="3"/>
      <c r="D218" s="53"/>
      <c r="E218" s="5"/>
      <c r="F218" s="3"/>
      <c r="G218" s="3"/>
      <c r="H218" s="3"/>
    </row>
    <row r="219" ht="13.65" customHeight="1">
      <c r="A219" s="3"/>
      <c r="B219" s="3"/>
      <c r="C219" s="3"/>
      <c r="D219" s="35"/>
      <c r="E219" s="5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</row>
    <row r="222" ht="13.65" customHeight="1">
      <c r="A222" t="s" s="54">
        <v>151</v>
      </c>
      <c r="B222" s="55"/>
      <c r="C222" s="55"/>
      <c r="D222" s="56"/>
      <c r="E222" s="54"/>
      <c r="F222" s="55"/>
      <c r="G222" s="55"/>
      <c r="H222" s="3"/>
    </row>
    <row r="223" ht="13.65" customHeight="1">
      <c r="A223" t="s" s="54">
        <v>152</v>
      </c>
      <c r="B223" s="55"/>
      <c r="C223" s="55"/>
      <c r="D223" s="56"/>
      <c r="E223" s="54"/>
      <c r="F223" s="55"/>
      <c r="G223" s="55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20.45" customHeight="1">
      <c r="A225" s="3"/>
      <c r="B225" s="3"/>
      <c r="C225" s="3"/>
      <c r="D225" t="s" s="57">
        <v>153</v>
      </c>
      <c r="E225" s="3"/>
      <c r="F225" s="3"/>
      <c r="G225" s="3"/>
      <c r="H225" s="3"/>
    </row>
    <row r="226" ht="13.65" customHeight="1">
      <c r="A226" s="11"/>
      <c r="B226" s="11"/>
      <c r="C226" s="11"/>
      <c r="D226" s="11"/>
      <c r="E226" s="11"/>
      <c r="F226" s="11"/>
      <c r="G226" s="11"/>
      <c r="H226" s="11"/>
    </row>
    <row r="227" ht="13.65" customHeight="1">
      <c r="A227" t="s" s="58">
        <v>93</v>
      </c>
      <c r="B227" t="s" s="59">
        <v>154</v>
      </c>
      <c r="C227" s="60"/>
      <c r="D227" s="61"/>
      <c r="E227" s="62"/>
      <c r="F227" s="60"/>
      <c r="G227" s="63"/>
      <c r="H227" t="s" s="64">
        <v>155</v>
      </c>
    </row>
    <row r="228" ht="13.65" customHeight="1">
      <c r="A228" s="65"/>
      <c r="B228" s="66"/>
      <c r="C228" s="67"/>
      <c r="D228" s="68"/>
      <c r="E228" s="69"/>
      <c r="F228" s="67"/>
      <c r="G228" s="70"/>
      <c r="H228" t="s" s="71">
        <v>156</v>
      </c>
    </row>
    <row r="229" ht="13.65" customHeight="1">
      <c r="A229" s="72">
        <v>1</v>
      </c>
      <c r="B229" t="s" s="73">
        <v>157</v>
      </c>
      <c r="C229" s="74"/>
      <c r="D229" s="74"/>
      <c r="E229" s="75"/>
      <c r="F229" s="74"/>
      <c r="G229" s="76"/>
      <c r="H229" s="77">
        <v>600</v>
      </c>
    </row>
    <row r="230" ht="13.65" customHeight="1">
      <c r="A230" s="72">
        <v>2</v>
      </c>
      <c r="B230" t="s" s="73">
        <v>158</v>
      </c>
      <c r="C230" s="74"/>
      <c r="D230" s="74"/>
      <c r="E230" s="75"/>
      <c r="F230" s="74"/>
      <c r="G230" s="76"/>
      <c r="H230" s="77">
        <v>400</v>
      </c>
    </row>
    <row r="231" ht="13.65" customHeight="1">
      <c r="A231" s="72">
        <v>3</v>
      </c>
      <c r="B231" t="s" s="73">
        <v>159</v>
      </c>
      <c r="C231" s="74"/>
      <c r="D231" s="74"/>
      <c r="E231" s="75"/>
      <c r="F231" s="74"/>
      <c r="G231" s="76"/>
      <c r="H231" s="77">
        <v>100</v>
      </c>
    </row>
    <row r="232" ht="13.65" customHeight="1">
      <c r="A232" s="72">
        <v>4</v>
      </c>
      <c r="B232" t="s" s="73">
        <v>160</v>
      </c>
      <c r="C232" s="74"/>
      <c r="D232" s="74"/>
      <c r="E232" s="75"/>
      <c r="F232" s="74"/>
      <c r="G232" s="76"/>
      <c r="H232" s="77">
        <v>1600</v>
      </c>
    </row>
    <row r="233" ht="13.65" customHeight="1">
      <c r="A233" s="72">
        <v>5</v>
      </c>
      <c r="B233" t="s" s="73">
        <v>161</v>
      </c>
      <c r="C233" s="74"/>
      <c r="D233" s="74"/>
      <c r="E233" s="75"/>
      <c r="F233" s="74"/>
      <c r="G233" s="76"/>
      <c r="H233" s="77">
        <v>100</v>
      </c>
    </row>
    <row r="234" ht="13.65" customHeight="1">
      <c r="A234" s="72">
        <v>6</v>
      </c>
      <c r="B234" t="s" s="73">
        <v>162</v>
      </c>
      <c r="C234" s="74"/>
      <c r="D234" s="74"/>
      <c r="E234" s="75"/>
      <c r="F234" s="74"/>
      <c r="G234" s="76"/>
      <c r="H234" s="77">
        <v>2000</v>
      </c>
    </row>
    <row r="235" ht="13.65" customHeight="1">
      <c r="A235" s="72">
        <v>7</v>
      </c>
      <c r="B235" t="s" s="73">
        <v>163</v>
      </c>
      <c r="C235" s="74"/>
      <c r="D235" s="74"/>
      <c r="E235" s="75"/>
      <c r="F235" s="74"/>
      <c r="G235" s="76"/>
      <c r="H235" s="77">
        <v>2500</v>
      </c>
    </row>
    <row r="236" ht="13.65" customHeight="1">
      <c r="A236" s="72">
        <v>8</v>
      </c>
      <c r="B236" t="s" s="73">
        <v>164</v>
      </c>
      <c r="C236" s="74"/>
      <c r="D236" s="74"/>
      <c r="E236" s="75"/>
      <c r="F236" s="74"/>
      <c r="G236" s="76"/>
      <c r="H236" s="77">
        <v>100</v>
      </c>
    </row>
    <row r="237" ht="13.65" customHeight="1">
      <c r="A237" s="72">
        <v>9</v>
      </c>
      <c r="B237" t="s" s="78">
        <v>165</v>
      </c>
      <c r="C237" s="79"/>
      <c r="D237" s="74"/>
      <c r="E237" s="75"/>
      <c r="F237" s="74"/>
      <c r="G237" s="76"/>
      <c r="H237" s="77">
        <v>5000</v>
      </c>
    </row>
    <row r="238" ht="13.65" customHeight="1">
      <c r="A238" s="72">
        <v>10</v>
      </c>
      <c r="B238" t="s" s="73">
        <v>166</v>
      </c>
      <c r="C238" s="74"/>
      <c r="D238" s="74"/>
      <c r="E238" s="75"/>
      <c r="F238" s="74"/>
      <c r="G238" s="76"/>
      <c r="H238" s="77">
        <v>300</v>
      </c>
    </row>
    <row r="239" ht="13.65" customHeight="1">
      <c r="A239" s="72">
        <v>11</v>
      </c>
      <c r="B239" t="s" s="73">
        <v>167</v>
      </c>
      <c r="C239" s="74"/>
      <c r="D239" s="74"/>
      <c r="E239" s="75"/>
      <c r="F239" s="74"/>
      <c r="G239" s="76"/>
      <c r="H239" s="77">
        <v>400</v>
      </c>
    </row>
    <row r="240" ht="13.65" customHeight="1">
      <c r="A240" s="72">
        <v>12</v>
      </c>
      <c r="B240" t="s" s="73">
        <v>168</v>
      </c>
      <c r="C240" s="74"/>
      <c r="D240" s="74"/>
      <c r="E240" s="75"/>
      <c r="F240" s="74"/>
      <c r="G240" s="76"/>
      <c r="H240" s="77">
        <v>178.36</v>
      </c>
    </row>
    <row r="241" ht="13.65" customHeight="1">
      <c r="A241" s="72">
        <v>13</v>
      </c>
      <c r="B241" t="s" s="73">
        <v>169</v>
      </c>
      <c r="C241" s="74"/>
      <c r="D241" s="74"/>
      <c r="E241" s="75"/>
      <c r="F241" s="74"/>
      <c r="G241" s="76"/>
      <c r="H241" s="77">
        <v>250</v>
      </c>
    </row>
    <row r="242" ht="13.65" customHeight="1">
      <c r="A242" s="72">
        <v>14</v>
      </c>
      <c r="B242" t="s" s="73">
        <v>170</v>
      </c>
      <c r="C242" s="74"/>
      <c r="D242" s="74"/>
      <c r="E242" s="75"/>
      <c r="F242" s="74"/>
      <c r="G242" s="76"/>
      <c r="H242" s="77">
        <v>2500</v>
      </c>
    </row>
    <row r="243" ht="13.65" customHeight="1">
      <c r="A243" s="80"/>
      <c r="B243" t="s" s="81">
        <v>171</v>
      </c>
      <c r="C243" s="82"/>
      <c r="D243" s="83"/>
      <c r="E243" s="84"/>
      <c r="F243" s="82"/>
      <c r="G243" s="85"/>
      <c r="H243" s="77" cm="1">
        <f t="array" ref="H243">SUM(SUM(H229:H241))</f>
        <v>13528.36</v>
      </c>
    </row>
    <row r="244" ht="13.65" customHeight="1">
      <c r="A244" s="80"/>
      <c r="B244" t="s" s="73">
        <v>172</v>
      </c>
      <c r="C244" s="74"/>
      <c r="D244" s="74"/>
      <c r="E244" s="75"/>
      <c r="F244" s="74"/>
      <c r="G244" s="76"/>
      <c r="H244" s="86" cm="1">
        <f t="array" ref="H244">SUM(H243)/(22)/(8)/(60)</f>
        <v>1.2810946969697</v>
      </c>
    </row>
    <row r="245" ht="13.65" customHeight="1">
      <c r="A245" s="72">
        <v>15</v>
      </c>
      <c r="B245" t="s" s="73">
        <v>173</v>
      </c>
      <c r="C245" s="74"/>
      <c r="D245" s="74"/>
      <c r="E245" s="75"/>
      <c r="F245" s="74"/>
      <c r="G245" s="76"/>
      <c r="H245" s="86">
        <v>0.0258</v>
      </c>
    </row>
    <row r="246" ht="13.65" customHeight="1">
      <c r="A246" s="87">
        <v>16</v>
      </c>
      <c r="B246" t="s" s="88">
        <v>174</v>
      </c>
      <c r="C246" s="89"/>
      <c r="D246" s="90">
        <v>3000</v>
      </c>
      <c r="E246" s="90"/>
      <c r="F246" s="91"/>
      <c r="G246" s="92"/>
      <c r="H246" s="93"/>
    </row>
    <row r="247" ht="13.65" customHeight="1">
      <c r="A247" s="94"/>
      <c r="B247" t="s" s="95">
        <v>175</v>
      </c>
      <c r="C247" s="96"/>
      <c r="D247" s="96"/>
      <c r="E247" s="97"/>
      <c r="F247" s="98" cm="1">
        <f t="array" ref="F247">SUM(D246*2)</f>
        <v>6000</v>
      </c>
      <c r="G247" s="99"/>
      <c r="H247" s="94"/>
    </row>
    <row r="248" ht="13.65" customHeight="1">
      <c r="A248" s="94"/>
      <c r="B248" t="s" s="95">
        <v>176</v>
      </c>
      <c r="C248" s="96"/>
      <c r="D248" s="96"/>
      <c r="E248" s="97"/>
      <c r="F248" s="98" cm="1">
        <f t="array" ref="F248">SUM(F247*11/100)</f>
        <v>660</v>
      </c>
      <c r="G248" s="99"/>
      <c r="H248" s="94"/>
    </row>
    <row r="249" ht="13.65" customHeight="1">
      <c r="A249" s="94"/>
      <c r="B249" t="s" s="95">
        <v>177</v>
      </c>
      <c r="C249" s="96"/>
      <c r="D249" s="96"/>
      <c r="E249" s="97"/>
      <c r="F249" s="98" cm="1">
        <f t="array" ref="F249">SUM(F247*40/100)</f>
        <v>2400</v>
      </c>
      <c r="G249" s="99"/>
      <c r="H249" s="94"/>
    </row>
    <row r="250" ht="13.65" customHeight="1">
      <c r="A250" s="94"/>
      <c r="B250" t="s" s="95">
        <v>178</v>
      </c>
      <c r="C250" s="96"/>
      <c r="D250" s="96"/>
      <c r="E250" s="97"/>
      <c r="F250" s="98" cm="1">
        <f t="array" ref="F250">SUM(F247*20/100)</f>
        <v>1200</v>
      </c>
      <c r="G250" s="99"/>
      <c r="H250" s="94"/>
    </row>
    <row r="251" ht="13.65" customHeight="1">
      <c r="A251" s="94"/>
      <c r="B251" t="s" s="95">
        <v>179</v>
      </c>
      <c r="C251" s="96"/>
      <c r="D251" s="96"/>
      <c r="E251" s="97"/>
      <c r="F251" s="98" cm="1">
        <f t="array" ref="F251">SUM(F247/12)+(F247/12/3)</f>
        <v>666.666666666667</v>
      </c>
      <c r="G251" s="99"/>
      <c r="H251" s="94"/>
    </row>
    <row r="252" ht="13.65" customHeight="1">
      <c r="A252" s="94"/>
      <c r="B252" t="s" s="95">
        <v>180</v>
      </c>
      <c r="C252" s="96"/>
      <c r="D252" s="96"/>
      <c r="E252" s="97"/>
      <c r="F252" s="100" cm="1">
        <f t="array" ref="F252">SUM(F247/12)</f>
        <v>500</v>
      </c>
      <c r="G252" s="99"/>
      <c r="H252" s="101"/>
    </row>
    <row r="253" ht="13.65" customHeight="1">
      <c r="A253" s="102"/>
      <c r="B253" t="s" s="103">
        <v>181</v>
      </c>
      <c r="C253" s="104"/>
      <c r="D253" s="104"/>
      <c r="E253" s="105"/>
      <c r="F253" s="106" cm="1">
        <f t="array" ref="F253">SUM(F247:F252)</f>
        <v>11426.6666666667</v>
      </c>
      <c r="G253" s="107"/>
      <c r="H253" s="108" cm="1">
        <f t="array" ref="H253">SUM(F253/22/8/60)</f>
        <v>1.08207070707071</v>
      </c>
    </row>
    <row r="254" ht="13.65" customHeight="1">
      <c r="A254" s="87">
        <v>17</v>
      </c>
      <c r="B254" t="s" s="109">
        <v>182</v>
      </c>
      <c r="C254" s="91"/>
      <c r="D254" s="91"/>
      <c r="E254" s="110"/>
      <c r="F254" s="91"/>
      <c r="G254" s="92"/>
      <c r="H254" s="111"/>
    </row>
    <row r="255" ht="13.65" customHeight="1">
      <c r="A255" s="102"/>
      <c r="B255" t="s" s="103">
        <v>183</v>
      </c>
      <c r="C255" s="104"/>
      <c r="D255" s="104"/>
      <c r="E255" s="105"/>
      <c r="F255" s="104"/>
      <c r="G255" s="112"/>
      <c r="H255" s="108">
        <v>0.08599999999999999</v>
      </c>
    </row>
    <row r="256" ht="16.6" customHeight="1">
      <c r="A256" s="113"/>
      <c r="B256" t="s" s="114">
        <v>184</v>
      </c>
      <c r="C256" s="115"/>
      <c r="D256" s="116"/>
      <c r="E256" s="117"/>
      <c r="F256" s="118"/>
      <c r="G256" s="119"/>
      <c r="H256" s="120" cm="1">
        <f t="array" ref="H256">SUM(SUM(H244,H245,H253,H255))</f>
        <v>2.47496540404041</v>
      </c>
    </row>
    <row r="257" ht="13.65" customHeight="1">
      <c r="A257" s="31"/>
      <c r="B257" s="121"/>
      <c r="C257" s="121"/>
      <c r="D257" s="49"/>
      <c r="E257" s="50"/>
      <c r="F257" s="31"/>
      <c r="G257" s="31"/>
      <c r="H257" s="122"/>
    </row>
    <row r="258" ht="13.65" customHeight="1">
      <c r="A258" s="3"/>
      <c r="B258" s="123"/>
      <c r="C258" s="123"/>
      <c r="D258" s="3"/>
      <c r="E258" s="5"/>
      <c r="F258" s="3"/>
      <c r="G258" s="3"/>
      <c r="H258" s="124"/>
    </row>
    <row r="259" ht="13.65" customHeight="1">
      <c r="A259" s="11"/>
      <c r="B259" s="11"/>
      <c r="C259" s="11"/>
      <c r="D259" s="11"/>
      <c r="E259" s="125"/>
      <c r="F259" s="11"/>
      <c r="G259" s="11"/>
      <c r="H259" s="126"/>
    </row>
    <row r="260" ht="13.65" customHeight="1">
      <c r="A260" t="s" s="44">
        <v>185</v>
      </c>
      <c r="B260" s="45"/>
      <c r="C260" s="45"/>
      <c r="D260" s="45"/>
      <c r="E260" s="47"/>
      <c r="F260" s="45"/>
      <c r="G260" s="45"/>
      <c r="H260" s="48"/>
    </row>
    <row r="261" ht="13.65" customHeight="1">
      <c r="A261" s="31"/>
      <c r="B261" s="31"/>
      <c r="C261" s="31"/>
      <c r="D261" s="31"/>
      <c r="E261" s="50"/>
      <c r="F261" s="31"/>
      <c r="G261" s="31"/>
      <c r="H261" s="31"/>
    </row>
    <row r="262" ht="13.65" customHeight="1">
      <c r="A262" s="3"/>
      <c r="B262" s="3"/>
      <c r="C262" s="3"/>
      <c r="D262" s="3"/>
      <c r="E262" s="5"/>
      <c r="F262" s="3"/>
      <c r="G262" s="3"/>
      <c r="H262" s="3"/>
    </row>
    <row r="263" ht="13.65" customHeight="1">
      <c r="A263" t="s" s="5">
        <v>186</v>
      </c>
      <c r="B263" s="3"/>
      <c r="C263" s="3"/>
      <c r="D263" s="3"/>
      <c r="E263" s="3"/>
      <c r="F263" s="3"/>
      <c r="G263" s="3"/>
      <c r="H263" s="3"/>
    </row>
    <row r="264" ht="13.65" customHeight="1">
      <c r="A264" s="11"/>
      <c r="B264" s="11"/>
      <c r="C264" s="11"/>
      <c r="D264" s="11"/>
      <c r="E264" s="11"/>
      <c r="F264" s="11"/>
      <c r="G264" s="11"/>
      <c r="H264" s="11"/>
    </row>
    <row r="265" ht="13.65" customHeight="1">
      <c r="A265" t="s" s="127">
        <v>187</v>
      </c>
      <c r="B265" s="128"/>
      <c r="C265" s="129"/>
      <c r="D265" s="129"/>
      <c r="E265" s="130"/>
      <c r="F265" s="131"/>
      <c r="G265" t="s" s="29">
        <v>188</v>
      </c>
      <c r="H265" s="27"/>
    </row>
    <row r="266" ht="13.65" customHeight="1">
      <c r="A266" t="s" s="132">
        <v>189</v>
      </c>
      <c r="B266" s="129"/>
      <c r="C266" s="129"/>
      <c r="D266" s="129"/>
      <c r="E266" s="130"/>
      <c r="F266" s="133"/>
      <c r="G266" s="25">
        <v>20000</v>
      </c>
      <c r="H266" s="25"/>
    </row>
    <row r="267" ht="13.65" customHeight="1">
      <c r="A267" t="s" s="132">
        <v>190</v>
      </c>
      <c r="B267" s="129"/>
      <c r="C267" s="129"/>
      <c r="D267" s="129"/>
      <c r="E267" s="130"/>
      <c r="F267" s="133"/>
      <c r="G267" s="25">
        <v>383</v>
      </c>
      <c r="H267" s="25"/>
    </row>
    <row r="268" ht="13.65" customHeight="1">
      <c r="A268" t="s" s="132">
        <v>191</v>
      </c>
      <c r="B268" s="129"/>
      <c r="C268" s="129"/>
      <c r="D268" s="129"/>
      <c r="E268" s="130"/>
      <c r="F268" s="133"/>
      <c r="G268" s="25">
        <v>1450</v>
      </c>
      <c r="H268" s="25"/>
    </row>
    <row r="269" ht="13.65" customHeight="1">
      <c r="A269" t="s" s="132">
        <v>192</v>
      </c>
      <c r="B269" s="129"/>
      <c r="C269" s="129"/>
      <c r="D269" s="129"/>
      <c r="E269" s="130"/>
      <c r="F269" s="133"/>
      <c r="G269" s="25">
        <v>0</v>
      </c>
      <c r="H269" s="25"/>
    </row>
    <row r="270" ht="13.65" customHeight="1">
      <c r="A270" t="s" s="132">
        <v>193</v>
      </c>
      <c r="B270" s="129"/>
      <c r="C270" s="129"/>
      <c r="D270" s="129"/>
      <c r="E270" s="130"/>
      <c r="F270" s="133"/>
      <c r="G270" s="25">
        <v>3270</v>
      </c>
      <c r="H270" s="25"/>
    </row>
    <row r="271" ht="13.65" customHeight="1">
      <c r="A271" t="s" s="132">
        <v>194</v>
      </c>
      <c r="B271" s="129"/>
      <c r="C271" s="129"/>
      <c r="D271" s="129"/>
      <c r="E271" s="130"/>
      <c r="F271" s="133"/>
      <c r="G271" s="25">
        <v>420</v>
      </c>
      <c r="H271" s="25"/>
    </row>
    <row r="272" ht="13.65" customHeight="1">
      <c r="A272" t="s" s="132">
        <v>195</v>
      </c>
      <c r="B272" s="129"/>
      <c r="C272" s="129"/>
      <c r="D272" s="129"/>
      <c r="E272" s="130"/>
      <c r="F272" s="133"/>
      <c r="G272" s="25">
        <v>1890</v>
      </c>
      <c r="H272" s="25"/>
    </row>
    <row r="273" ht="13.65" customHeight="1">
      <c r="A273" t="s" s="132">
        <v>196</v>
      </c>
      <c r="B273" s="129"/>
      <c r="C273" s="129"/>
      <c r="D273" s="129"/>
      <c r="E273" s="130"/>
      <c r="F273" s="133"/>
      <c r="G273" s="25">
        <v>1200</v>
      </c>
      <c r="H273" s="25"/>
    </row>
    <row r="274" ht="13.65" customHeight="1">
      <c r="A274" t="s" s="132">
        <v>197</v>
      </c>
      <c r="B274" s="129"/>
      <c r="C274" s="129"/>
      <c r="D274" s="129"/>
      <c r="E274" s="130"/>
      <c r="F274" s="133"/>
      <c r="G274" s="25">
        <v>2500</v>
      </c>
      <c r="H274" s="25"/>
    </row>
    <row r="275" ht="13.65" customHeight="1">
      <c r="A275" t="s" s="132">
        <v>198</v>
      </c>
      <c r="B275" s="129"/>
      <c r="C275" s="129"/>
      <c r="D275" s="129"/>
      <c r="E275" s="130"/>
      <c r="F275" s="133"/>
      <c r="G275" s="25">
        <v>3000</v>
      </c>
      <c r="H275" s="25"/>
    </row>
    <row r="276" ht="13.65" customHeight="1">
      <c r="A276" t="s" s="132">
        <v>199</v>
      </c>
      <c r="B276" s="129"/>
      <c r="C276" s="129"/>
      <c r="D276" s="129"/>
      <c r="E276" s="130"/>
      <c r="F276" s="133"/>
      <c r="G276" s="25">
        <v>3276</v>
      </c>
      <c r="H276" s="25"/>
    </row>
    <row r="277" ht="13.65" customHeight="1">
      <c r="A277" t="s" s="132">
        <v>200</v>
      </c>
      <c r="B277" s="129"/>
      <c r="C277" s="129"/>
      <c r="D277" s="129"/>
      <c r="E277" s="130"/>
      <c r="F277" s="133"/>
      <c r="G277" s="25">
        <v>990</v>
      </c>
      <c r="H277" s="25"/>
    </row>
    <row r="278" ht="13.65" customHeight="1">
      <c r="A278" t="s" s="132">
        <v>201</v>
      </c>
      <c r="B278" s="129"/>
      <c r="C278" s="129"/>
      <c r="D278" s="129"/>
      <c r="E278" s="130"/>
      <c r="F278" s="133"/>
      <c r="G278" s="25">
        <v>600</v>
      </c>
      <c r="H278" s="25"/>
    </row>
    <row r="279" ht="13.65" customHeight="1">
      <c r="A279" t="s" s="132">
        <v>202</v>
      </c>
      <c r="B279" s="129"/>
      <c r="C279" s="129"/>
      <c r="D279" s="129"/>
      <c r="E279" s="130"/>
      <c r="F279" s="133"/>
      <c r="G279" s="25">
        <v>2210</v>
      </c>
      <c r="H279" s="25"/>
    </row>
    <row r="280" ht="13.65" customHeight="1">
      <c r="A280" t="s" s="132">
        <v>203</v>
      </c>
      <c r="B280" s="129"/>
      <c r="C280" s="129"/>
      <c r="D280" s="129"/>
      <c r="E280" s="130"/>
      <c r="F280" s="133"/>
      <c r="G280" s="25">
        <v>7000</v>
      </c>
      <c r="H280" s="25"/>
    </row>
    <row r="281" ht="13.65" customHeight="1">
      <c r="A281" t="s" s="132">
        <v>204</v>
      </c>
      <c r="B281" s="129"/>
      <c r="C281" s="129"/>
      <c r="D281" s="129"/>
      <c r="E281" s="130"/>
      <c r="F281" s="133"/>
      <c r="G281" s="25">
        <v>500</v>
      </c>
      <c r="H281" s="25"/>
    </row>
    <row r="282" ht="13.65" customHeight="1">
      <c r="A282" t="s" s="132">
        <v>205</v>
      </c>
      <c r="B282" s="129"/>
      <c r="C282" s="129"/>
      <c r="D282" s="129"/>
      <c r="E282" s="130"/>
      <c r="F282" s="133"/>
      <c r="G282" s="25">
        <v>150</v>
      </c>
      <c r="H282" s="25"/>
    </row>
    <row r="283" ht="13.65" customHeight="1">
      <c r="A283" t="s" s="132">
        <v>206</v>
      </c>
      <c r="B283" s="129"/>
      <c r="C283" s="129"/>
      <c r="D283" s="129"/>
      <c r="E283" s="130"/>
      <c r="F283" s="133"/>
      <c r="G283" s="25">
        <v>128</v>
      </c>
      <c r="H283" s="25"/>
    </row>
    <row r="284" ht="13.65" customHeight="1">
      <c r="A284" t="s" s="132">
        <v>207</v>
      </c>
      <c r="B284" s="129"/>
      <c r="C284" s="129"/>
      <c r="D284" s="129"/>
      <c r="E284" s="130"/>
      <c r="F284" s="133"/>
      <c r="G284" s="25">
        <v>12</v>
      </c>
      <c r="H284" s="25"/>
    </row>
    <row r="285" ht="13.65" customHeight="1">
      <c r="A285" t="s" s="132">
        <v>208</v>
      </c>
      <c r="B285" s="129"/>
      <c r="C285" s="129"/>
      <c r="D285" s="129"/>
      <c r="E285" s="130"/>
      <c r="F285" s="133"/>
      <c r="G285" s="25">
        <v>25</v>
      </c>
      <c r="H285" s="25"/>
    </row>
    <row r="286" ht="13.65" customHeight="1">
      <c r="A286" t="s" s="132">
        <v>209</v>
      </c>
      <c r="B286" s="129"/>
      <c r="C286" s="129"/>
      <c r="D286" s="129"/>
      <c r="E286" s="130"/>
      <c r="F286" s="133"/>
      <c r="G286" s="25">
        <v>2000</v>
      </c>
      <c r="H286" s="25"/>
    </row>
    <row r="287" ht="13.65" customHeight="1">
      <c r="A287" t="s" s="132">
        <v>210</v>
      </c>
      <c r="B287" s="129"/>
      <c r="C287" s="129"/>
      <c r="D287" s="129"/>
      <c r="E287" s="130"/>
      <c r="F287" s="133"/>
      <c r="G287" s="25">
        <v>5000</v>
      </c>
      <c r="H287" s="25"/>
    </row>
    <row r="288" ht="13.65" customHeight="1">
      <c r="A288" t="s" s="132">
        <v>211</v>
      </c>
      <c r="B288" s="129"/>
      <c r="C288" s="129"/>
      <c r="D288" s="129"/>
      <c r="E288" s="130"/>
      <c r="F288" s="133"/>
      <c r="G288" s="25">
        <v>2000</v>
      </c>
      <c r="H288" s="25"/>
    </row>
    <row r="289" ht="13.65" customHeight="1">
      <c r="A289" t="s" s="132">
        <v>212</v>
      </c>
      <c r="B289" s="129"/>
      <c r="C289" s="129"/>
      <c r="D289" s="129"/>
      <c r="E289" s="130"/>
      <c r="F289" s="133"/>
      <c r="G289" s="25">
        <v>1200</v>
      </c>
      <c r="H289" s="25"/>
    </row>
    <row r="290" ht="13.65" customHeight="1">
      <c r="A290" t="s" s="132">
        <v>213</v>
      </c>
      <c r="B290" s="129"/>
      <c r="C290" s="129"/>
      <c r="D290" s="129"/>
      <c r="E290" s="130"/>
      <c r="F290" s="133"/>
      <c r="G290" s="25">
        <v>60</v>
      </c>
      <c r="H290" s="25"/>
    </row>
    <row r="291" ht="13.65" customHeight="1">
      <c r="A291" t="s" s="132">
        <v>214</v>
      </c>
      <c r="B291" s="129"/>
      <c r="C291" s="129"/>
      <c r="D291" s="129"/>
      <c r="E291" s="130"/>
      <c r="F291" s="133"/>
      <c r="G291" s="25">
        <v>450</v>
      </c>
      <c r="H291" s="25"/>
    </row>
    <row r="292" ht="13.65" customHeight="1">
      <c r="A292" t="s" s="132">
        <v>215</v>
      </c>
      <c r="B292" s="129"/>
      <c r="C292" s="129"/>
      <c r="D292" s="129"/>
      <c r="E292" s="130"/>
      <c r="F292" s="133"/>
      <c r="G292" s="25">
        <v>80</v>
      </c>
      <c r="H292" s="25"/>
    </row>
    <row r="293" ht="13.65" customHeight="1">
      <c r="A293" t="s" s="132">
        <v>216</v>
      </c>
      <c r="B293" s="129"/>
      <c r="C293" s="129"/>
      <c r="D293" s="129"/>
      <c r="E293" s="130"/>
      <c r="F293" s="133"/>
      <c r="G293" s="25">
        <v>105</v>
      </c>
      <c r="H293" s="25"/>
    </row>
    <row r="294" ht="13.65" customHeight="1">
      <c r="A294" t="s" s="132">
        <v>217</v>
      </c>
      <c r="B294" s="129"/>
      <c r="C294" s="129"/>
      <c r="D294" s="129"/>
      <c r="E294" s="130"/>
      <c r="F294" s="133"/>
      <c r="G294" s="25">
        <v>75</v>
      </c>
      <c r="H294" s="25"/>
    </row>
    <row r="295" ht="13.65" customHeight="1">
      <c r="A295" t="s" s="132">
        <v>218</v>
      </c>
      <c r="B295" s="129"/>
      <c r="C295" s="129"/>
      <c r="D295" s="129"/>
      <c r="E295" s="130"/>
      <c r="F295" s="133"/>
      <c r="G295" s="25">
        <v>35</v>
      </c>
      <c r="H295" s="25"/>
    </row>
    <row r="296" ht="13.65" customHeight="1">
      <c r="A296" t="s" s="132">
        <v>219</v>
      </c>
      <c r="B296" s="129"/>
      <c r="C296" s="129"/>
      <c r="D296" s="129"/>
      <c r="E296" s="130"/>
      <c r="F296" s="133"/>
      <c r="G296" s="25">
        <v>1000</v>
      </c>
      <c r="H296" s="25"/>
    </row>
    <row r="297" ht="13.65" customHeight="1">
      <c r="A297" t="s" s="134">
        <v>220</v>
      </c>
      <c r="B297" s="129"/>
      <c r="C297" s="129"/>
      <c r="D297" s="129"/>
      <c r="E297" s="130"/>
      <c r="F297" s="133"/>
      <c r="G297" s="135" cm="1">
        <f t="array" ref="G297">SUM(G266:G296)</f>
        <v>61009</v>
      </c>
      <c r="H297" s="135"/>
    </row>
    <row r="298" ht="13.65" customHeight="1">
      <c r="A298" s="121"/>
      <c r="B298" s="31"/>
      <c r="C298" s="31"/>
      <c r="D298" s="31"/>
      <c r="E298" s="50"/>
      <c r="F298" s="136"/>
      <c r="G298" s="137"/>
      <c r="H298" s="137"/>
    </row>
    <row r="299" ht="13.65" customHeight="1">
      <c r="A299" s="3"/>
      <c r="B299" s="3"/>
      <c r="C299" s="3"/>
      <c r="D299" s="3"/>
      <c r="E299" s="5"/>
      <c r="F299" s="3"/>
      <c r="G299" s="3"/>
      <c r="H299" s="3"/>
    </row>
    <row r="300" ht="13.65" customHeight="1">
      <c r="A300" t="s" s="5">
        <v>168</v>
      </c>
      <c r="B300" s="3"/>
      <c r="C300" s="3"/>
      <c r="D300" s="38"/>
      <c r="E300" s="5"/>
      <c r="F300" s="3"/>
      <c r="G300" s="3"/>
      <c r="H300" s="3"/>
    </row>
    <row r="301" ht="13.65" customHeight="1">
      <c r="A301" s="11"/>
      <c r="B301" s="11"/>
      <c r="C301" s="11"/>
      <c r="D301" s="11"/>
      <c r="E301" s="11"/>
      <c r="F301" s="11"/>
      <c r="G301" s="11"/>
      <c r="H301" s="11"/>
    </row>
    <row r="302" ht="13.65" customHeight="1">
      <c r="A302" t="s" s="22">
        <v>221</v>
      </c>
      <c r="B302" s="28"/>
      <c r="C302" s="28"/>
      <c r="D302" s="138">
        <v>7.66</v>
      </c>
      <c r="E302" t="s" s="22">
        <v>222</v>
      </c>
      <c r="F302" s="28"/>
      <c r="G302" s="28"/>
      <c r="H302" s="138">
        <v>160</v>
      </c>
    </row>
    <row r="303" ht="13.65" customHeight="1">
      <c r="A303" t="s" s="22">
        <v>223</v>
      </c>
      <c r="B303" s="28"/>
      <c r="C303" s="28"/>
      <c r="D303" s="139">
        <v>6.5</v>
      </c>
      <c r="E303" t="s" s="22">
        <v>224</v>
      </c>
      <c r="F303" s="28"/>
      <c r="G303" s="28"/>
      <c r="H303" s="138">
        <v>32.6</v>
      </c>
    </row>
    <row r="304" ht="13.65" customHeight="1">
      <c r="A304" t="s" s="22">
        <v>225</v>
      </c>
      <c r="B304" s="28"/>
      <c r="C304" s="28"/>
      <c r="D304" s="139">
        <v>18</v>
      </c>
      <c r="E304" t="s" s="22">
        <v>226</v>
      </c>
      <c r="F304" s="28"/>
      <c r="G304" s="28"/>
      <c r="H304" s="138">
        <v>180</v>
      </c>
    </row>
    <row r="305" ht="13.65" customHeight="1">
      <c r="A305" t="s" s="22">
        <v>227</v>
      </c>
      <c r="B305" s="28"/>
      <c r="C305" s="28"/>
      <c r="D305" s="139">
        <v>450</v>
      </c>
      <c r="E305" t="s" s="22">
        <v>228</v>
      </c>
      <c r="F305" s="28"/>
      <c r="G305" s="28"/>
      <c r="H305" s="138">
        <v>30</v>
      </c>
    </row>
    <row r="306" ht="13.65" customHeight="1">
      <c r="A306" t="s" s="22">
        <v>229</v>
      </c>
      <c r="B306" s="28"/>
      <c r="C306" s="28"/>
      <c r="D306" s="139">
        <v>14.9</v>
      </c>
      <c r="E306" t="s" s="22">
        <v>230</v>
      </c>
      <c r="F306" s="28"/>
      <c r="G306" s="28"/>
      <c r="H306" s="138">
        <v>200</v>
      </c>
    </row>
    <row r="307" ht="13.65" customHeight="1">
      <c r="A307" t="s" s="22">
        <v>231</v>
      </c>
      <c r="B307" s="28"/>
      <c r="C307" s="28"/>
      <c r="D307" s="139">
        <v>50</v>
      </c>
      <c r="E307" t="s" s="22">
        <v>232</v>
      </c>
      <c r="F307" s="28"/>
      <c r="G307" s="28"/>
      <c r="H307" s="138">
        <v>30</v>
      </c>
    </row>
    <row r="308" ht="13.65" customHeight="1">
      <c r="A308" t="s" s="22">
        <v>233</v>
      </c>
      <c r="B308" s="28"/>
      <c r="C308" s="28"/>
      <c r="D308" s="139">
        <v>20</v>
      </c>
      <c r="E308" t="s" s="22">
        <v>234</v>
      </c>
      <c r="F308" s="28"/>
      <c r="G308" s="28"/>
      <c r="H308" s="138">
        <v>36</v>
      </c>
    </row>
    <row r="309" ht="13.65" customHeight="1">
      <c r="A309" t="s" s="22">
        <v>235</v>
      </c>
      <c r="B309" s="28"/>
      <c r="C309" s="28"/>
      <c r="D309" s="139">
        <v>93.26000000000001</v>
      </c>
      <c r="E309" t="s" s="22">
        <v>236</v>
      </c>
      <c r="F309" s="28"/>
      <c r="G309" s="28"/>
      <c r="H309" s="138">
        <v>50</v>
      </c>
    </row>
    <row r="310" ht="13.65" customHeight="1">
      <c r="A310" t="s" s="22">
        <v>237</v>
      </c>
      <c r="B310" s="28"/>
      <c r="C310" s="28"/>
      <c r="D310" s="139">
        <v>31.98</v>
      </c>
      <c r="E310" t="s" s="22">
        <v>238</v>
      </c>
      <c r="F310" s="28"/>
      <c r="G310" s="28"/>
      <c r="H310" s="138">
        <v>15</v>
      </c>
    </row>
    <row r="311" ht="13.65" customHeight="1">
      <c r="A311" t="s" s="22">
        <v>239</v>
      </c>
      <c r="B311" s="28"/>
      <c r="C311" s="28"/>
      <c r="D311" s="139">
        <v>5</v>
      </c>
      <c r="E311" t="s" s="22">
        <v>240</v>
      </c>
      <c r="F311" s="28"/>
      <c r="G311" s="28"/>
      <c r="H311" s="138">
        <v>30</v>
      </c>
    </row>
    <row r="312" ht="13.65" customHeight="1">
      <c r="A312" t="s" s="22">
        <v>241</v>
      </c>
      <c r="B312" s="28"/>
      <c r="C312" s="28"/>
      <c r="D312" s="139">
        <v>2</v>
      </c>
      <c r="E312" t="s" s="22">
        <v>242</v>
      </c>
      <c r="F312" s="28"/>
      <c r="G312" s="28"/>
      <c r="H312" s="138">
        <v>25</v>
      </c>
    </row>
    <row r="313" ht="13.65" customHeight="1">
      <c r="A313" t="s" s="22">
        <v>243</v>
      </c>
      <c r="B313" s="28"/>
      <c r="C313" s="28"/>
      <c r="D313" s="139">
        <v>19.9</v>
      </c>
      <c r="E313" t="s" s="22">
        <v>244</v>
      </c>
      <c r="F313" s="140"/>
      <c r="G313" s="28"/>
      <c r="H313" s="138">
        <v>25</v>
      </c>
    </row>
    <row r="314" ht="13.65" customHeight="1">
      <c r="A314" t="s" s="22">
        <v>245</v>
      </c>
      <c r="B314" s="28"/>
      <c r="C314" s="28"/>
      <c r="D314" s="139">
        <v>25.22</v>
      </c>
      <c r="E314" t="s" s="22">
        <v>246</v>
      </c>
      <c r="F314" s="140"/>
      <c r="G314" s="28"/>
      <c r="H314" s="138">
        <v>18</v>
      </c>
    </row>
    <row r="315" ht="13.65" customHeight="1">
      <c r="A315" t="s" s="22">
        <v>247</v>
      </c>
      <c r="B315" s="28"/>
      <c r="C315" s="28"/>
      <c r="D315" s="139">
        <v>110</v>
      </c>
      <c r="E315" s="22"/>
      <c r="F315" s="140"/>
      <c r="G315" s="28"/>
      <c r="H315" s="138"/>
    </row>
    <row r="316" ht="13.65" customHeight="1">
      <c r="A316" s="28"/>
      <c r="B316" s="28"/>
      <c r="C316" s="28"/>
      <c r="D316" s="141"/>
      <c r="E316" s="142"/>
      <c r="F316" s="140"/>
      <c r="G316" t="s" s="142">
        <v>220</v>
      </c>
      <c r="H316" s="140" cm="1">
        <f t="array" ref="H316">SUM(D302:D315)+H302+H303+H304+H305+H306+H307+H308+H309+H310+H311+H312+H313+H314+H315</f>
        <v>1686.02</v>
      </c>
    </row>
    <row r="317" ht="13.65" customHeight="1">
      <c r="A317" s="31"/>
      <c r="B317" s="31"/>
      <c r="C317" s="31"/>
      <c r="D317" s="49"/>
      <c r="E317" s="143"/>
      <c r="F317" s="144"/>
      <c r="G317" s="143"/>
      <c r="H317" s="144"/>
    </row>
    <row r="318" ht="13.65" customHeight="1">
      <c r="A318" s="3"/>
      <c r="B318" s="3"/>
      <c r="C318" s="3"/>
      <c r="D318" s="38"/>
      <c r="E318" s="145"/>
      <c r="F318" s="146"/>
      <c r="G318" s="145"/>
      <c r="H318" s="146"/>
    </row>
    <row r="319" ht="13.65" customHeight="1">
      <c r="A319" s="11"/>
      <c r="B319" s="11"/>
      <c r="C319" s="11"/>
      <c r="D319" s="11"/>
      <c r="E319" s="11"/>
      <c r="F319" s="11"/>
      <c r="G319" s="11"/>
      <c r="H319" s="11"/>
    </row>
    <row r="320" ht="13.65" customHeight="1">
      <c r="A320" t="s" s="44">
        <v>185</v>
      </c>
      <c r="B320" s="45"/>
      <c r="C320" s="45"/>
      <c r="D320" s="46"/>
      <c r="E320" s="147"/>
      <c r="F320" s="148"/>
      <c r="G320" s="147"/>
      <c r="H320" s="149"/>
    </row>
    <row r="321" ht="13.65" customHeight="1">
      <c r="A321" s="31"/>
      <c r="B321" s="31"/>
      <c r="C321" s="31"/>
      <c r="D321" s="31"/>
      <c r="E321" s="31"/>
      <c r="F321" s="144"/>
      <c r="G321" s="31"/>
      <c r="H321" s="31"/>
    </row>
    <row r="322" ht="18.5" customHeight="1">
      <c r="A322" t="s" s="51">
        <v>248</v>
      </c>
      <c r="B322" s="52"/>
      <c r="C322" s="52"/>
      <c r="D322" s="53"/>
      <c r="E322" s="3"/>
      <c r="F322" s="3"/>
      <c r="G322" s="52"/>
      <c r="H322" s="52"/>
    </row>
    <row r="323" ht="18.5" customHeight="1">
      <c r="A323" s="3"/>
      <c r="B323" s="3"/>
      <c r="C323" s="3"/>
      <c r="D323" s="53"/>
      <c r="E323" s="5"/>
      <c r="F323" s="3"/>
      <c r="G323" s="3"/>
      <c r="H323" s="3"/>
    </row>
    <row r="324" ht="13.65" customHeight="1">
      <c r="A324" t="s" s="5">
        <v>249</v>
      </c>
      <c r="B324" s="3"/>
      <c r="C324" s="3"/>
      <c r="D324" s="3"/>
      <c r="E324" s="3"/>
      <c r="F324" s="3"/>
      <c r="G324" s="3"/>
      <c r="H324" s="3"/>
    </row>
    <row r="325" ht="13.65" customHeight="1">
      <c r="A325" t="s" s="5">
        <v>250</v>
      </c>
      <c r="B325" s="3"/>
      <c r="C325" s="3"/>
      <c r="D325" s="3"/>
      <c r="E325" s="3"/>
      <c r="F325" s="3"/>
      <c r="G325" s="3"/>
      <c r="H325" s="3"/>
    </row>
    <row r="326" ht="13.65" customHeight="1">
      <c r="A326" t="s" s="5">
        <v>251</v>
      </c>
      <c r="B326" s="3"/>
      <c r="C326" s="3"/>
      <c r="D326" s="3"/>
      <c r="E326" s="3"/>
      <c r="F326" s="3"/>
      <c r="G326" s="3"/>
      <c r="H326" s="3"/>
    </row>
    <row r="327" ht="13.65" customHeight="1">
      <c r="A327" s="11"/>
      <c r="B327" s="11"/>
      <c r="C327" s="11"/>
      <c r="D327" s="11"/>
      <c r="E327" s="11"/>
      <c r="F327" s="11"/>
      <c r="G327" s="11"/>
      <c r="H327" s="3"/>
    </row>
    <row r="328" ht="13.65" customHeight="1">
      <c r="A328" s="12"/>
      <c r="B328" s="12"/>
      <c r="C328" s="13"/>
      <c r="D328" s="14"/>
      <c r="E328" s="13"/>
      <c r="F328" s="13"/>
      <c r="G328" t="s" s="14">
        <v>252</v>
      </c>
      <c r="H328" s="150"/>
    </row>
    <row r="329" ht="13.65" customHeight="1">
      <c r="A329" t="s" s="16">
        <v>93</v>
      </c>
      <c r="B329" t="s" s="16">
        <v>94</v>
      </c>
      <c r="C329" t="s" s="16">
        <v>95</v>
      </c>
      <c r="D329" t="s" s="16">
        <v>96</v>
      </c>
      <c r="E329" t="s" s="16">
        <v>97</v>
      </c>
      <c r="F329" t="s" s="16">
        <v>98</v>
      </c>
      <c r="G329" t="s" s="16">
        <v>99</v>
      </c>
      <c r="H329" s="15"/>
    </row>
    <row r="330" ht="13.65" customHeight="1">
      <c r="A330" s="151"/>
      <c r="B330" s="151"/>
      <c r="C330" s="19"/>
      <c r="D330" s="20"/>
      <c r="E330" s="19"/>
      <c r="F330" s="19"/>
      <c r="G330" t="s" s="20">
        <v>100</v>
      </c>
      <c r="H330" s="15"/>
    </row>
    <row r="331" ht="13.65" customHeight="1">
      <c r="A331" s="21">
        <v>72</v>
      </c>
      <c r="B331" t="s" s="22">
        <v>101</v>
      </c>
      <c r="C331" s="23">
        <v>100</v>
      </c>
      <c r="D331" t="s" s="24">
        <v>102</v>
      </c>
      <c r="E331" s="25">
        <v>18</v>
      </c>
      <c r="F331" s="23">
        <v>50</v>
      </c>
      <c r="G331" s="152" cm="1">
        <f t="array" ref="G331">SUM(E331/F331)</f>
        <v>0.36</v>
      </c>
      <c r="H331" s="15"/>
    </row>
    <row r="332" ht="13.65" customHeight="1">
      <c r="A332" s="21">
        <v>123</v>
      </c>
      <c r="B332" t="s" s="22">
        <v>103</v>
      </c>
      <c r="C332" s="23">
        <v>40</v>
      </c>
      <c r="D332" t="s" s="24">
        <v>104</v>
      </c>
      <c r="E332" s="25">
        <v>4</v>
      </c>
      <c r="F332" s="23">
        <v>40</v>
      </c>
      <c r="G332" s="152" cm="1">
        <f t="array" ref="G332">SUM(E332/F332)</f>
        <v>0.1</v>
      </c>
      <c r="H332" s="15"/>
    </row>
    <row r="333" ht="13.65" customHeight="1">
      <c r="A333" s="21">
        <v>57</v>
      </c>
      <c r="B333" t="s" s="22">
        <v>253</v>
      </c>
      <c r="C333" t="s" s="24">
        <v>254</v>
      </c>
      <c r="D333" t="s" s="24">
        <v>255</v>
      </c>
      <c r="E333" s="25">
        <v>4.5</v>
      </c>
      <c r="F333" s="23">
        <v>20</v>
      </c>
      <c r="G333" s="152" cm="1">
        <f t="array" ref="G333">SUM(E333/F333)</f>
        <v>0.225</v>
      </c>
      <c r="H333" s="15"/>
    </row>
    <row r="334" ht="13.65" customHeight="1">
      <c r="A334" s="21">
        <v>86</v>
      </c>
      <c r="B334" t="s" s="22">
        <v>107</v>
      </c>
      <c r="C334" s="23">
        <v>100</v>
      </c>
      <c r="D334" t="s" s="24">
        <v>102</v>
      </c>
      <c r="E334" s="25">
        <v>50</v>
      </c>
      <c r="F334" s="23">
        <v>25</v>
      </c>
      <c r="G334" s="152" cm="1">
        <f t="array" ref="G334">SUM(E334/F334)</f>
        <v>2</v>
      </c>
      <c r="H334" s="15"/>
    </row>
    <row r="335" ht="13.65" customHeight="1">
      <c r="A335" s="21">
        <v>71</v>
      </c>
      <c r="B335" t="s" s="22">
        <v>109</v>
      </c>
      <c r="C335" s="23">
        <v>100</v>
      </c>
      <c r="D335" t="s" s="24">
        <v>256</v>
      </c>
      <c r="E335" s="25">
        <v>5.92</v>
      </c>
      <c r="F335" s="23">
        <v>33</v>
      </c>
      <c r="G335" s="152" cm="1">
        <f t="array" ref="G335">SUM(E335/F335)</f>
        <v>0.179393939393939</v>
      </c>
      <c r="H335" s="15"/>
    </row>
    <row r="336" ht="13.65" customHeight="1">
      <c r="A336" s="21">
        <v>87</v>
      </c>
      <c r="B336" t="s" s="22">
        <v>110</v>
      </c>
      <c r="C336" s="23">
        <v>50</v>
      </c>
      <c r="D336" t="s" s="24">
        <v>256</v>
      </c>
      <c r="E336" s="25">
        <v>50</v>
      </c>
      <c r="F336" s="23">
        <v>15</v>
      </c>
      <c r="G336" s="152" cm="1">
        <f t="array" ref="G336">SUM(E336/F336)</f>
        <v>3.33333333333333</v>
      </c>
      <c r="H336" s="15"/>
    </row>
    <row r="337" ht="13.65" customHeight="1">
      <c r="A337" s="21">
        <v>55</v>
      </c>
      <c r="B337" t="s" s="22">
        <v>111</v>
      </c>
      <c r="C337" t="s" s="24">
        <v>112</v>
      </c>
      <c r="D337" t="s" s="24">
        <v>113</v>
      </c>
      <c r="E337" s="25">
        <v>12</v>
      </c>
      <c r="F337" s="23">
        <v>75</v>
      </c>
      <c r="G337" s="152" cm="1">
        <f t="array" ref="G337">SUM(E337/F337)</f>
        <v>0.16</v>
      </c>
      <c r="H337" s="15"/>
    </row>
    <row r="338" ht="13.65" customHeight="1">
      <c r="A338" s="28"/>
      <c r="B338" t="s" s="22">
        <v>257</v>
      </c>
      <c r="C338" s="23">
        <v>20</v>
      </c>
      <c r="D338" t="s" s="24">
        <v>104</v>
      </c>
      <c r="E338" s="152" cm="1">
        <f t="array" ref="E338">SUM(H361)</f>
        <v>14.2683333333333</v>
      </c>
      <c r="F338" s="23">
        <v>20</v>
      </c>
      <c r="G338" s="152" cm="1">
        <f t="array" ref="G338">SUM(E338/F338)</f>
        <v>0.713416666666665</v>
      </c>
      <c r="H338" s="15"/>
    </row>
    <row r="339" ht="13.65" customHeight="1">
      <c r="A339" s="28"/>
      <c r="B339" s="28"/>
      <c r="C339" s="27"/>
      <c r="D339" s="24"/>
      <c r="E339" s="27"/>
      <c r="F339" t="s" s="153">
        <v>118</v>
      </c>
      <c r="G339" s="154" cm="1">
        <f t="array" ref="G339">SUM(G331:G338)</f>
        <v>7.07114393939393</v>
      </c>
      <c r="H339" s="15"/>
    </row>
    <row r="340" ht="13.65" customHeight="1">
      <c r="A340" s="31"/>
      <c r="B340" s="31"/>
      <c r="C340" s="31"/>
      <c r="D340" s="31"/>
      <c r="E340" s="50"/>
      <c r="F340" s="31"/>
      <c r="G340" s="121"/>
      <c r="H340" s="34"/>
    </row>
    <row r="341" ht="13.65" customHeight="1">
      <c r="A341" s="3"/>
      <c r="B341" s="3"/>
      <c r="C341" s="3"/>
      <c r="D341" s="3"/>
      <c r="E341" s="5"/>
      <c r="F341" s="3"/>
      <c r="G341" s="123"/>
      <c r="H341" s="34"/>
    </row>
    <row r="342" ht="13.65" customHeight="1">
      <c r="A342" t="s" s="5">
        <v>258</v>
      </c>
      <c r="B342" s="3"/>
      <c r="C342" s="3"/>
      <c r="D342" s="3"/>
      <c r="E342" s="3"/>
      <c r="F342" s="3"/>
      <c r="G342" s="3"/>
      <c r="H342" s="3"/>
    </row>
    <row r="343" ht="13.65" customHeight="1">
      <c r="A343" s="11"/>
      <c r="B343" s="11"/>
      <c r="C343" s="11"/>
      <c r="D343" s="11"/>
      <c r="E343" s="11"/>
      <c r="F343" s="11"/>
      <c r="G343" s="11"/>
      <c r="H343" s="11"/>
    </row>
    <row r="344" ht="13.65" customHeight="1">
      <c r="A344" s="155"/>
      <c r="B344" s="31"/>
      <c r="C344" s="156"/>
      <c r="D344" s="13"/>
      <c r="E344" s="14"/>
      <c r="F344" s="13"/>
      <c r="G344" s="12"/>
      <c r="H344" t="s" s="157">
        <v>252</v>
      </c>
    </row>
    <row r="345" ht="13.65" customHeight="1">
      <c r="A345" s="15"/>
      <c r="B345" t="s" s="158">
        <v>259</v>
      </c>
      <c r="C345" s="159"/>
      <c r="D345" t="s" s="16">
        <v>95</v>
      </c>
      <c r="E345" t="s" s="16">
        <v>96</v>
      </c>
      <c r="F345" t="s" s="16">
        <v>97</v>
      </c>
      <c r="G345" t="s" s="16">
        <v>98</v>
      </c>
      <c r="H345" t="s" s="160">
        <v>99</v>
      </c>
    </row>
    <row r="346" ht="13.65" customHeight="1">
      <c r="A346" s="161"/>
      <c r="B346" s="11"/>
      <c r="C346" s="162"/>
      <c r="D346" s="19"/>
      <c r="E346" s="20"/>
      <c r="F346" s="19"/>
      <c r="G346" s="18"/>
      <c r="H346" t="s" s="163">
        <v>100</v>
      </c>
    </row>
    <row r="347" ht="13.65" customHeight="1">
      <c r="A347" t="s" s="132">
        <v>260</v>
      </c>
      <c r="B347" s="129"/>
      <c r="C347" s="131"/>
      <c r="D347" s="23">
        <v>50</v>
      </c>
      <c r="E347" t="s" s="24">
        <v>261</v>
      </c>
      <c r="F347" s="25">
        <v>7</v>
      </c>
      <c r="G347" s="23">
        <v>2.5</v>
      </c>
      <c r="H347" s="26" cm="1">
        <f t="array" ref="H347">SUM(F347/G347)</f>
        <v>2.8</v>
      </c>
    </row>
    <row r="348" ht="13.65" customHeight="1">
      <c r="A348" t="s" s="132">
        <v>262</v>
      </c>
      <c r="B348" s="129"/>
      <c r="C348" s="131"/>
      <c r="D348" s="23">
        <v>50</v>
      </c>
      <c r="E348" t="s" s="24">
        <v>261</v>
      </c>
      <c r="F348" s="25">
        <v>8</v>
      </c>
      <c r="G348" s="23">
        <v>2.5</v>
      </c>
      <c r="H348" s="26" cm="1">
        <f t="array" ref="H348">SUM(F348/G348)</f>
        <v>3.2</v>
      </c>
    </row>
    <row r="349" ht="13.65" customHeight="1">
      <c r="A349" t="s" s="132">
        <v>263</v>
      </c>
      <c r="B349" s="129"/>
      <c r="C349" s="131"/>
      <c r="D349" s="23">
        <v>50</v>
      </c>
      <c r="E349" t="s" s="24">
        <v>261</v>
      </c>
      <c r="F349" s="25">
        <v>7</v>
      </c>
      <c r="G349" s="23">
        <v>2.5</v>
      </c>
      <c r="H349" s="26" cm="1">
        <f t="array" ref="H349">SUM(F349/G349)</f>
        <v>2.8</v>
      </c>
    </row>
    <row r="350" ht="13.65" customHeight="1">
      <c r="A350" t="s" s="132">
        <v>264</v>
      </c>
      <c r="B350" s="129"/>
      <c r="C350" s="131"/>
      <c r="D350" s="23">
        <v>100</v>
      </c>
      <c r="E350" t="s" s="24">
        <v>265</v>
      </c>
      <c r="F350" s="25">
        <v>0.8</v>
      </c>
      <c r="G350" s="23">
        <v>4</v>
      </c>
      <c r="H350" s="26" cm="1">
        <f t="array" ref="H350">SUM(F350/G350)</f>
        <v>0.2</v>
      </c>
    </row>
    <row r="351" ht="13.65" customHeight="1">
      <c r="A351" t="s" s="132">
        <v>266</v>
      </c>
      <c r="B351" s="129"/>
      <c r="C351" s="131"/>
      <c r="D351" s="23">
        <v>5000</v>
      </c>
      <c r="E351" t="s" s="24">
        <v>267</v>
      </c>
      <c r="F351" s="25">
        <v>2</v>
      </c>
      <c r="G351" s="23">
        <v>100</v>
      </c>
      <c r="H351" s="26" cm="1">
        <f t="array" ref="H351">SUM(F351/G351)</f>
        <v>0.02</v>
      </c>
    </row>
    <row r="352" ht="13.65" customHeight="1">
      <c r="A352" t="s" s="132">
        <v>268</v>
      </c>
      <c r="B352" s="129"/>
      <c r="C352" s="131"/>
      <c r="D352" s="23">
        <v>1000</v>
      </c>
      <c r="E352" t="s" s="24">
        <v>261</v>
      </c>
      <c r="F352" s="25">
        <v>80</v>
      </c>
      <c r="G352" s="23">
        <v>50</v>
      </c>
      <c r="H352" s="26" cm="1">
        <f t="array" ref="H352">SUM(F352/G352)</f>
        <v>1.6</v>
      </c>
    </row>
    <row r="353" ht="13.65" customHeight="1">
      <c r="A353" t="s" s="132">
        <v>269</v>
      </c>
      <c r="B353" s="129"/>
      <c r="C353" s="131"/>
      <c r="D353" s="23">
        <v>1000</v>
      </c>
      <c r="E353" t="s" s="24">
        <v>261</v>
      </c>
      <c r="F353" s="25">
        <v>80</v>
      </c>
      <c r="G353" s="23">
        <v>50</v>
      </c>
      <c r="H353" s="26" cm="1">
        <f t="array" ref="H353">SUM(F353/G353)</f>
        <v>1.6</v>
      </c>
    </row>
    <row r="354" ht="13.65" customHeight="1">
      <c r="A354" t="s" s="132">
        <v>270</v>
      </c>
      <c r="B354" s="129"/>
      <c r="C354" s="131"/>
      <c r="D354" s="23">
        <v>50</v>
      </c>
      <c r="E354" t="s" s="24">
        <v>261</v>
      </c>
      <c r="F354" s="25">
        <v>0.5</v>
      </c>
      <c r="G354" s="23">
        <v>2.5</v>
      </c>
      <c r="H354" s="26" cm="1">
        <f t="array" ref="H354">SUM(F354/G354)</f>
        <v>0.2</v>
      </c>
    </row>
    <row r="355" ht="13.65" customHeight="1">
      <c r="A355" t="s" s="132">
        <v>271</v>
      </c>
      <c r="B355" s="129"/>
      <c r="C355" s="131"/>
      <c r="D355" s="23">
        <v>1</v>
      </c>
      <c r="E355" t="s" s="24">
        <v>272</v>
      </c>
      <c r="F355" s="25">
        <v>23</v>
      </c>
      <c r="G355" s="23">
        <v>60</v>
      </c>
      <c r="H355" s="26" cm="1">
        <f t="array" ref="H355">SUM(F355/G355)</f>
        <v>0.383333333333333</v>
      </c>
    </row>
    <row r="356" ht="13.65" customHeight="1">
      <c r="A356" t="s" s="132">
        <v>273</v>
      </c>
      <c r="B356" s="129"/>
      <c r="C356" s="131"/>
      <c r="D356" s="23">
        <v>100</v>
      </c>
      <c r="E356" t="s" s="24">
        <v>274</v>
      </c>
      <c r="F356" s="25">
        <v>13</v>
      </c>
      <c r="G356" s="23">
        <v>25</v>
      </c>
      <c r="H356" s="26" cm="1">
        <f t="array" ref="H356">SUM(F356/G356)</f>
        <v>0.52</v>
      </c>
    </row>
    <row r="357" ht="13.65" customHeight="1">
      <c r="A357" t="s" s="132">
        <v>275</v>
      </c>
      <c r="B357" s="129"/>
      <c r="C357" s="131"/>
      <c r="D357" s="23">
        <v>1</v>
      </c>
      <c r="E357" t="s" s="24">
        <v>104</v>
      </c>
      <c r="F357" s="25">
        <v>0.25</v>
      </c>
      <c r="G357" s="23">
        <v>1</v>
      </c>
      <c r="H357" s="26" cm="1">
        <f t="array" ref="H357">SUM(F357/G357)</f>
        <v>0.25</v>
      </c>
    </row>
    <row r="358" ht="13.65" customHeight="1">
      <c r="A358" t="s" s="132">
        <v>276</v>
      </c>
      <c r="B358" s="129"/>
      <c r="C358" s="131"/>
      <c r="D358" s="23">
        <v>1</v>
      </c>
      <c r="E358" t="s" s="24">
        <v>277</v>
      </c>
      <c r="F358" s="25">
        <v>0.35</v>
      </c>
      <c r="G358" s="23">
        <v>2</v>
      </c>
      <c r="H358" s="26" cm="1">
        <f t="array" ref="H358">SUM(F358/G358)</f>
        <v>0.175</v>
      </c>
    </row>
    <row r="359" ht="13.65" customHeight="1">
      <c r="A359" t="s" s="132">
        <v>278</v>
      </c>
      <c r="B359" s="129"/>
      <c r="C359" s="131"/>
      <c r="D359" s="23">
        <v>1</v>
      </c>
      <c r="E359" t="s" s="24">
        <v>279</v>
      </c>
      <c r="F359" s="25">
        <v>1.2</v>
      </c>
      <c r="G359" s="23">
        <v>6</v>
      </c>
      <c r="H359" s="26" cm="1">
        <f t="array" ref="H359">SUM(F359/G359)</f>
        <v>0.2</v>
      </c>
    </row>
    <row r="360" ht="13.65" customHeight="1">
      <c r="A360" t="s" s="132">
        <v>280</v>
      </c>
      <c r="B360" s="129"/>
      <c r="C360" s="131"/>
      <c r="D360" s="23">
        <v>1</v>
      </c>
      <c r="E360" t="s" s="24">
        <v>104</v>
      </c>
      <c r="F360" s="25">
        <v>0.32</v>
      </c>
      <c r="G360" s="23">
        <v>1</v>
      </c>
      <c r="H360" s="26" cm="1">
        <f t="array" ref="H360">SUM(F360/G360)</f>
        <v>0.32</v>
      </c>
    </row>
    <row r="361" ht="13.65" customHeight="1">
      <c r="A361" s="164"/>
      <c r="B361" s="129"/>
      <c r="C361" s="131"/>
      <c r="D361" s="28"/>
      <c r="E361" s="165"/>
      <c r="F361" s="138"/>
      <c r="G361" t="s" s="29">
        <v>220</v>
      </c>
      <c r="H361" s="30" cm="1">
        <f t="array" ref="H361">SUM(H347:H360)</f>
        <v>14.2683333333333</v>
      </c>
    </row>
    <row r="362" ht="13.65" customHeight="1">
      <c r="A362" s="129"/>
      <c r="B362" s="129"/>
      <c r="C362" s="129"/>
      <c r="D362" s="129"/>
      <c r="E362" s="166"/>
      <c r="F362" s="136"/>
      <c r="G362" s="31"/>
      <c r="H362" s="31"/>
    </row>
    <row r="363" ht="11.7" customHeight="1">
      <c r="A363" t="s" s="167">
        <v>136</v>
      </c>
      <c r="B363" t="s" s="167">
        <v>281</v>
      </c>
      <c r="C363" t="s" s="167">
        <v>282</v>
      </c>
      <c r="D363" t="s" s="168">
        <v>283</v>
      </c>
      <c r="E363" s="169"/>
      <c r="F363" s="170"/>
      <c r="G363" s="171"/>
      <c r="H363" s="171"/>
    </row>
    <row r="364" ht="13.65" customHeight="1">
      <c r="A364" s="23">
        <v>40</v>
      </c>
      <c r="B364" s="172" cm="1">
        <f t="array" ref="B364">SUM(H256)</f>
        <v>2.47496540404041</v>
      </c>
      <c r="C364" s="173" cm="1">
        <f t="array" ref="C364">SUM(G339)</f>
        <v>7.07114393939393</v>
      </c>
      <c r="D364" s="174" cm="1">
        <f t="array" ref="D364">SUM(A364*B364)+(C364)</f>
        <v>106.069760101010</v>
      </c>
      <c r="E364" s="175"/>
      <c r="F364" s="15"/>
      <c r="G364" s="3"/>
      <c r="H364" s="3"/>
    </row>
    <row r="365" ht="13.65" customHeight="1">
      <c r="A365" s="31"/>
      <c r="B365" s="176"/>
      <c r="C365" s="176"/>
      <c r="D365" s="176"/>
      <c r="E365" s="177"/>
      <c r="F365" s="3"/>
      <c r="G365" s="3"/>
      <c r="H365" s="3"/>
    </row>
    <row r="366" ht="13.65" customHeight="1">
      <c r="A366" s="11"/>
      <c r="B366" s="11"/>
      <c r="C366" s="11"/>
      <c r="D366" s="11"/>
      <c r="E366" s="11"/>
      <c r="F366" s="11"/>
      <c r="G366" s="11"/>
      <c r="H366" s="11"/>
    </row>
    <row r="367" ht="13.65" customHeight="1">
      <c r="A367" t="s" s="44">
        <v>284</v>
      </c>
      <c r="B367" s="45"/>
      <c r="C367" s="45"/>
      <c r="D367" s="45"/>
      <c r="E367" s="47"/>
      <c r="F367" s="45"/>
      <c r="G367" s="45"/>
      <c r="H367" s="48"/>
    </row>
    <row r="368" ht="13.65" customHeight="1">
      <c r="A368" s="31"/>
      <c r="B368" s="31"/>
      <c r="C368" s="31"/>
      <c r="D368" s="31"/>
      <c r="E368" s="31"/>
      <c r="F368" s="31"/>
      <c r="G368" s="31"/>
      <c r="H368" s="31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t="s" s="5">
        <v>285</v>
      </c>
      <c r="B370" s="3"/>
      <c r="C370" s="3"/>
      <c r="D370" s="3"/>
      <c r="E370" s="3"/>
      <c r="F370" s="3"/>
      <c r="G370" s="3"/>
      <c r="H370" s="3"/>
    </row>
    <row r="371" ht="13.65" customHeight="1">
      <c r="A371" t="s" s="5">
        <v>286</v>
      </c>
      <c r="B371" s="3"/>
      <c r="C371" s="3"/>
      <c r="D371" s="3"/>
      <c r="E371" s="3"/>
      <c r="F371" s="3"/>
      <c r="G371" s="3"/>
      <c r="H371" s="3"/>
    </row>
    <row r="372" ht="13.65" customHeight="1">
      <c r="A372" t="s" s="5">
        <v>287</v>
      </c>
      <c r="B372" s="3"/>
      <c r="C372" s="3"/>
      <c r="D372" s="3"/>
      <c r="E372" s="3"/>
      <c r="F372" s="3"/>
      <c r="G372" s="3"/>
      <c r="H372" s="3"/>
    </row>
    <row r="373" ht="13.65" customHeight="1">
      <c r="A373" s="11"/>
      <c r="B373" s="11"/>
      <c r="C373" s="11"/>
      <c r="D373" s="11"/>
      <c r="E373" s="11"/>
      <c r="F373" s="3"/>
      <c r="G373" s="3"/>
      <c r="H373" s="3"/>
    </row>
    <row r="374" ht="13.65" customHeight="1">
      <c r="A374" t="s" s="22">
        <v>288</v>
      </c>
      <c r="B374" s="164"/>
      <c r="C374" s="129"/>
      <c r="D374" s="178"/>
      <c r="E374" s="179">
        <v>58.06</v>
      </c>
      <c r="F374" s="180"/>
      <c r="G374" s="3"/>
      <c r="H374" s="3"/>
    </row>
    <row r="375" ht="13.65" customHeight="1">
      <c r="A375" t="s" s="22">
        <v>289</v>
      </c>
      <c r="B375" s="164"/>
      <c r="C375" s="129"/>
      <c r="D375" s="178"/>
      <c r="E375" s="179">
        <v>55.97</v>
      </c>
      <c r="F375" s="15"/>
      <c r="G375" s="3"/>
      <c r="H375" s="3"/>
    </row>
    <row r="376" ht="13.65" customHeight="1">
      <c r="A376" t="s" s="22">
        <v>290</v>
      </c>
      <c r="B376" s="164"/>
      <c r="C376" s="129"/>
      <c r="D376" s="178"/>
      <c r="E376" s="179">
        <v>34.87</v>
      </c>
      <c r="F376" s="15"/>
      <c r="G376" s="3"/>
      <c r="H376" s="3"/>
    </row>
    <row r="377" ht="13.65" customHeight="1">
      <c r="A377" t="s" s="22">
        <v>291</v>
      </c>
      <c r="B377" s="164"/>
      <c r="C377" s="129"/>
      <c r="D377" s="178"/>
      <c r="E377" s="179">
        <v>60.71</v>
      </c>
      <c r="F377" s="15"/>
      <c r="G377" s="3"/>
      <c r="H377" s="3"/>
    </row>
    <row r="378" ht="13.65" customHeight="1">
      <c r="A378" t="s" s="22">
        <v>292</v>
      </c>
      <c r="B378" s="164"/>
      <c r="C378" s="129"/>
      <c r="D378" s="178"/>
      <c r="E378" s="179">
        <v>48.12</v>
      </c>
      <c r="F378" s="15"/>
      <c r="G378" s="3"/>
      <c r="H378" s="3"/>
    </row>
    <row r="379" ht="13.65" customHeight="1">
      <c r="A379" t="s" s="22">
        <v>293</v>
      </c>
      <c r="B379" s="164"/>
      <c r="C379" s="129"/>
      <c r="D379" s="178"/>
      <c r="E379" s="179">
        <v>64.06</v>
      </c>
      <c r="F379" s="15"/>
      <c r="G379" s="3"/>
      <c r="H379" s="3"/>
    </row>
    <row r="380" ht="13.65" customHeight="1">
      <c r="A380" t="s" s="22">
        <v>294</v>
      </c>
      <c r="B380" s="164"/>
      <c r="C380" s="129"/>
      <c r="D380" s="178"/>
      <c r="E380" s="179">
        <v>46.12</v>
      </c>
      <c r="F380" s="15"/>
      <c r="G380" s="3"/>
      <c r="H380" s="3"/>
    </row>
    <row r="381" ht="13.65" customHeight="1">
      <c r="A381" t="s" s="22">
        <v>295</v>
      </c>
      <c r="B381" s="164"/>
      <c r="C381" s="129"/>
      <c r="D381" s="178"/>
      <c r="E381" s="179">
        <v>28.53</v>
      </c>
      <c r="F381" s="15"/>
      <c r="G381" s="3"/>
      <c r="H381" s="3"/>
    </row>
    <row r="382" ht="13.65" customHeight="1">
      <c r="A382" s="31"/>
      <c r="B382" s="31"/>
      <c r="C382" s="156"/>
      <c r="D382" t="s" s="22">
        <v>220</v>
      </c>
      <c r="E382" s="179" cm="1">
        <f t="array" ref="E382">SUM(E374:E381)</f>
        <v>396.44</v>
      </c>
      <c r="F382" s="15"/>
      <c r="G382" s="3"/>
      <c r="H382" s="3"/>
    </row>
    <row r="383" ht="13.65" customHeight="1">
      <c r="A383" s="3"/>
      <c r="B383" s="3"/>
      <c r="C383" s="3"/>
      <c r="D383" s="181"/>
      <c r="E383" s="50"/>
      <c r="F383" s="3"/>
      <c r="G383" s="3"/>
      <c r="H383" s="3"/>
    </row>
    <row r="384" ht="13.65" customHeight="1">
      <c r="A384" s="3"/>
      <c r="B384" s="3"/>
      <c r="C384" s="3"/>
      <c r="D384" s="182"/>
      <c r="E384" s="3"/>
      <c r="F384" s="3"/>
      <c r="G384" s="3"/>
      <c r="H384" s="3"/>
    </row>
    <row r="385" ht="13.65" customHeight="1">
      <c r="A385" t="s" s="145">
        <v>296</v>
      </c>
      <c r="B385" s="3"/>
      <c r="C385" s="3"/>
      <c r="D385" s="3"/>
      <c r="E385" s="3"/>
      <c r="F385" s="3"/>
      <c r="G385" s="3"/>
      <c r="H385" s="3"/>
    </row>
    <row r="386" ht="14.15" customHeight="1">
      <c r="A386" s="3"/>
      <c r="B386" s="183"/>
      <c r="C386" s="183"/>
      <c r="D386" s="183"/>
      <c r="E386" s="3"/>
      <c r="F386" s="3"/>
      <c r="G386" s="3"/>
      <c r="H386" s="3"/>
    </row>
    <row r="387" ht="12.2" customHeight="1">
      <c r="A387" s="184"/>
      <c r="B387" t="s" s="185">
        <v>297</v>
      </c>
      <c r="C387" t="s" s="186">
        <v>298</v>
      </c>
      <c r="D387" t="s" s="187">
        <v>299</v>
      </c>
      <c r="E387" s="188"/>
      <c r="F387" s="189"/>
      <c r="G387" s="171"/>
      <c r="H387" s="171"/>
    </row>
    <row r="388" ht="14.15" customHeight="1">
      <c r="A388" s="190"/>
      <c r="B388" s="191" cm="1">
        <f t="array" ref="B388">SUM(E382/8)</f>
        <v>49.555</v>
      </c>
      <c r="C388" s="192" cm="1">
        <f t="array" ref="C388">SUM(B388)+(B388*0.4)</f>
        <v>69.377</v>
      </c>
      <c r="D388" s="193" cm="1">
        <f t="array" ref="D388">SUM(B388+C388)</f>
        <v>118.932</v>
      </c>
      <c r="E388" s="194"/>
      <c r="F388" s="195"/>
      <c r="G388" s="3"/>
      <c r="H388" s="3"/>
    </row>
    <row r="389" ht="14.15" customHeight="1">
      <c r="A389" s="3"/>
      <c r="B389" s="196"/>
      <c r="C389" s="196"/>
      <c r="D389" s="196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t="s" s="5">
        <v>300</v>
      </c>
      <c r="B391" s="3"/>
      <c r="C391" s="3"/>
      <c r="D391" s="3"/>
      <c r="E391" s="3"/>
      <c r="F391" s="3"/>
      <c r="G391" s="3"/>
      <c r="H391" s="3"/>
    </row>
    <row r="392" ht="13.65" customHeight="1">
      <c r="A392" s="11"/>
      <c r="B392" s="11"/>
      <c r="C392" s="11"/>
      <c r="D392" s="11"/>
      <c r="E392" s="11"/>
      <c r="F392" s="11"/>
      <c r="G392" s="11"/>
      <c r="H392" s="3"/>
    </row>
    <row r="393" ht="13.65" customHeight="1">
      <c r="A393" s="12"/>
      <c r="B393" s="12"/>
      <c r="C393" s="13"/>
      <c r="D393" s="14"/>
      <c r="E393" s="13"/>
      <c r="F393" s="13"/>
      <c r="G393" t="s" s="14">
        <v>252</v>
      </c>
      <c r="H393" s="150"/>
    </row>
    <row r="394" ht="13.65" customHeight="1">
      <c r="A394" t="s" s="16">
        <v>93</v>
      </c>
      <c r="B394" t="s" s="16">
        <v>94</v>
      </c>
      <c r="C394" t="s" s="16">
        <v>95</v>
      </c>
      <c r="D394" t="s" s="16">
        <v>96</v>
      </c>
      <c r="E394" t="s" s="16">
        <v>97</v>
      </c>
      <c r="F394" t="s" s="16">
        <v>98</v>
      </c>
      <c r="G394" t="s" s="16">
        <v>99</v>
      </c>
      <c r="H394" s="15"/>
    </row>
    <row r="395" ht="13.65" customHeight="1">
      <c r="A395" s="151"/>
      <c r="B395" s="151"/>
      <c r="C395" s="19"/>
      <c r="D395" s="20"/>
      <c r="E395" s="19"/>
      <c r="F395" s="19"/>
      <c r="G395" t="s" s="20">
        <v>100</v>
      </c>
      <c r="H395" s="15"/>
    </row>
    <row r="396" ht="13.65" customHeight="1">
      <c r="A396" s="21">
        <v>72</v>
      </c>
      <c r="B396" t="s" s="22">
        <v>101</v>
      </c>
      <c r="C396" s="23">
        <v>50</v>
      </c>
      <c r="D396" t="s" s="24">
        <v>102</v>
      </c>
      <c r="E396" s="25">
        <v>1.93</v>
      </c>
      <c r="F396" s="23">
        <v>25</v>
      </c>
      <c r="G396" s="152" cm="1">
        <f t="array" ref="G396">SUM(E396/F396)</f>
        <v>0.0772</v>
      </c>
      <c r="H396" s="15"/>
    </row>
    <row r="397" ht="13.65" customHeight="1">
      <c r="A397" s="21">
        <v>123</v>
      </c>
      <c r="B397" t="s" s="22">
        <v>103</v>
      </c>
      <c r="C397" s="23">
        <v>40</v>
      </c>
      <c r="D397" t="s" s="24">
        <v>104</v>
      </c>
      <c r="E397" s="25">
        <v>3.2</v>
      </c>
      <c r="F397" s="23">
        <v>40</v>
      </c>
      <c r="G397" s="152" cm="1">
        <f t="array" ref="G397">SUM(E397/F397)</f>
        <v>0.08</v>
      </c>
      <c r="H397" s="15"/>
    </row>
    <row r="398" ht="13.65" customHeight="1">
      <c r="A398" s="21">
        <v>57</v>
      </c>
      <c r="B398" t="s" s="22">
        <v>253</v>
      </c>
      <c r="C398" t="s" s="24">
        <v>254</v>
      </c>
      <c r="D398" t="s" s="24">
        <v>255</v>
      </c>
      <c r="E398" s="25">
        <v>4.5</v>
      </c>
      <c r="F398" s="23">
        <v>20</v>
      </c>
      <c r="G398" s="152" cm="1">
        <f t="array" ref="G398">SUM(E398/F398)</f>
        <v>0.225</v>
      </c>
      <c r="H398" s="15"/>
    </row>
    <row r="399" ht="13.65" customHeight="1">
      <c r="A399" s="21">
        <v>86</v>
      </c>
      <c r="B399" t="s" s="22">
        <v>107</v>
      </c>
      <c r="C399" t="s" s="24">
        <v>108</v>
      </c>
      <c r="D399" t="s" s="24">
        <v>274</v>
      </c>
      <c r="E399" s="25">
        <v>0.32</v>
      </c>
      <c r="F399" t="s" s="24">
        <v>301</v>
      </c>
      <c r="G399" s="152" cm="1">
        <f t="array" ref="G399">SUM(E399*4)</f>
        <v>1.28</v>
      </c>
      <c r="H399" s="15"/>
    </row>
    <row r="400" ht="13.65" customHeight="1">
      <c r="A400" s="21">
        <v>71</v>
      </c>
      <c r="B400" t="s" s="22">
        <v>109</v>
      </c>
      <c r="C400" s="23">
        <v>10</v>
      </c>
      <c r="D400" t="s" s="24">
        <v>274</v>
      </c>
      <c r="E400" s="25">
        <v>5.92</v>
      </c>
      <c r="F400" s="23">
        <v>2.5</v>
      </c>
      <c r="G400" s="152" cm="1">
        <f t="array" ref="G400">SUM(E400/F400)</f>
        <v>2.368</v>
      </c>
      <c r="H400" s="15"/>
    </row>
    <row r="401" ht="13.65" customHeight="1">
      <c r="A401" s="21">
        <v>87</v>
      </c>
      <c r="B401" t="s" s="22">
        <v>110</v>
      </c>
      <c r="C401" s="23">
        <v>50</v>
      </c>
      <c r="D401" t="s" s="24">
        <v>274</v>
      </c>
      <c r="E401" s="25">
        <v>9</v>
      </c>
      <c r="F401" s="23">
        <v>12.5</v>
      </c>
      <c r="G401" s="152" cm="1">
        <f t="array" ref="G401">SUM(E401/F401)</f>
        <v>0.72</v>
      </c>
      <c r="H401" s="15"/>
    </row>
    <row r="402" ht="13.65" customHeight="1">
      <c r="A402" s="21">
        <v>55</v>
      </c>
      <c r="B402" t="s" s="22">
        <v>111</v>
      </c>
      <c r="C402" t="s" s="24">
        <v>112</v>
      </c>
      <c r="D402" t="s" s="24">
        <v>113</v>
      </c>
      <c r="E402" s="25">
        <v>2.71</v>
      </c>
      <c r="F402" s="23">
        <v>75</v>
      </c>
      <c r="G402" s="152" cm="1">
        <f t="array" ref="G402">SUM(E402/F402)</f>
        <v>0.0361333333333333</v>
      </c>
      <c r="H402" s="15"/>
    </row>
    <row r="403" ht="13.65" customHeight="1">
      <c r="A403" s="21">
        <v>24</v>
      </c>
      <c r="B403" t="s" s="22">
        <v>302</v>
      </c>
      <c r="C403" s="23">
        <v>10</v>
      </c>
      <c r="D403" t="s" s="24">
        <v>104</v>
      </c>
      <c r="E403" s="25">
        <v>9.6</v>
      </c>
      <c r="F403" s="23">
        <v>10</v>
      </c>
      <c r="G403" s="152" cm="1">
        <f t="array" ref="G403">SUM(E403/F403)</f>
        <v>0.96</v>
      </c>
      <c r="H403" s="15"/>
    </row>
    <row r="404" ht="13.65" customHeight="1">
      <c r="A404" s="28"/>
      <c r="B404" s="28"/>
      <c r="C404" s="27"/>
      <c r="D404" s="24"/>
      <c r="E404" s="27"/>
      <c r="F404" t="s" s="29">
        <v>118</v>
      </c>
      <c r="G404" s="197" cm="1">
        <f t="array" ref="G404">SUM(G396:G403)</f>
        <v>5.74633333333333</v>
      </c>
      <c r="H404" s="15"/>
    </row>
    <row r="405" ht="13.65" customHeight="1">
      <c r="A405" s="129"/>
      <c r="B405" s="129"/>
      <c r="C405" s="129"/>
      <c r="D405" s="129"/>
      <c r="E405" s="129"/>
      <c r="F405" s="31"/>
      <c r="G405" s="31"/>
      <c r="H405" s="3"/>
    </row>
    <row r="406" ht="11.7" customHeight="1">
      <c r="A406" t="s" s="167">
        <v>136</v>
      </c>
      <c r="B406" t="s" s="167">
        <v>281</v>
      </c>
      <c r="C406" t="s" s="167">
        <v>282</v>
      </c>
      <c r="D406" t="s" s="168">
        <v>283</v>
      </c>
      <c r="E406" s="169"/>
      <c r="F406" s="170"/>
      <c r="G406" s="171"/>
      <c r="H406" s="171"/>
    </row>
    <row r="407" ht="13.65" customHeight="1">
      <c r="A407" s="23">
        <v>35</v>
      </c>
      <c r="B407" s="172" cm="1">
        <f t="array" ref="B407">SUM(H256)</f>
        <v>2.47496540404041</v>
      </c>
      <c r="C407" s="198" cm="1">
        <f t="array" ref="C407">SUM(G404)</f>
        <v>5.74633333333333</v>
      </c>
      <c r="D407" s="199" cm="1">
        <f t="array" ref="D407">SUM(A407*B407)+(C407)</f>
        <v>92.3701224747477</v>
      </c>
      <c r="E407" s="200"/>
      <c r="F407" s="15"/>
      <c r="G407" s="3"/>
      <c r="H407" s="3"/>
    </row>
    <row r="408" ht="13.65" customHeight="1">
      <c r="A408" s="31"/>
      <c r="B408" s="31"/>
      <c r="C408" s="31"/>
      <c r="D408" s="31"/>
      <c r="E408" s="31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t="s" s="5">
        <v>303</v>
      </c>
      <c r="B410" s="3"/>
      <c r="C410" s="3"/>
      <c r="D410" s="3"/>
      <c r="E410" s="3"/>
      <c r="F410" s="3"/>
      <c r="G410" s="3"/>
      <c r="H410" s="3"/>
    </row>
    <row r="411" ht="13.65" customHeight="1">
      <c r="A411" s="11"/>
      <c r="B411" s="11"/>
      <c r="C411" s="11"/>
      <c r="D411" s="11"/>
      <c r="E411" s="3"/>
      <c r="F411" s="3"/>
      <c r="G411" s="3"/>
      <c r="H411" s="3"/>
    </row>
    <row r="412" ht="11.7" customHeight="1">
      <c r="A412" t="s" s="167">
        <v>136</v>
      </c>
      <c r="B412" t="s" s="167">
        <v>281</v>
      </c>
      <c r="C412" t="s" s="168">
        <v>283</v>
      </c>
      <c r="D412" s="169"/>
      <c r="E412" s="170"/>
      <c r="F412" s="171"/>
      <c r="G412" s="171"/>
      <c r="H412" s="171"/>
    </row>
    <row r="413" ht="13.65" customHeight="1">
      <c r="A413" s="23">
        <v>45</v>
      </c>
      <c r="B413" s="172" cm="1">
        <f t="array" ref="B413">SUM(H256)</f>
        <v>2.47496540404041</v>
      </c>
      <c r="C413" s="201" cm="1">
        <f t="array" ref="C413">SUM(A413*B413)</f>
        <v>111.373443181818</v>
      </c>
      <c r="D413" s="202"/>
      <c r="E413" s="15"/>
      <c r="F413" s="3"/>
      <c r="G413" s="3"/>
      <c r="H413" s="3"/>
    </row>
    <row r="414" ht="13.65" customHeight="1">
      <c r="A414" s="31"/>
      <c r="B414" s="31"/>
      <c r="C414" s="31"/>
      <c r="D414" s="31"/>
      <c r="E414" s="3"/>
      <c r="F414" s="3"/>
      <c r="G414" s="3"/>
      <c r="H414" s="3"/>
    </row>
    <row r="415" ht="13.65" customHeight="1">
      <c r="A415" s="11"/>
      <c r="B415" s="11"/>
      <c r="C415" s="11"/>
      <c r="D415" s="11"/>
      <c r="E415" s="11"/>
      <c r="F415" s="11"/>
      <c r="G415" s="11"/>
      <c r="H415" s="11"/>
    </row>
    <row r="416" ht="13.65" customHeight="1">
      <c r="A416" t="s" s="44">
        <v>284</v>
      </c>
      <c r="B416" s="45"/>
      <c r="C416" s="45"/>
      <c r="D416" s="45"/>
      <c r="E416" s="47"/>
      <c r="F416" s="45"/>
      <c r="G416" s="45"/>
      <c r="H416" s="48"/>
    </row>
    <row r="417" ht="13.65" customHeight="1">
      <c r="A417" s="31"/>
      <c r="B417" s="31"/>
      <c r="C417" s="31"/>
      <c r="D417" s="31"/>
      <c r="E417" s="31"/>
      <c r="F417" s="31"/>
      <c r="G417" s="31"/>
      <c r="H417" s="31"/>
    </row>
    <row r="418" ht="13.65" customHeight="1">
      <c r="A418" s="123"/>
      <c r="B418" s="3"/>
      <c r="C418" s="3"/>
      <c r="D418" s="3"/>
      <c r="E418" s="3"/>
      <c r="F418" s="3"/>
      <c r="G418" s="3"/>
      <c r="H418" s="3"/>
    </row>
    <row r="419" ht="13.65" customHeight="1">
      <c r="A419" t="s" s="5">
        <v>304</v>
      </c>
      <c r="B419" s="3"/>
      <c r="C419" s="3"/>
      <c r="D419" s="3"/>
      <c r="E419" s="3"/>
      <c r="F419" s="3"/>
      <c r="G419" s="3"/>
      <c r="H419" s="3"/>
    </row>
    <row r="420" ht="13.65" customHeight="1">
      <c r="A420" s="203"/>
      <c r="B420" s="203"/>
      <c r="C420" s="203"/>
      <c r="D420" s="203"/>
      <c r="E420" s="203"/>
      <c r="F420" s="203"/>
      <c r="G420" s="3"/>
      <c r="H420" s="3"/>
    </row>
    <row r="421" ht="13.65" customHeight="1">
      <c r="A421" t="s" s="204">
        <v>305</v>
      </c>
      <c r="B421" s="205"/>
      <c r="C421" s="205"/>
      <c r="D421" s="206"/>
      <c r="E421" s="207"/>
      <c r="F421" s="205"/>
      <c r="G421" s="208"/>
      <c r="H421" s="123"/>
    </row>
    <row r="422" ht="13.65" customHeight="1">
      <c r="A422" s="209"/>
      <c r="B422" s="209"/>
      <c r="C422" s="209"/>
      <c r="D422" s="210"/>
      <c r="E422" s="211"/>
      <c r="F422" s="209"/>
      <c r="G422" s="11"/>
      <c r="H422" s="11"/>
    </row>
    <row r="423" ht="13.65" customHeight="1">
      <c r="A423" t="s" s="81">
        <v>306</v>
      </c>
      <c r="B423" s="82"/>
      <c r="C423" s="82"/>
      <c r="D423" s="83"/>
      <c r="E423" s="84"/>
      <c r="F423" s="82"/>
      <c r="G423" s="82"/>
      <c r="H423" s="85"/>
    </row>
    <row r="424" ht="13.65" customHeight="1">
      <c r="A424" t="s" s="212">
        <v>93</v>
      </c>
      <c r="B424" t="s" s="109">
        <v>154</v>
      </c>
      <c r="C424" s="91"/>
      <c r="D424" s="213"/>
      <c r="E424" s="110"/>
      <c r="F424" s="91"/>
      <c r="G424" s="92"/>
      <c r="H424" t="s" s="214">
        <v>155</v>
      </c>
    </row>
    <row r="425" ht="13.65" customHeight="1">
      <c r="A425" s="102"/>
      <c r="B425" s="215"/>
      <c r="C425" s="104"/>
      <c r="D425" s="104"/>
      <c r="E425" s="105"/>
      <c r="F425" s="104"/>
      <c r="G425" s="112"/>
      <c r="H425" t="s" s="216">
        <v>156</v>
      </c>
    </row>
    <row r="426" ht="13.65" customHeight="1">
      <c r="A426" s="72">
        <v>1</v>
      </c>
      <c r="B426" t="s" s="73">
        <v>307</v>
      </c>
      <c r="C426" s="74"/>
      <c r="D426" s="74"/>
      <c r="E426" s="75"/>
      <c r="F426" s="74"/>
      <c r="G426" s="76"/>
      <c r="H426" s="77">
        <v>750</v>
      </c>
    </row>
    <row r="427" ht="13.65" customHeight="1">
      <c r="A427" s="72">
        <v>2</v>
      </c>
      <c r="B427" t="s" s="73">
        <v>158</v>
      </c>
      <c r="C427" s="74"/>
      <c r="D427" s="74"/>
      <c r="E427" s="75"/>
      <c r="F427" s="74"/>
      <c r="G427" s="76"/>
      <c r="H427" s="77">
        <v>180</v>
      </c>
    </row>
    <row r="428" ht="13.65" customHeight="1">
      <c r="A428" s="72">
        <v>3</v>
      </c>
      <c r="B428" t="s" s="73">
        <v>308</v>
      </c>
      <c r="C428" s="74"/>
      <c r="D428" s="74"/>
      <c r="E428" s="75"/>
      <c r="F428" s="74"/>
      <c r="G428" s="76"/>
      <c r="H428" s="77">
        <v>140</v>
      </c>
    </row>
    <row r="429" ht="13.65" customHeight="1">
      <c r="A429" s="72">
        <v>4</v>
      </c>
      <c r="B429" t="s" s="73">
        <v>309</v>
      </c>
      <c r="C429" s="74"/>
      <c r="D429" s="74"/>
      <c r="E429" s="75"/>
      <c r="F429" s="74"/>
      <c r="G429" s="76"/>
      <c r="H429" s="77"/>
    </row>
    <row r="430" ht="13.65" customHeight="1">
      <c r="A430" s="72">
        <v>5</v>
      </c>
      <c r="B430" t="s" s="73">
        <v>161</v>
      </c>
      <c r="C430" s="74"/>
      <c r="D430" s="74"/>
      <c r="E430" s="75"/>
      <c r="F430" s="74"/>
      <c r="G430" s="76"/>
      <c r="H430" s="77">
        <v>391</v>
      </c>
    </row>
    <row r="431" ht="13.65" customHeight="1">
      <c r="A431" s="72">
        <v>6</v>
      </c>
      <c r="B431" t="s" s="73">
        <v>162</v>
      </c>
      <c r="C431" s="74"/>
      <c r="D431" s="74"/>
      <c r="E431" s="75"/>
      <c r="F431" s="74"/>
      <c r="G431" s="76"/>
      <c r="H431" s="77">
        <v>250</v>
      </c>
    </row>
    <row r="432" ht="13.65" customHeight="1">
      <c r="A432" s="87">
        <v>7</v>
      </c>
      <c r="B432" t="s" s="109">
        <v>310</v>
      </c>
      <c r="C432" s="91"/>
      <c r="D432" s="91"/>
      <c r="E432" s="110"/>
      <c r="F432" s="91"/>
      <c r="G432" s="92"/>
      <c r="H432" s="217"/>
    </row>
    <row r="433" ht="13.65" customHeight="1">
      <c r="A433" s="102"/>
      <c r="B433" t="s" s="103">
        <v>311</v>
      </c>
      <c r="C433" s="104"/>
      <c r="D433" s="104"/>
      <c r="E433" s="105"/>
      <c r="F433" s="104"/>
      <c r="G433" s="112"/>
      <c r="H433" s="218">
        <v>4500</v>
      </c>
    </row>
    <row r="434" ht="13.65" customHeight="1">
      <c r="A434" s="72">
        <v>8</v>
      </c>
      <c r="B434" t="s" s="73">
        <v>312</v>
      </c>
      <c r="C434" s="74"/>
      <c r="D434" s="74"/>
      <c r="E434" s="75"/>
      <c r="F434" s="74"/>
      <c r="G434" s="76"/>
      <c r="H434" s="77">
        <v>200</v>
      </c>
    </row>
    <row r="435" ht="13.65" customHeight="1">
      <c r="A435" s="87">
        <v>9</v>
      </c>
      <c r="B435" t="s" s="219">
        <v>313</v>
      </c>
      <c r="C435" s="220"/>
      <c r="D435" s="91"/>
      <c r="E435" s="110"/>
      <c r="F435" s="91"/>
      <c r="G435" s="92"/>
      <c r="H435" s="217"/>
    </row>
    <row r="436" ht="13.65" customHeight="1">
      <c r="A436" s="102"/>
      <c r="B436" t="s" s="221">
        <v>314</v>
      </c>
      <c r="C436" s="215"/>
      <c r="D436" s="104"/>
      <c r="E436" s="105"/>
      <c r="F436" s="104"/>
      <c r="G436" s="112"/>
      <c r="H436" s="218">
        <v>400</v>
      </c>
    </row>
    <row r="437" ht="13.65" customHeight="1">
      <c r="A437" s="72">
        <v>10</v>
      </c>
      <c r="B437" t="s" s="73">
        <v>166</v>
      </c>
      <c r="C437" s="74"/>
      <c r="D437" s="74"/>
      <c r="E437" s="75"/>
      <c r="F437" s="74"/>
      <c r="G437" s="76"/>
      <c r="H437" s="77">
        <v>280</v>
      </c>
    </row>
    <row r="438" ht="13.65" customHeight="1">
      <c r="A438" s="72">
        <v>11</v>
      </c>
      <c r="B438" t="s" s="73">
        <v>169</v>
      </c>
      <c r="C438" s="74"/>
      <c r="D438" s="74"/>
      <c r="E438" s="75"/>
      <c r="F438" s="74"/>
      <c r="G438" s="76"/>
      <c r="H438" s="77">
        <v>300</v>
      </c>
    </row>
    <row r="439" ht="13.65" customHeight="1">
      <c r="A439" s="72">
        <v>12</v>
      </c>
      <c r="B439" t="s" s="73">
        <v>315</v>
      </c>
      <c r="C439" s="74"/>
      <c r="D439" s="74"/>
      <c r="E439" s="75"/>
      <c r="F439" s="74"/>
      <c r="G439" s="76"/>
      <c r="H439" s="77">
        <v>500</v>
      </c>
    </row>
    <row r="440" ht="13.65" customHeight="1">
      <c r="A440" s="72">
        <v>13</v>
      </c>
      <c r="B440" t="s" s="73">
        <v>168</v>
      </c>
      <c r="C440" s="74"/>
      <c r="D440" s="74"/>
      <c r="E440" s="75"/>
      <c r="F440" s="74"/>
      <c r="G440" s="76"/>
      <c r="H440" s="77">
        <v>289.58</v>
      </c>
    </row>
    <row r="441" ht="13.65" customHeight="1">
      <c r="A441" s="80"/>
      <c r="B441" t="s" s="81">
        <v>171</v>
      </c>
      <c r="C441" s="82"/>
      <c r="D441" s="83"/>
      <c r="E441" s="84"/>
      <c r="F441" s="82"/>
      <c r="G441" s="85"/>
      <c r="H441" s="222" cm="1">
        <f t="array" ref="H441">SUM(H426:H440)</f>
        <v>8180.58</v>
      </c>
    </row>
    <row r="442" ht="13.65" customHeight="1">
      <c r="A442" s="80"/>
      <c r="B442" t="s" s="73">
        <v>172</v>
      </c>
      <c r="C442" s="74"/>
      <c r="D442" s="74"/>
      <c r="E442" s="75"/>
      <c r="F442" s="74"/>
      <c r="G442" s="76"/>
      <c r="H442" s="223" cm="1">
        <f t="array" ref="H442">SUM(H441)/(22)/(8)/(60)</f>
        <v>0.774676136363636</v>
      </c>
    </row>
    <row r="443" ht="13.65" customHeight="1">
      <c r="A443" s="72">
        <v>14</v>
      </c>
      <c r="B443" t="s" s="73">
        <v>173</v>
      </c>
      <c r="C443" s="74"/>
      <c r="D443" s="74"/>
      <c r="E443" s="75"/>
      <c r="F443" s="74"/>
      <c r="G443" s="76"/>
      <c r="H443" s="224">
        <v>0.213</v>
      </c>
    </row>
    <row r="444" ht="13.65" customHeight="1">
      <c r="A444" s="87">
        <v>15</v>
      </c>
      <c r="B444" t="s" s="109">
        <v>316</v>
      </c>
      <c r="C444" s="91"/>
      <c r="D444" s="91"/>
      <c r="E444" s="110"/>
      <c r="F444" s="91"/>
      <c r="G444" s="92"/>
      <c r="H444" s="93"/>
    </row>
    <row r="445" ht="13.65" customHeight="1">
      <c r="A445" s="94"/>
      <c r="B445" t="s" s="95">
        <v>317</v>
      </c>
      <c r="C445" s="96"/>
      <c r="D445" s="96"/>
      <c r="E445" s="97"/>
      <c r="F445" s="225">
        <v>2674.64</v>
      </c>
      <c r="G445" s="99"/>
      <c r="H445" s="94"/>
    </row>
    <row r="446" ht="13.65" customHeight="1">
      <c r="A446" s="94"/>
      <c r="B446" t="s" s="95">
        <v>318</v>
      </c>
      <c r="C446" s="96"/>
      <c r="D446" s="96"/>
      <c r="E446" s="97"/>
      <c r="F446" s="225" cm="1">
        <f t="array" ref="F446">SUM(F445*11/100)</f>
        <v>294.2104</v>
      </c>
      <c r="G446" s="99"/>
      <c r="H446" s="94"/>
    </row>
    <row r="447" ht="13.65" customHeight="1">
      <c r="A447" s="94"/>
      <c r="B447" t="s" s="95">
        <v>319</v>
      </c>
      <c r="C447" s="96"/>
      <c r="D447" s="96"/>
      <c r="E447" s="97"/>
      <c r="F447" s="225">
        <v>1069.56</v>
      </c>
      <c r="G447" s="99"/>
      <c r="H447" s="94"/>
    </row>
    <row r="448" ht="13.65" customHeight="1">
      <c r="A448" s="94"/>
      <c r="B448" t="s" s="95">
        <v>178</v>
      </c>
      <c r="C448" s="96"/>
      <c r="D448" s="96"/>
      <c r="E448" s="97"/>
      <c r="F448" s="225" cm="1">
        <f t="array" ref="F448">SUM(F445*20/100)</f>
        <v>534.928</v>
      </c>
      <c r="G448" s="99"/>
      <c r="H448" s="94"/>
    </row>
    <row r="449" ht="13.65" customHeight="1">
      <c r="A449" s="94"/>
      <c r="B449" t="s" s="95">
        <v>179</v>
      </c>
      <c r="C449" s="96"/>
      <c r="D449" s="96"/>
      <c r="E449" s="97"/>
      <c r="F449" s="225" cm="1">
        <f t="array" ref="F449">SUM(F445/12)+(F445/12/3)</f>
        <v>297.182222222222</v>
      </c>
      <c r="G449" s="99"/>
      <c r="H449" s="94"/>
    </row>
    <row r="450" ht="13.65" customHeight="1">
      <c r="A450" s="94"/>
      <c r="B450" t="s" s="95">
        <v>180</v>
      </c>
      <c r="C450" s="96"/>
      <c r="D450" s="96"/>
      <c r="E450" s="97"/>
      <c r="F450" s="226" cm="1">
        <f t="array" ref="F450">SUM(F445/12)</f>
        <v>222.886666666667</v>
      </c>
      <c r="G450" s="99"/>
      <c r="H450" s="101"/>
    </row>
    <row r="451" ht="13.65" customHeight="1">
      <c r="A451" s="102"/>
      <c r="B451" t="s" s="103">
        <v>181</v>
      </c>
      <c r="C451" s="104"/>
      <c r="D451" s="104"/>
      <c r="E451" s="105"/>
      <c r="F451" s="227" cm="1">
        <f t="array" ref="F451">SUM(F445:F450)</f>
        <v>5093.407288888890</v>
      </c>
      <c r="G451" s="107"/>
      <c r="H451" s="228" cm="1">
        <f t="array" ref="H451">SUM(F451/22/8/60)</f>
        <v>0.482330235690236</v>
      </c>
    </row>
    <row r="452" ht="13.65" customHeight="1">
      <c r="A452" s="72">
        <v>16</v>
      </c>
      <c r="B452" t="s" s="73">
        <v>320</v>
      </c>
      <c r="C452" s="74"/>
      <c r="D452" s="74"/>
      <c r="E452" s="75"/>
      <c r="F452" s="74"/>
      <c r="G452" s="76"/>
      <c r="H452" s="223">
        <v>0.678</v>
      </c>
    </row>
    <row r="453" ht="16.6" customHeight="1">
      <c r="A453" s="113"/>
      <c r="B453" t="s" s="114">
        <v>184</v>
      </c>
      <c r="C453" s="115"/>
      <c r="D453" s="116"/>
      <c r="E453" s="117"/>
      <c r="F453" s="118"/>
      <c r="G453" s="119"/>
      <c r="H453" s="229" cm="1">
        <f t="array" ref="H453">SUM(H442:H452)</f>
        <v>2.14800637205387</v>
      </c>
    </row>
    <row r="454" ht="16.6" customHeight="1">
      <c r="A454" s="31"/>
      <c r="B454" s="230"/>
      <c r="C454" s="230"/>
      <c r="D454" s="231"/>
      <c r="E454" s="50"/>
      <c r="F454" s="31"/>
      <c r="G454" s="31"/>
      <c r="H454" s="232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t="s" s="5">
        <v>304</v>
      </c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t="s" s="145">
        <v>321</v>
      </c>
      <c r="B458" s="123"/>
      <c r="C458" s="123"/>
      <c r="D458" s="35"/>
      <c r="E458" s="145"/>
      <c r="F458" s="123"/>
      <c r="G458" s="123"/>
      <c r="H458" s="123"/>
    </row>
    <row r="459" ht="13.65" customHeight="1">
      <c r="A459" s="11"/>
      <c r="B459" s="11"/>
      <c r="C459" s="11"/>
      <c r="D459" s="233"/>
      <c r="E459" s="125"/>
      <c r="F459" s="3"/>
      <c r="G459" s="3"/>
      <c r="H459" s="3"/>
    </row>
    <row r="460" ht="13.65" customHeight="1">
      <c r="A460" t="s" s="132">
        <v>322</v>
      </c>
      <c r="B460" s="129"/>
      <c r="C460" s="129"/>
      <c r="D460" s="234"/>
      <c r="E460" s="25">
        <v>100000</v>
      </c>
      <c r="F460" s="15"/>
      <c r="G460" s="3"/>
      <c r="H460" s="3"/>
    </row>
    <row r="461" ht="13.65" customHeight="1">
      <c r="A461" t="s" s="132">
        <v>323</v>
      </c>
      <c r="B461" s="129"/>
      <c r="C461" s="129"/>
      <c r="D461" s="131"/>
      <c r="E461" s="25">
        <v>10000</v>
      </c>
      <c r="F461" s="15"/>
      <c r="G461" s="3"/>
      <c r="H461" s="3"/>
    </row>
    <row r="462" ht="13.65" customHeight="1">
      <c r="A462" t="s" s="132">
        <v>324</v>
      </c>
      <c r="B462" s="129"/>
      <c r="C462" s="129"/>
      <c r="D462" s="131"/>
      <c r="E462" s="25">
        <v>16000</v>
      </c>
      <c r="F462" s="15"/>
      <c r="G462" s="3"/>
      <c r="H462" s="3"/>
    </row>
    <row r="463" ht="13.65" customHeight="1">
      <c r="A463" t="s" s="132">
        <v>325</v>
      </c>
      <c r="B463" s="129"/>
      <c r="C463" s="129"/>
      <c r="D463" s="131"/>
      <c r="E463" s="25">
        <v>5100</v>
      </c>
      <c r="F463" s="15"/>
      <c r="G463" s="3"/>
      <c r="H463" s="3"/>
    </row>
    <row r="464" ht="13.65" customHeight="1">
      <c r="A464" t="s" s="132">
        <v>326</v>
      </c>
      <c r="B464" s="129"/>
      <c r="C464" s="129"/>
      <c r="D464" s="131"/>
      <c r="E464" s="25">
        <v>5500</v>
      </c>
      <c r="F464" s="15"/>
      <c r="G464" s="3"/>
      <c r="H464" s="3"/>
    </row>
    <row r="465" ht="13.65" customHeight="1">
      <c r="A465" t="s" s="235">
        <v>327</v>
      </c>
      <c r="B465" s="31"/>
      <c r="C465" s="31"/>
      <c r="D465" s="156"/>
      <c r="E465" s="236">
        <v>100000</v>
      </c>
      <c r="F465" s="15"/>
      <c r="G465" s="3"/>
      <c r="H465" s="3"/>
    </row>
    <row r="466" ht="13.65" customHeight="1">
      <c r="A466" t="s" s="237">
        <v>328</v>
      </c>
      <c r="B466" s="3"/>
      <c r="C466" s="3"/>
      <c r="D466" s="159"/>
      <c r="E466" s="238"/>
      <c r="F466" s="15"/>
      <c r="G466" s="3"/>
      <c r="H466" s="3"/>
    </row>
    <row r="467" ht="13.65" customHeight="1">
      <c r="A467" t="s" s="237">
        <v>329</v>
      </c>
      <c r="B467" s="3"/>
      <c r="C467" s="3"/>
      <c r="D467" s="159"/>
      <c r="E467" s="238"/>
      <c r="F467" s="15"/>
      <c r="G467" s="3"/>
      <c r="H467" s="3"/>
    </row>
    <row r="468" ht="13.65" customHeight="1">
      <c r="A468" t="s" s="239">
        <v>330</v>
      </c>
      <c r="B468" s="11"/>
      <c r="C468" s="11"/>
      <c r="D468" s="162"/>
      <c r="E468" s="240"/>
      <c r="F468" s="15"/>
      <c r="G468" s="3"/>
      <c r="H468" s="3"/>
    </row>
    <row r="469" ht="13.65" customHeight="1">
      <c r="A469" t="s" s="241">
        <v>331</v>
      </c>
      <c r="B469" s="242"/>
      <c r="C469" s="242"/>
      <c r="D469" s="243"/>
      <c r="E469" s="244" cm="1">
        <f t="array" ref="E469">SUM(E460:E468)</f>
        <v>236600</v>
      </c>
      <c r="F469" s="15"/>
      <c r="G469" s="3"/>
      <c r="H469" s="3"/>
    </row>
    <row r="470" ht="16.6" customHeight="1">
      <c r="A470" s="245"/>
      <c r="B470" s="230"/>
      <c r="C470" s="230"/>
      <c r="D470" s="231"/>
      <c r="E470" s="246"/>
      <c r="F470" s="8"/>
      <c r="G470" s="8"/>
      <c r="H470" s="247"/>
    </row>
    <row r="471" ht="16.6" customHeight="1">
      <c r="A471" s="248"/>
      <c r="B471" s="249"/>
      <c r="C471" s="249"/>
      <c r="D471" s="250"/>
      <c r="E471" s="251"/>
      <c r="F471" s="248"/>
      <c r="G471" s="248"/>
      <c r="H471" s="252"/>
    </row>
    <row r="472" ht="12.75" customHeight="1">
      <c r="A472" t="s" s="44">
        <v>284</v>
      </c>
      <c r="B472" s="45"/>
      <c r="C472" s="45"/>
      <c r="D472" s="45"/>
      <c r="E472" s="253"/>
      <c r="F472" s="254"/>
      <c r="G472" s="254"/>
      <c r="H472" s="255"/>
    </row>
    <row r="473" ht="12.75" customHeight="1">
      <c r="A473" s="31"/>
      <c r="B473" s="31"/>
      <c r="C473" s="31"/>
      <c r="D473" s="31"/>
      <c r="E473" s="246"/>
      <c r="F473" s="245"/>
      <c r="G473" s="245"/>
      <c r="H473" s="256"/>
    </row>
    <row r="474" ht="12.75" customHeight="1">
      <c r="A474" s="8"/>
      <c r="B474" s="2"/>
      <c r="C474" s="2"/>
      <c r="D474" s="4"/>
      <c r="E474" s="257"/>
      <c r="F474" s="8"/>
      <c r="G474" s="8"/>
      <c r="H474" s="258"/>
    </row>
    <row r="475" ht="13.65" customHeight="1">
      <c r="A475" t="s" s="5">
        <v>332</v>
      </c>
      <c r="B475" s="3"/>
      <c r="C475" s="3"/>
      <c r="D475" s="38"/>
      <c r="E475" s="5"/>
      <c r="F475" s="3"/>
      <c r="G475" s="3"/>
      <c r="H475" s="3"/>
    </row>
    <row r="476" ht="13.65" customHeight="1">
      <c r="A476" s="11"/>
      <c r="B476" s="11"/>
      <c r="C476" s="11"/>
      <c r="D476" s="11"/>
      <c r="E476" s="259"/>
      <c r="F476" s="11"/>
      <c r="G476" s="3"/>
      <c r="H476" s="3"/>
    </row>
    <row r="477" ht="13.65" customHeight="1">
      <c r="A477" t="s" s="260">
        <v>93</v>
      </c>
      <c r="B477" t="s" s="261">
        <v>333</v>
      </c>
      <c r="C477" s="31"/>
      <c r="D477" s="31"/>
      <c r="E477" s="262"/>
      <c r="F477" t="s" s="14">
        <v>334</v>
      </c>
      <c r="G477" s="15"/>
      <c r="H477" s="3"/>
    </row>
    <row r="478" ht="13.65" customHeight="1">
      <c r="A478" s="151"/>
      <c r="B478" s="161"/>
      <c r="C478" s="11"/>
      <c r="D478" s="11"/>
      <c r="E478" s="263"/>
      <c r="F478" t="s" s="20">
        <v>335</v>
      </c>
      <c r="G478" s="15"/>
      <c r="H478" s="3"/>
    </row>
    <row r="479" ht="13.65" customHeight="1">
      <c r="A479" s="28"/>
      <c r="B479" t="s" s="132">
        <v>336</v>
      </c>
      <c r="C479" s="129"/>
      <c r="D479" s="129"/>
      <c r="E479" s="234"/>
      <c r="F479" s="25">
        <v>0.79</v>
      </c>
      <c r="G479" s="15"/>
      <c r="H479" s="3"/>
    </row>
    <row r="480" ht="13.65" customHeight="1">
      <c r="A480" s="28"/>
      <c r="B480" t="s" s="132">
        <v>337</v>
      </c>
      <c r="C480" s="129"/>
      <c r="D480" s="129"/>
      <c r="E480" s="234"/>
      <c r="F480" s="25">
        <v>0.23</v>
      </c>
      <c r="G480" s="15"/>
      <c r="H480" s="3"/>
    </row>
    <row r="481" ht="13.65" customHeight="1">
      <c r="A481" s="28"/>
      <c r="B481" t="s" s="132">
        <v>338</v>
      </c>
      <c r="C481" s="129"/>
      <c r="D481" s="129"/>
      <c r="E481" s="234"/>
      <c r="F481" s="25">
        <v>0.8</v>
      </c>
      <c r="G481" s="15"/>
      <c r="H481" s="3"/>
    </row>
    <row r="482" ht="13.65" customHeight="1">
      <c r="A482" s="28"/>
      <c r="B482" t="s" s="134">
        <v>331</v>
      </c>
      <c r="C482" s="129"/>
      <c r="D482" s="129"/>
      <c r="E482" s="234"/>
      <c r="F482" s="135" cm="1">
        <f t="array" ref="F482">SUM(F479:F481)</f>
        <v>1.82</v>
      </c>
      <c r="G482" s="15"/>
      <c r="H482" s="3"/>
    </row>
    <row r="483" ht="13.65" customHeight="1">
      <c r="A483" s="129"/>
      <c r="B483" s="264"/>
      <c r="C483" s="129"/>
      <c r="D483" s="129"/>
      <c r="E483" s="265"/>
      <c r="F483" s="137"/>
      <c r="G483" s="3"/>
      <c r="H483" s="3"/>
    </row>
    <row r="484" ht="11.7" customHeight="1">
      <c r="A484" t="s" s="167">
        <v>136</v>
      </c>
      <c r="B484" t="s" s="167">
        <v>281</v>
      </c>
      <c r="C484" t="s" s="167">
        <v>339</v>
      </c>
      <c r="D484" t="s" s="168">
        <v>283</v>
      </c>
      <c r="E484" s="169"/>
      <c r="F484" s="170"/>
      <c r="G484" s="171"/>
      <c r="H484" s="171"/>
    </row>
    <row r="485" ht="16.6" customHeight="1">
      <c r="A485" s="23">
        <v>2.5</v>
      </c>
      <c r="B485" s="266" cm="1">
        <f t="array" ref="B485">SUM(H453)</f>
        <v>2.14800637205387</v>
      </c>
      <c r="C485" s="267" cm="1">
        <f t="array" ref="C485">SUM(F482)</f>
        <v>1.82</v>
      </c>
      <c r="D485" s="201" cm="1">
        <f t="array" ref="D485">SUM(A485*B485)+(C485)</f>
        <v>7.19001593013468</v>
      </c>
      <c r="E485" s="202"/>
      <c r="F485" s="15"/>
      <c r="G485" s="3"/>
      <c r="H485" s="3"/>
    </row>
    <row r="486" ht="13.65" customHeight="1">
      <c r="A486" s="31"/>
      <c r="B486" s="31"/>
      <c r="C486" s="31"/>
      <c r="D486" s="31"/>
      <c r="E486" s="31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t="s" s="5">
        <v>340</v>
      </c>
      <c r="B488" s="3"/>
      <c r="C488" s="3"/>
      <c r="D488" s="3"/>
      <c r="E488" s="268"/>
      <c r="F488" s="3"/>
      <c r="G488" s="3"/>
      <c r="H488" s="3"/>
    </row>
    <row r="489" ht="13.65" customHeight="1">
      <c r="A489" s="11"/>
      <c r="B489" s="11"/>
      <c r="C489" s="11"/>
      <c r="D489" s="11"/>
      <c r="E489" s="269"/>
      <c r="F489" s="11"/>
      <c r="G489" s="3"/>
      <c r="H489" s="3"/>
    </row>
    <row r="490" ht="13.65" customHeight="1">
      <c r="A490" t="s" s="260">
        <v>93</v>
      </c>
      <c r="B490" t="s" s="261">
        <v>333</v>
      </c>
      <c r="C490" s="31"/>
      <c r="D490" s="31"/>
      <c r="E490" s="262"/>
      <c r="F490" t="s" s="14">
        <v>334</v>
      </c>
      <c r="G490" s="15"/>
      <c r="H490" s="3"/>
    </row>
    <row r="491" ht="13.65" customHeight="1">
      <c r="A491" s="151"/>
      <c r="B491" s="161"/>
      <c r="C491" s="11"/>
      <c r="D491" s="11"/>
      <c r="E491" s="263"/>
      <c r="F491" t="s" s="20">
        <v>335</v>
      </c>
      <c r="G491" s="15"/>
      <c r="H491" s="3"/>
    </row>
    <row r="492" ht="13.65" customHeight="1">
      <c r="A492" s="28"/>
      <c r="B492" t="s" s="132">
        <v>336</v>
      </c>
      <c r="C492" s="129"/>
      <c r="D492" s="129"/>
      <c r="E492" s="234"/>
      <c r="F492" s="25">
        <v>0.79</v>
      </c>
      <c r="G492" s="15"/>
      <c r="H492" s="3"/>
    </row>
    <row r="493" ht="13.65" customHeight="1">
      <c r="A493" s="28"/>
      <c r="B493" t="s" s="132">
        <v>337</v>
      </c>
      <c r="C493" s="129"/>
      <c r="D493" s="129"/>
      <c r="E493" s="234"/>
      <c r="F493" s="25">
        <v>0.23</v>
      </c>
      <c r="G493" s="15"/>
      <c r="H493" s="3"/>
    </row>
    <row r="494" ht="13.65" customHeight="1">
      <c r="A494" s="28"/>
      <c r="B494" t="s" s="132">
        <v>338</v>
      </c>
      <c r="C494" s="129"/>
      <c r="D494" s="129"/>
      <c r="E494" s="234"/>
      <c r="F494" s="25">
        <v>0.8</v>
      </c>
      <c r="G494" s="15"/>
      <c r="H494" s="3"/>
    </row>
    <row r="495" ht="13.65" customHeight="1">
      <c r="A495" s="28"/>
      <c r="B495" t="s" s="134">
        <v>331</v>
      </c>
      <c r="C495" s="129"/>
      <c r="D495" s="129"/>
      <c r="E495" s="234"/>
      <c r="F495" s="135" cm="1">
        <f t="array" ref="F495">SUM(F492:F494)</f>
        <v>1.82</v>
      </c>
      <c r="G495" s="15"/>
      <c r="H495" s="3"/>
    </row>
    <row r="496" ht="13.65" customHeight="1">
      <c r="A496" s="129"/>
      <c r="B496" s="264"/>
      <c r="C496" s="129"/>
      <c r="D496" s="129"/>
      <c r="E496" s="265"/>
      <c r="F496" s="137"/>
      <c r="G496" s="3"/>
      <c r="H496" s="3"/>
    </row>
    <row r="497" ht="11.7" customHeight="1">
      <c r="A497" t="s" s="167">
        <v>136</v>
      </c>
      <c r="B497" t="s" s="167">
        <v>281</v>
      </c>
      <c r="C497" t="s" s="167">
        <v>282</v>
      </c>
      <c r="D497" t="s" s="168">
        <v>283</v>
      </c>
      <c r="E497" s="169"/>
      <c r="F497" s="170"/>
      <c r="G497" s="171"/>
      <c r="H497" s="171"/>
    </row>
    <row r="498" ht="13.65" customHeight="1">
      <c r="A498" s="23">
        <v>2.5</v>
      </c>
      <c r="B498" s="172" cm="1">
        <f t="array" ref="B498">SUM(H453)</f>
        <v>2.14800637205387</v>
      </c>
      <c r="C498" s="173" cm="1">
        <f t="array" ref="C498">SUM(F482)</f>
        <v>1.82</v>
      </c>
      <c r="D498" s="201" cm="1">
        <f t="array" ref="D498">SUM(A498*B498)+(C498)</f>
        <v>7.19001593013468</v>
      </c>
      <c r="E498" s="202"/>
      <c r="F498" s="15"/>
      <c r="G498" s="3"/>
      <c r="H498" s="3"/>
    </row>
    <row r="499" ht="13.65" customHeight="1">
      <c r="A499" s="31"/>
      <c r="B499" s="31"/>
      <c r="C499" s="31"/>
      <c r="D499" s="31"/>
      <c r="E499" s="136"/>
      <c r="F499" s="3"/>
      <c r="G499" s="3"/>
      <c r="H499" s="3"/>
    </row>
    <row r="500" ht="13.65" customHeight="1">
      <c r="A500" s="3"/>
      <c r="B500" s="3"/>
      <c r="C500" s="3"/>
      <c r="D500" s="3"/>
      <c r="E500" s="268"/>
      <c r="F500" s="3"/>
      <c r="G500" s="3"/>
      <c r="H500" s="3"/>
    </row>
    <row r="501" ht="13.65" customHeight="1">
      <c r="A501" t="s" s="5">
        <v>341</v>
      </c>
      <c r="B501" s="3"/>
      <c r="C501" s="3"/>
      <c r="D501" s="3"/>
      <c r="E501" s="3"/>
      <c r="F501" s="3"/>
      <c r="G501" s="3"/>
      <c r="H501" s="3"/>
    </row>
    <row r="502" ht="13.65" customHeight="1">
      <c r="A502" s="11"/>
      <c r="B502" s="11"/>
      <c r="C502" s="11"/>
      <c r="D502" s="11"/>
      <c r="E502" s="269"/>
      <c r="F502" s="11"/>
      <c r="G502" s="3"/>
      <c r="H502" s="3"/>
    </row>
    <row r="503" ht="13.65" customHeight="1">
      <c r="A503" t="s" s="260">
        <v>93</v>
      </c>
      <c r="B503" t="s" s="261">
        <v>333</v>
      </c>
      <c r="C503" s="31"/>
      <c r="D503" s="31"/>
      <c r="E503" s="262"/>
      <c r="F503" t="s" s="14">
        <v>334</v>
      </c>
      <c r="G503" s="15"/>
      <c r="H503" s="3"/>
    </row>
    <row r="504" ht="13.65" customHeight="1">
      <c r="A504" s="151"/>
      <c r="B504" s="161"/>
      <c r="C504" s="11"/>
      <c r="D504" s="11"/>
      <c r="E504" s="263"/>
      <c r="F504" t="s" s="20">
        <v>335</v>
      </c>
      <c r="G504" s="15"/>
      <c r="H504" s="3"/>
    </row>
    <row r="505" ht="13.65" customHeight="1">
      <c r="A505" s="28"/>
      <c r="B505" t="s" s="132">
        <v>336</v>
      </c>
      <c r="C505" s="129"/>
      <c r="D505" s="129"/>
      <c r="E505" s="234"/>
      <c r="F505" s="25">
        <v>4.45</v>
      </c>
      <c r="G505" s="15"/>
      <c r="H505" s="3"/>
    </row>
    <row r="506" ht="13.65" customHeight="1">
      <c r="A506" s="28"/>
      <c r="B506" t="s" s="132">
        <v>337</v>
      </c>
      <c r="C506" s="129"/>
      <c r="D506" s="129"/>
      <c r="E506" s="234"/>
      <c r="F506" s="25">
        <v>0.26</v>
      </c>
      <c r="G506" s="15"/>
      <c r="H506" s="3"/>
    </row>
    <row r="507" ht="13.65" customHeight="1">
      <c r="A507" s="28"/>
      <c r="B507" t="s" s="132">
        <v>342</v>
      </c>
      <c r="C507" s="129"/>
      <c r="D507" s="129"/>
      <c r="E507" s="234"/>
      <c r="F507" s="25">
        <v>1</v>
      </c>
      <c r="G507" s="15"/>
      <c r="H507" s="3"/>
    </row>
    <row r="508" ht="13.65" customHeight="1">
      <c r="A508" s="28"/>
      <c r="B508" t="s" s="134">
        <v>331</v>
      </c>
      <c r="C508" s="129"/>
      <c r="D508" s="129"/>
      <c r="E508" s="234"/>
      <c r="F508" s="135" cm="1">
        <f t="array" ref="F508">SUM(F505:F507)</f>
        <v>5.71</v>
      </c>
      <c r="G508" s="15"/>
      <c r="H508" s="3"/>
    </row>
    <row r="509" ht="13.65" customHeight="1">
      <c r="A509" s="129"/>
      <c r="B509" s="264"/>
      <c r="C509" s="129"/>
      <c r="D509" s="129"/>
      <c r="E509" s="265"/>
      <c r="F509" s="137"/>
      <c r="G509" s="3"/>
      <c r="H509" s="3"/>
    </row>
    <row r="510" ht="11.7" customHeight="1">
      <c r="A510" t="s" s="167">
        <v>136</v>
      </c>
      <c r="B510" t="s" s="167">
        <v>281</v>
      </c>
      <c r="C510" t="s" s="167">
        <v>282</v>
      </c>
      <c r="D510" t="s" s="168">
        <v>283</v>
      </c>
      <c r="E510" s="169"/>
      <c r="F510" s="170"/>
      <c r="G510" s="171"/>
      <c r="H510" s="171"/>
    </row>
    <row r="511" ht="13.65" customHeight="1">
      <c r="A511" s="23">
        <v>5</v>
      </c>
      <c r="B511" s="172" cm="1">
        <f t="array" ref="B511">SUM(H453)</f>
        <v>2.14800637205387</v>
      </c>
      <c r="C511" s="270" cm="1">
        <f t="array" ref="C511">SUM(F508)</f>
        <v>5.71</v>
      </c>
      <c r="D511" s="201" cm="1">
        <f t="array" ref="D511">SUM(A511*B511)+(C511)</f>
        <v>16.4500318602694</v>
      </c>
      <c r="E511" s="202"/>
      <c r="F511" s="15"/>
      <c r="G511" s="3"/>
      <c r="H511" s="3"/>
    </row>
    <row r="512" ht="13.65" customHeight="1">
      <c r="A512" s="31"/>
      <c r="B512" s="31"/>
      <c r="C512" s="31"/>
      <c r="D512" s="31"/>
      <c r="E512" s="136"/>
      <c r="F512" s="3"/>
      <c r="G512" s="3"/>
      <c r="H512" s="3"/>
    </row>
    <row r="513" ht="13.65" customHeight="1">
      <c r="A513" s="3"/>
      <c r="B513" s="3"/>
      <c r="C513" s="3"/>
      <c r="D513" s="3"/>
      <c r="E513" s="268"/>
      <c r="F513" s="3"/>
      <c r="G513" s="3"/>
      <c r="H513" s="3"/>
    </row>
    <row r="514" ht="13.65" customHeight="1">
      <c r="A514" t="s" s="5">
        <v>343</v>
      </c>
      <c r="B514" s="3"/>
      <c r="C514" s="3"/>
      <c r="D514" s="3"/>
      <c r="E514" s="268"/>
      <c r="F514" s="3"/>
      <c r="G514" s="3"/>
      <c r="H514" s="3"/>
    </row>
    <row r="515" ht="13.65" customHeight="1">
      <c r="A515" s="11"/>
      <c r="B515" s="11"/>
      <c r="C515" s="11"/>
      <c r="D515" s="11"/>
      <c r="E515" s="269"/>
      <c r="F515" s="11"/>
      <c r="G515" s="3"/>
      <c r="H515" s="3"/>
    </row>
    <row r="516" ht="13.65" customHeight="1">
      <c r="A516" t="s" s="260">
        <v>93</v>
      </c>
      <c r="B516" t="s" s="261">
        <v>333</v>
      </c>
      <c r="C516" s="31"/>
      <c r="D516" s="31"/>
      <c r="E516" s="262"/>
      <c r="F516" t="s" s="14">
        <v>334</v>
      </c>
      <c r="G516" s="15"/>
      <c r="H516" s="3"/>
    </row>
    <row r="517" ht="13.65" customHeight="1">
      <c r="A517" s="151"/>
      <c r="B517" s="161"/>
      <c r="C517" s="11"/>
      <c r="D517" s="11"/>
      <c r="E517" s="263"/>
      <c r="F517" t="s" s="20">
        <v>335</v>
      </c>
      <c r="G517" s="15"/>
      <c r="H517" s="3"/>
    </row>
    <row r="518" ht="13.65" customHeight="1">
      <c r="A518" s="28"/>
      <c r="B518" t="s" s="132">
        <v>336</v>
      </c>
      <c r="C518" s="129"/>
      <c r="D518" s="129"/>
      <c r="E518" s="234"/>
      <c r="F518" s="25">
        <v>0.87</v>
      </c>
      <c r="G518" s="15"/>
      <c r="H518" s="3"/>
    </row>
    <row r="519" ht="13.65" customHeight="1">
      <c r="A519" s="28"/>
      <c r="B519" t="s" s="132">
        <v>337</v>
      </c>
      <c r="C519" s="129"/>
      <c r="D519" s="129"/>
      <c r="E519" s="234"/>
      <c r="F519" s="25">
        <v>0.52</v>
      </c>
      <c r="G519" s="15"/>
      <c r="H519" s="3"/>
    </row>
    <row r="520" ht="13.65" customHeight="1">
      <c r="A520" s="28"/>
      <c r="B520" t="s" s="132">
        <v>344</v>
      </c>
      <c r="C520" s="129"/>
      <c r="D520" s="129"/>
      <c r="E520" s="234"/>
      <c r="F520" s="25">
        <v>0.4</v>
      </c>
      <c r="G520" s="15"/>
      <c r="H520" s="3"/>
    </row>
    <row r="521" ht="13.65" customHeight="1">
      <c r="A521" s="28"/>
      <c r="B521" t="s" s="134">
        <v>331</v>
      </c>
      <c r="C521" s="129"/>
      <c r="D521" s="129"/>
      <c r="E521" s="234"/>
      <c r="F521" s="135" cm="1">
        <f t="array" ref="F521">SUM(F518:F520)</f>
        <v>1.79</v>
      </c>
      <c r="G521" s="15"/>
      <c r="H521" s="3"/>
    </row>
    <row r="522" ht="13.65" customHeight="1">
      <c r="A522" s="129"/>
      <c r="B522" s="264"/>
      <c r="C522" s="129"/>
      <c r="D522" s="129"/>
      <c r="E522" s="265"/>
      <c r="F522" s="137"/>
      <c r="G522" s="3"/>
      <c r="H522" s="3"/>
    </row>
    <row r="523" ht="11.7" customHeight="1">
      <c r="A523" t="s" s="167">
        <v>136</v>
      </c>
      <c r="B523" t="s" s="167">
        <v>281</v>
      </c>
      <c r="C523" t="s" s="167">
        <v>282</v>
      </c>
      <c r="D523" t="s" s="168">
        <v>283</v>
      </c>
      <c r="E523" s="169"/>
      <c r="F523" s="170"/>
      <c r="G523" s="171"/>
      <c r="H523" s="171"/>
    </row>
    <row r="524" ht="13.65" customHeight="1">
      <c r="A524" s="23">
        <v>15</v>
      </c>
      <c r="B524" s="172" cm="1">
        <f t="array" ref="B524">SUM(H453)</f>
        <v>2.14800637205387</v>
      </c>
      <c r="C524" s="172" cm="1">
        <f t="array" ref="C524">SUM(F521)</f>
        <v>1.79</v>
      </c>
      <c r="D524" s="201" cm="1">
        <f t="array" ref="D524">SUM(A524*B524)+(C524)</f>
        <v>34.0100955808081</v>
      </c>
      <c r="E524" s="202"/>
      <c r="F524" s="15"/>
      <c r="G524" s="3"/>
      <c r="H524" s="3"/>
    </row>
    <row r="525" ht="13.65" customHeight="1">
      <c r="A525" s="31"/>
      <c r="B525" s="31"/>
      <c r="C525" s="31"/>
      <c r="D525" s="31"/>
      <c r="E525" s="136"/>
      <c r="F525" s="3"/>
      <c r="G525" s="3"/>
      <c r="H525" s="3"/>
    </row>
    <row r="526" ht="13.65" customHeight="1">
      <c r="A526" s="11"/>
      <c r="B526" s="11"/>
      <c r="C526" s="11"/>
      <c r="D526" s="11"/>
      <c r="E526" s="269"/>
      <c r="F526" s="11"/>
      <c r="G526" s="11"/>
      <c r="H526" s="11"/>
    </row>
    <row r="527" ht="13.65" customHeight="1">
      <c r="A527" t="s" s="44">
        <v>284</v>
      </c>
      <c r="B527" s="45"/>
      <c r="C527" s="45"/>
      <c r="D527" s="45"/>
      <c r="E527" s="271"/>
      <c r="F527" s="45"/>
      <c r="G527" s="45"/>
      <c r="H527" s="48"/>
    </row>
    <row r="528" ht="13.65" customHeight="1">
      <c r="A528" s="31"/>
      <c r="B528" s="31"/>
      <c r="C528" s="31"/>
      <c r="D528" s="31"/>
      <c r="E528" s="136"/>
      <c r="F528" s="31"/>
      <c r="G528" s="31"/>
      <c r="H528" s="31"/>
    </row>
    <row r="529" ht="13.65" customHeight="1">
      <c r="A529" s="3"/>
      <c r="B529" s="3"/>
      <c r="C529" s="3"/>
      <c r="D529" s="3"/>
      <c r="E529" s="268"/>
      <c r="F529" s="3"/>
      <c r="G529" s="3"/>
      <c r="H529" s="3"/>
    </row>
    <row r="530" ht="13.65" customHeight="1">
      <c r="A530" t="s" s="5">
        <v>345</v>
      </c>
      <c r="B530" s="3"/>
      <c r="C530" s="3"/>
      <c r="D530" s="3"/>
      <c r="E530" s="268"/>
      <c r="F530" s="3"/>
      <c r="G530" s="3"/>
      <c r="H530" s="3"/>
    </row>
    <row r="531" ht="13.65" customHeight="1">
      <c r="A531" s="11"/>
      <c r="B531" s="11"/>
      <c r="C531" s="11"/>
      <c r="D531" s="11"/>
      <c r="E531" s="269"/>
      <c r="F531" s="11"/>
      <c r="G531" s="3"/>
      <c r="H531" s="3"/>
    </row>
    <row r="532" ht="13.65" customHeight="1">
      <c r="A532" t="s" s="260">
        <v>93</v>
      </c>
      <c r="B532" t="s" s="261">
        <v>333</v>
      </c>
      <c r="C532" s="31"/>
      <c r="D532" s="31"/>
      <c r="E532" s="262"/>
      <c r="F532" t="s" s="14">
        <v>334</v>
      </c>
      <c r="G532" s="15"/>
      <c r="H532" s="3"/>
    </row>
    <row r="533" ht="13.65" customHeight="1">
      <c r="A533" s="151"/>
      <c r="B533" s="161"/>
      <c r="C533" s="11"/>
      <c r="D533" s="11"/>
      <c r="E533" s="263"/>
      <c r="F533" t="s" s="20">
        <v>335</v>
      </c>
      <c r="G533" s="15"/>
      <c r="H533" s="3"/>
    </row>
    <row r="534" ht="13.65" customHeight="1">
      <c r="A534" s="28"/>
      <c r="B534" t="s" s="132">
        <v>336</v>
      </c>
      <c r="C534" s="129"/>
      <c r="D534" s="129"/>
      <c r="E534" s="234"/>
      <c r="F534" s="25">
        <v>0.87</v>
      </c>
      <c r="G534" s="15"/>
      <c r="H534" s="3"/>
    </row>
    <row r="535" ht="13.65" customHeight="1">
      <c r="A535" s="28"/>
      <c r="B535" t="s" s="132">
        <v>337</v>
      </c>
      <c r="C535" s="129"/>
      <c r="D535" s="129"/>
      <c r="E535" s="234"/>
      <c r="F535" s="25">
        <v>0.52</v>
      </c>
      <c r="G535" s="15"/>
      <c r="H535" s="3"/>
    </row>
    <row r="536" ht="13.65" customHeight="1">
      <c r="A536" s="28"/>
      <c r="B536" t="s" s="132">
        <v>346</v>
      </c>
      <c r="C536" s="129"/>
      <c r="D536" s="129"/>
      <c r="E536" s="234"/>
      <c r="F536" s="25">
        <v>0.4</v>
      </c>
      <c r="G536" s="15"/>
      <c r="H536" s="3"/>
    </row>
    <row r="537" ht="13.65" customHeight="1">
      <c r="A537" s="28"/>
      <c r="B537" t="s" s="132">
        <v>347</v>
      </c>
      <c r="C537" s="129"/>
      <c r="D537" s="129"/>
      <c r="E537" s="234"/>
      <c r="F537" s="25">
        <v>0.8</v>
      </c>
      <c r="G537" s="15"/>
      <c r="H537" s="3"/>
    </row>
    <row r="538" ht="13.65" customHeight="1">
      <c r="A538" s="28"/>
      <c r="B538" t="s" s="134">
        <v>331</v>
      </c>
      <c r="C538" s="129"/>
      <c r="D538" s="129"/>
      <c r="E538" s="234"/>
      <c r="F538" s="135" cm="1">
        <f t="array" ref="F538">SUM(F534:F537)</f>
        <v>2.59</v>
      </c>
      <c r="G538" s="15"/>
      <c r="H538" s="3"/>
    </row>
    <row r="539" ht="13.65" customHeight="1">
      <c r="A539" s="129"/>
      <c r="B539" s="264"/>
      <c r="C539" s="129"/>
      <c r="D539" s="129"/>
      <c r="E539" s="265"/>
      <c r="F539" s="137"/>
      <c r="G539" s="3"/>
      <c r="H539" s="3"/>
    </row>
    <row r="540" ht="11.7" customHeight="1">
      <c r="A540" t="s" s="167">
        <v>136</v>
      </c>
      <c r="B540" t="s" s="167">
        <v>281</v>
      </c>
      <c r="C540" t="s" s="167">
        <v>282</v>
      </c>
      <c r="D540" t="s" s="168">
        <v>283</v>
      </c>
      <c r="E540" s="169"/>
      <c r="F540" s="170"/>
      <c r="G540" s="171"/>
      <c r="H540" s="171"/>
    </row>
    <row r="541" ht="13.65" customHeight="1">
      <c r="A541" s="23">
        <v>29</v>
      </c>
      <c r="B541" s="172" cm="1">
        <f t="array" ref="B541">SUM(H453)</f>
        <v>2.14800637205387</v>
      </c>
      <c r="C541" s="198" cm="1">
        <f t="array" ref="C541">SUM(F538)</f>
        <v>2.59</v>
      </c>
      <c r="D541" s="201" cm="1">
        <f t="array" ref="D541">SUM(A541*B541)+(C541)</f>
        <v>64.8821847895622</v>
      </c>
      <c r="E541" s="202"/>
      <c r="F541" s="15"/>
      <c r="G541" s="3"/>
      <c r="H541" s="3"/>
    </row>
    <row r="542" ht="13.65" customHeight="1">
      <c r="A542" s="31"/>
      <c r="B542" s="31"/>
      <c r="C542" s="31"/>
      <c r="D542" s="31"/>
      <c r="E542" s="136"/>
      <c r="F542" s="3"/>
      <c r="G542" s="3"/>
      <c r="H542" s="3"/>
    </row>
    <row r="543" ht="13.65" customHeight="1">
      <c r="A543" s="3"/>
      <c r="B543" s="3"/>
      <c r="C543" s="3"/>
      <c r="D543" s="3"/>
      <c r="E543" s="38"/>
      <c r="F543" s="3"/>
      <c r="G543" s="3"/>
      <c r="H543" s="3"/>
    </row>
    <row r="544" ht="13.65" customHeight="1">
      <c r="A544" t="s" s="5">
        <v>348</v>
      </c>
      <c r="B544" s="3"/>
      <c r="C544" s="3"/>
      <c r="D544" s="3"/>
      <c r="E544" s="268"/>
      <c r="F544" s="3"/>
      <c r="G544" s="3"/>
      <c r="H544" s="3"/>
    </row>
    <row r="545" ht="13.65" customHeight="1">
      <c r="A545" s="3"/>
      <c r="B545" s="3"/>
      <c r="C545" s="3"/>
      <c r="D545" s="3"/>
      <c r="E545" s="268"/>
      <c r="F545" s="3"/>
      <c r="G545" s="3"/>
      <c r="H545" s="3"/>
    </row>
    <row r="546" ht="13.65" customHeight="1">
      <c r="A546" s="11"/>
      <c r="B546" s="11"/>
      <c r="C546" s="11"/>
      <c r="D546" s="11"/>
      <c r="E546" s="269"/>
      <c r="F546" s="11"/>
      <c r="G546" s="3"/>
      <c r="H546" s="3"/>
    </row>
    <row r="547" ht="13.65" customHeight="1">
      <c r="A547" t="s" s="260">
        <v>93</v>
      </c>
      <c r="B547" t="s" s="261">
        <v>333</v>
      </c>
      <c r="C547" s="31"/>
      <c r="D547" s="31"/>
      <c r="E547" s="262"/>
      <c r="F547" t="s" s="14">
        <v>334</v>
      </c>
      <c r="G547" s="15"/>
      <c r="H547" s="3"/>
    </row>
    <row r="548" ht="13.65" customHeight="1">
      <c r="A548" s="151"/>
      <c r="B548" s="161"/>
      <c r="C548" s="11"/>
      <c r="D548" s="11"/>
      <c r="E548" s="263"/>
      <c r="F548" t="s" s="20">
        <v>335</v>
      </c>
      <c r="G548" s="15"/>
      <c r="H548" s="3"/>
    </row>
    <row r="549" ht="13.65" customHeight="1">
      <c r="A549" s="28"/>
      <c r="B549" t="s" s="132">
        <v>336</v>
      </c>
      <c r="C549" s="129"/>
      <c r="D549" s="129"/>
      <c r="E549" s="234"/>
      <c r="F549" s="25">
        <v>0.87</v>
      </c>
      <c r="G549" s="15"/>
      <c r="H549" s="3"/>
    </row>
    <row r="550" ht="13.65" customHeight="1">
      <c r="A550" s="28"/>
      <c r="B550" t="s" s="132">
        <v>337</v>
      </c>
      <c r="C550" s="129"/>
      <c r="D550" s="129"/>
      <c r="E550" s="234"/>
      <c r="F550" s="25">
        <v>0.48</v>
      </c>
      <c r="G550" s="15"/>
      <c r="H550" s="3"/>
    </row>
    <row r="551" ht="13.65" customHeight="1">
      <c r="A551" s="28"/>
      <c r="B551" t="s" s="132">
        <v>349</v>
      </c>
      <c r="C551" s="129"/>
      <c r="D551" s="129"/>
      <c r="E551" s="234"/>
      <c r="F551" s="25">
        <v>0.6</v>
      </c>
      <c r="G551" s="15"/>
      <c r="H551" s="3"/>
    </row>
    <row r="552" ht="13.65" customHeight="1">
      <c r="A552" s="28"/>
      <c r="B552" t="s" s="134">
        <v>331</v>
      </c>
      <c r="C552" s="129"/>
      <c r="D552" s="129"/>
      <c r="E552" s="234"/>
      <c r="F552" s="135" cm="1">
        <f t="array" ref="F552">SUM(F549:F551)</f>
        <v>1.95</v>
      </c>
      <c r="G552" s="15"/>
      <c r="H552" s="3"/>
    </row>
    <row r="553" ht="13.65" customHeight="1">
      <c r="A553" s="129"/>
      <c r="B553" s="264"/>
      <c r="C553" s="129"/>
      <c r="D553" s="129"/>
      <c r="E553" s="265"/>
      <c r="F553" s="137"/>
      <c r="G553" s="3"/>
      <c r="H553" s="3"/>
    </row>
    <row r="554" ht="11.7" customHeight="1">
      <c r="A554" t="s" s="167">
        <v>136</v>
      </c>
      <c r="B554" t="s" s="167">
        <v>281</v>
      </c>
      <c r="C554" t="s" s="167">
        <v>282</v>
      </c>
      <c r="D554" t="s" s="168">
        <v>283</v>
      </c>
      <c r="E554" s="169"/>
      <c r="F554" s="170"/>
      <c r="G554" s="171"/>
      <c r="H554" s="171"/>
    </row>
    <row r="555" ht="13.65" customHeight="1">
      <c r="A555" s="23">
        <v>13.5</v>
      </c>
      <c r="B555" s="272" cm="1">
        <f t="array" ref="B555">SUM(H453)</f>
        <v>2.14800637205387</v>
      </c>
      <c r="C555" s="267" cm="1">
        <f t="array" ref="C555">SUM(F552)</f>
        <v>1.95</v>
      </c>
      <c r="D555" s="201" cm="1">
        <f t="array" ref="D555">SUM(A555*B555)+(C555)</f>
        <v>30.9480860227272</v>
      </c>
      <c r="E555" s="202"/>
      <c r="F555" s="15"/>
      <c r="G555" s="3"/>
      <c r="H555" s="3"/>
    </row>
    <row r="556" ht="13.65" customHeight="1">
      <c r="A556" s="31"/>
      <c r="B556" s="31"/>
      <c r="C556" s="31"/>
      <c r="D556" s="31"/>
      <c r="E556" s="136"/>
      <c r="F556" s="3"/>
      <c r="G556" s="3"/>
      <c r="H556" s="3"/>
    </row>
    <row r="557" ht="13.65" customHeight="1">
      <c r="A557" s="3"/>
      <c r="B557" s="3"/>
      <c r="C557" s="3"/>
      <c r="D557" s="3"/>
      <c r="E557" s="268"/>
      <c r="F557" s="3"/>
      <c r="G557" s="3"/>
      <c r="H557" s="3"/>
    </row>
    <row r="558" ht="13.65" customHeight="1">
      <c r="A558" t="s" s="5">
        <v>350</v>
      </c>
      <c r="B558" s="3"/>
      <c r="C558" s="3"/>
      <c r="D558" s="3"/>
      <c r="E558" s="268"/>
      <c r="F558" s="3"/>
      <c r="G558" s="3"/>
      <c r="H558" s="3"/>
    </row>
    <row r="559" ht="13.65" customHeight="1">
      <c r="A559" s="11"/>
      <c r="B559" s="11"/>
      <c r="C559" s="11"/>
      <c r="D559" s="11"/>
      <c r="E559" s="269"/>
      <c r="F559" s="11"/>
      <c r="G559" s="3"/>
      <c r="H559" s="3"/>
    </row>
    <row r="560" ht="13.65" customHeight="1">
      <c r="A560" t="s" s="260">
        <v>93</v>
      </c>
      <c r="B560" t="s" s="261">
        <v>333</v>
      </c>
      <c r="C560" s="31"/>
      <c r="D560" s="31"/>
      <c r="E560" s="262"/>
      <c r="F560" t="s" s="14">
        <v>334</v>
      </c>
      <c r="G560" s="15"/>
      <c r="H560" s="3"/>
    </row>
    <row r="561" ht="13.65" customHeight="1">
      <c r="A561" s="151"/>
      <c r="B561" s="161"/>
      <c r="C561" s="11"/>
      <c r="D561" s="11"/>
      <c r="E561" s="263"/>
      <c r="F561" t="s" s="20">
        <v>335</v>
      </c>
      <c r="G561" s="15"/>
      <c r="H561" s="3"/>
    </row>
    <row r="562" ht="13.65" customHeight="1">
      <c r="A562" s="28"/>
      <c r="B562" t="s" s="132">
        <v>336</v>
      </c>
      <c r="C562" s="129"/>
      <c r="D562" s="129"/>
      <c r="E562" s="234"/>
      <c r="F562" s="25">
        <v>0.85</v>
      </c>
      <c r="G562" s="15"/>
      <c r="H562" s="3"/>
    </row>
    <row r="563" ht="13.65" customHeight="1">
      <c r="A563" s="28"/>
      <c r="B563" t="s" s="132">
        <v>337</v>
      </c>
      <c r="C563" s="129"/>
      <c r="D563" s="129"/>
      <c r="E563" s="234"/>
      <c r="F563" s="25">
        <v>0.52</v>
      </c>
      <c r="G563" s="15"/>
      <c r="H563" s="3"/>
    </row>
    <row r="564" ht="13.65" customHeight="1">
      <c r="A564" s="28"/>
      <c r="B564" t="s" s="132">
        <v>351</v>
      </c>
      <c r="C564" s="129"/>
      <c r="D564" s="129"/>
      <c r="E564" s="234"/>
      <c r="F564" s="25">
        <v>0.4</v>
      </c>
      <c r="G564" s="15"/>
      <c r="H564" s="3"/>
    </row>
    <row r="565" ht="13.65" customHeight="1">
      <c r="A565" s="28"/>
      <c r="B565" t="s" s="132">
        <v>352</v>
      </c>
      <c r="C565" s="129"/>
      <c r="D565" s="129"/>
      <c r="E565" s="234"/>
      <c r="F565" s="25">
        <v>1</v>
      </c>
      <c r="G565" s="15"/>
      <c r="H565" s="3"/>
    </row>
    <row r="566" ht="13.65" customHeight="1">
      <c r="A566" s="28"/>
      <c r="B566" t="s" s="134">
        <v>331</v>
      </c>
      <c r="C566" s="129"/>
      <c r="D566" s="129"/>
      <c r="E566" s="234"/>
      <c r="F566" s="135" cm="1">
        <f t="array" ref="F566">SUM(F562:F565)</f>
        <v>2.77</v>
      </c>
      <c r="G566" s="15"/>
      <c r="H566" s="3"/>
    </row>
    <row r="567" ht="13.65" customHeight="1">
      <c r="A567" s="129"/>
      <c r="B567" s="264"/>
      <c r="C567" s="129"/>
      <c r="D567" s="129"/>
      <c r="E567" s="265"/>
      <c r="F567" s="137"/>
      <c r="G567" s="3"/>
      <c r="H567" s="3"/>
    </row>
    <row r="568" ht="11.7" customHeight="1">
      <c r="A568" t="s" s="167">
        <v>136</v>
      </c>
      <c r="B568" t="s" s="167">
        <v>281</v>
      </c>
      <c r="C568" t="s" s="167">
        <v>282</v>
      </c>
      <c r="D568" t="s" s="168">
        <v>283</v>
      </c>
      <c r="E568" s="169"/>
      <c r="F568" s="170"/>
      <c r="G568" s="171"/>
      <c r="H568" s="171"/>
    </row>
    <row r="569" ht="13.65" customHeight="1">
      <c r="A569" s="23">
        <v>18</v>
      </c>
      <c r="B569" s="272" cm="1">
        <f t="array" ref="B569">SUM(H453)</f>
        <v>2.14800637205387</v>
      </c>
      <c r="C569" s="267" cm="1">
        <f t="array" ref="C569">SUM(F566)</f>
        <v>2.77</v>
      </c>
      <c r="D569" s="201" cm="1">
        <f t="array" ref="D569">SUM(A569*B569)+(C569)</f>
        <v>41.4341146969697</v>
      </c>
      <c r="E569" s="202"/>
      <c r="F569" s="15"/>
      <c r="G569" s="3"/>
      <c r="H569" s="3"/>
    </row>
    <row r="570" ht="13.65" customHeight="1">
      <c r="A570" s="31"/>
      <c r="B570" s="31"/>
      <c r="C570" s="31"/>
      <c r="D570" s="31"/>
      <c r="E570" s="136"/>
      <c r="F570" s="3"/>
      <c r="G570" s="3"/>
      <c r="H570" s="3"/>
    </row>
    <row r="571" ht="13.65" customHeight="1">
      <c r="A571" s="3"/>
      <c r="B571" s="3"/>
      <c r="C571" s="3"/>
      <c r="D571" s="3"/>
      <c r="E571" s="268"/>
      <c r="F571" s="3"/>
      <c r="G571" s="3"/>
      <c r="H571" s="3"/>
    </row>
    <row r="572" ht="13.65" customHeight="1">
      <c r="A572" t="s" s="5">
        <v>353</v>
      </c>
      <c r="B572" s="3"/>
      <c r="C572" s="3"/>
      <c r="D572" s="3"/>
      <c r="E572" s="268"/>
      <c r="F572" s="3"/>
      <c r="G572" s="3"/>
      <c r="H572" s="3"/>
    </row>
    <row r="573" ht="13.65" customHeight="1">
      <c r="A573" s="11"/>
      <c r="B573" s="11"/>
      <c r="C573" s="11"/>
      <c r="D573" s="11"/>
      <c r="E573" s="269"/>
      <c r="F573" s="11"/>
      <c r="G573" s="3"/>
      <c r="H573" s="3"/>
    </row>
    <row r="574" ht="13.65" customHeight="1">
      <c r="A574" t="s" s="260">
        <v>93</v>
      </c>
      <c r="B574" t="s" s="261">
        <v>333</v>
      </c>
      <c r="C574" s="31"/>
      <c r="D574" s="31"/>
      <c r="E574" s="262"/>
      <c r="F574" t="s" s="14">
        <v>334</v>
      </c>
      <c r="G574" s="15"/>
      <c r="H574" s="3"/>
    </row>
    <row r="575" ht="13.65" customHeight="1">
      <c r="A575" s="151"/>
      <c r="B575" s="161"/>
      <c r="C575" s="11"/>
      <c r="D575" s="11"/>
      <c r="E575" s="263"/>
      <c r="F575" t="s" s="20">
        <v>335</v>
      </c>
      <c r="G575" s="15"/>
      <c r="H575" s="3"/>
    </row>
    <row r="576" ht="13.65" customHeight="1">
      <c r="A576" s="28"/>
      <c r="B576" t="s" s="132">
        <v>336</v>
      </c>
      <c r="C576" s="129"/>
      <c r="D576" s="129"/>
      <c r="E576" s="234"/>
      <c r="F576" s="25">
        <v>0.85</v>
      </c>
      <c r="G576" s="15"/>
      <c r="H576" s="3"/>
    </row>
    <row r="577" ht="13.65" customHeight="1">
      <c r="A577" s="28"/>
      <c r="B577" t="s" s="132">
        <v>337</v>
      </c>
      <c r="C577" s="129"/>
      <c r="D577" s="129"/>
      <c r="E577" s="234"/>
      <c r="F577" s="25">
        <v>0.52</v>
      </c>
      <c r="G577" s="15"/>
      <c r="H577" s="3"/>
    </row>
    <row r="578" ht="13.65" customHeight="1">
      <c r="A578" s="28"/>
      <c r="B578" t="s" s="132">
        <v>349</v>
      </c>
      <c r="C578" s="129"/>
      <c r="D578" s="129"/>
      <c r="E578" s="234"/>
      <c r="F578" s="25">
        <v>0.4</v>
      </c>
      <c r="G578" s="15"/>
      <c r="H578" s="3"/>
    </row>
    <row r="579" ht="13.65" customHeight="1">
      <c r="A579" s="28"/>
      <c r="B579" t="s" s="134">
        <v>331</v>
      </c>
      <c r="C579" s="129"/>
      <c r="D579" s="129"/>
      <c r="E579" s="234"/>
      <c r="F579" s="135" cm="1">
        <f t="array" ref="F579">SUM(F576:F578)</f>
        <v>1.77</v>
      </c>
      <c r="G579" s="15"/>
      <c r="H579" s="3"/>
    </row>
    <row r="580" ht="13.65" customHeight="1">
      <c r="A580" s="129"/>
      <c r="B580" s="264"/>
      <c r="C580" s="129"/>
      <c r="D580" s="129"/>
      <c r="E580" s="265"/>
      <c r="F580" s="137"/>
      <c r="G580" s="3"/>
      <c r="H580" s="3"/>
    </row>
    <row r="581" ht="11.7" customHeight="1">
      <c r="A581" t="s" s="167">
        <v>136</v>
      </c>
      <c r="B581" t="s" s="167">
        <v>281</v>
      </c>
      <c r="C581" t="s" s="167">
        <v>282</v>
      </c>
      <c r="D581" t="s" s="168">
        <v>283</v>
      </c>
      <c r="E581" s="169"/>
      <c r="F581" s="170"/>
      <c r="G581" s="171"/>
      <c r="H581" s="171"/>
    </row>
    <row r="582" ht="13.65" customHeight="1">
      <c r="A582" s="23">
        <v>15</v>
      </c>
      <c r="B582" s="272" cm="1">
        <f t="array" ref="B582">SUM(H453)</f>
        <v>2.14800637205387</v>
      </c>
      <c r="C582" s="267" cm="1">
        <f t="array" ref="C582">SUM(F579)</f>
        <v>1.77</v>
      </c>
      <c r="D582" s="201" cm="1">
        <f t="array" ref="D582">SUM(A582*B582)+(C582)</f>
        <v>33.9900955808081</v>
      </c>
      <c r="E582" s="202"/>
      <c r="F582" s="15"/>
      <c r="G582" s="3"/>
      <c r="H582" s="3"/>
    </row>
    <row r="583" ht="13.65" customHeight="1">
      <c r="A583" s="31"/>
      <c r="B583" s="31"/>
      <c r="C583" s="31"/>
      <c r="D583" s="31"/>
      <c r="E583" s="136"/>
      <c r="F583" s="3"/>
      <c r="G583" s="3"/>
      <c r="H583" s="3"/>
    </row>
    <row r="584" ht="13.65" customHeight="1">
      <c r="A584" s="203"/>
      <c r="B584" s="203"/>
      <c r="C584" s="203"/>
      <c r="D584" s="203"/>
      <c r="E584" s="273"/>
      <c r="F584" s="203"/>
      <c r="G584" s="203"/>
      <c r="H584" s="203"/>
    </row>
    <row r="585" ht="13.65" customHeight="1">
      <c r="A585" t="s" s="274">
        <v>284</v>
      </c>
      <c r="B585" s="275"/>
      <c r="C585" s="275"/>
      <c r="D585" s="275"/>
      <c r="E585" s="276"/>
      <c r="F585" s="275"/>
      <c r="G585" s="275"/>
      <c r="H585" s="277"/>
    </row>
    <row r="586" ht="13.65" customHeight="1">
      <c r="A586" s="278"/>
      <c r="B586" s="278"/>
      <c r="C586" s="278"/>
      <c r="D586" s="278"/>
      <c r="E586" s="279"/>
      <c r="F586" s="278"/>
      <c r="G586" s="278"/>
      <c r="H586" s="278"/>
    </row>
    <row r="587" ht="13.65" customHeight="1">
      <c r="A587" s="3"/>
      <c r="B587" s="3"/>
      <c r="C587" s="3"/>
      <c r="D587" s="3"/>
      <c r="E587" s="268"/>
      <c r="F587" s="3"/>
      <c r="G587" s="3"/>
      <c r="H587" s="3"/>
    </row>
    <row r="588" ht="13.65" customHeight="1">
      <c r="A588" t="s" s="5">
        <v>354</v>
      </c>
      <c r="B588" s="3"/>
      <c r="C588" s="3"/>
      <c r="D588" s="3"/>
      <c r="E588" s="268"/>
      <c r="F588" s="3"/>
      <c r="G588" s="3"/>
      <c r="H588" s="3"/>
    </row>
    <row r="589" ht="13.65" customHeight="1">
      <c r="A589" s="11"/>
      <c r="B589" s="11"/>
      <c r="C589" s="11"/>
      <c r="D589" s="11"/>
      <c r="E589" s="269"/>
      <c r="F589" s="11"/>
      <c r="G589" s="3"/>
      <c r="H589" s="3"/>
    </row>
    <row r="590" ht="13.65" customHeight="1">
      <c r="A590" t="s" s="260">
        <v>93</v>
      </c>
      <c r="B590" t="s" s="261">
        <v>333</v>
      </c>
      <c r="C590" s="31"/>
      <c r="D590" s="31"/>
      <c r="E590" s="262"/>
      <c r="F590" t="s" s="14">
        <v>334</v>
      </c>
      <c r="G590" s="15"/>
      <c r="H590" s="3"/>
    </row>
    <row r="591" ht="13.65" customHeight="1">
      <c r="A591" s="151"/>
      <c r="B591" s="161"/>
      <c r="C591" s="11"/>
      <c r="D591" s="11"/>
      <c r="E591" s="263"/>
      <c r="F591" t="s" s="20">
        <v>335</v>
      </c>
      <c r="G591" s="15"/>
      <c r="H591" s="3"/>
    </row>
    <row r="592" ht="13.65" customHeight="1">
      <c r="A592" s="28"/>
      <c r="B592" t="s" s="132">
        <v>336</v>
      </c>
      <c r="C592" s="129"/>
      <c r="D592" s="129"/>
      <c r="E592" s="234"/>
      <c r="F592" s="25">
        <v>0.85</v>
      </c>
      <c r="G592" s="15"/>
      <c r="H592" s="3"/>
    </row>
    <row r="593" ht="13.65" customHeight="1">
      <c r="A593" s="28"/>
      <c r="B593" t="s" s="132">
        <v>337</v>
      </c>
      <c r="C593" s="129"/>
      <c r="D593" s="129"/>
      <c r="E593" s="234"/>
      <c r="F593" s="25">
        <v>0.52</v>
      </c>
      <c r="G593" s="15"/>
      <c r="H593" s="3"/>
    </row>
    <row r="594" ht="13.65" customHeight="1">
      <c r="A594" s="28"/>
      <c r="B594" t="s" s="132">
        <v>351</v>
      </c>
      <c r="C594" s="129"/>
      <c r="D594" s="129"/>
      <c r="E594" s="234"/>
      <c r="F594" s="25">
        <v>0.4</v>
      </c>
      <c r="G594" s="15"/>
      <c r="H594" s="3"/>
    </row>
    <row r="595" ht="13.65" customHeight="1">
      <c r="A595" s="28"/>
      <c r="B595" t="s" s="132">
        <v>352</v>
      </c>
      <c r="C595" s="129"/>
      <c r="D595" s="129"/>
      <c r="E595" s="234"/>
      <c r="F595" s="25">
        <v>1</v>
      </c>
      <c r="G595" s="15"/>
      <c r="H595" s="3"/>
    </row>
    <row r="596" ht="13.65" customHeight="1">
      <c r="A596" s="28"/>
      <c r="B596" t="s" s="134">
        <v>331</v>
      </c>
      <c r="C596" s="129"/>
      <c r="D596" s="129"/>
      <c r="E596" s="234"/>
      <c r="F596" s="135" cm="1">
        <f t="array" ref="F596">SUM(F592:F595)</f>
        <v>2.77</v>
      </c>
      <c r="G596" s="15"/>
      <c r="H596" s="3"/>
    </row>
    <row r="597" ht="13.65" customHeight="1">
      <c r="A597" s="129"/>
      <c r="B597" s="264"/>
      <c r="C597" s="129"/>
      <c r="D597" s="129"/>
      <c r="E597" s="265"/>
      <c r="F597" s="137"/>
      <c r="G597" s="3"/>
      <c r="H597" s="3"/>
    </row>
    <row r="598" ht="11.7" customHeight="1">
      <c r="A598" t="s" s="167">
        <v>136</v>
      </c>
      <c r="B598" t="s" s="167">
        <v>281</v>
      </c>
      <c r="C598" t="s" s="167">
        <v>282</v>
      </c>
      <c r="D598" t="s" s="168">
        <v>283</v>
      </c>
      <c r="E598" s="169"/>
      <c r="F598" s="170"/>
      <c r="G598" s="171"/>
      <c r="H598" s="171"/>
    </row>
    <row r="599" ht="13.65" customHeight="1">
      <c r="A599" s="23">
        <v>16</v>
      </c>
      <c r="B599" s="272" cm="1">
        <f t="array" ref="B599">SUM(H453)</f>
        <v>2.14800637205387</v>
      </c>
      <c r="C599" s="267" cm="1">
        <f t="array" ref="C599">SUM(F596)</f>
        <v>2.77</v>
      </c>
      <c r="D599" s="201" cm="1">
        <f t="array" ref="D599">SUM(A599*B599)+(C599)</f>
        <v>37.1381019528619</v>
      </c>
      <c r="E599" s="202"/>
      <c r="F599" s="15"/>
      <c r="G599" s="3"/>
      <c r="H599" s="3"/>
    </row>
    <row r="600" ht="13.65" customHeight="1">
      <c r="A600" s="31"/>
      <c r="B600" s="31"/>
      <c r="C600" s="31"/>
      <c r="D600" s="31"/>
      <c r="E600" s="136"/>
      <c r="F600" s="3"/>
      <c r="G600" s="3"/>
      <c r="H600" s="3"/>
    </row>
    <row r="601" ht="13.65" customHeight="1">
      <c r="A601" s="3"/>
      <c r="B601" s="3"/>
      <c r="C601" s="3"/>
      <c r="D601" s="3"/>
      <c r="E601" s="268"/>
      <c r="F601" s="3"/>
      <c r="G601" s="3"/>
      <c r="H601" s="3"/>
    </row>
    <row r="602" ht="13.65" customHeight="1">
      <c r="A602" t="s" s="5">
        <v>355</v>
      </c>
      <c r="B602" s="3"/>
      <c r="C602" s="3"/>
      <c r="D602" s="3"/>
      <c r="E602" s="268"/>
      <c r="F602" s="3"/>
      <c r="G602" s="3"/>
      <c r="H602" s="3"/>
    </row>
    <row r="603" ht="13.65" customHeight="1">
      <c r="A603" s="11"/>
      <c r="B603" s="11"/>
      <c r="C603" s="11"/>
      <c r="D603" s="11"/>
      <c r="E603" s="269"/>
      <c r="F603" s="11"/>
      <c r="G603" s="3"/>
      <c r="H603" s="3"/>
    </row>
    <row r="604" ht="13.65" customHeight="1">
      <c r="A604" t="s" s="260">
        <v>93</v>
      </c>
      <c r="B604" t="s" s="261">
        <v>333</v>
      </c>
      <c r="C604" s="31"/>
      <c r="D604" s="31"/>
      <c r="E604" s="262"/>
      <c r="F604" t="s" s="14">
        <v>334</v>
      </c>
      <c r="G604" s="15"/>
      <c r="H604" s="3"/>
    </row>
    <row r="605" ht="13.65" customHeight="1">
      <c r="A605" s="151"/>
      <c r="B605" s="161"/>
      <c r="C605" s="11"/>
      <c r="D605" s="11"/>
      <c r="E605" s="263"/>
      <c r="F605" t="s" s="20">
        <v>335</v>
      </c>
      <c r="G605" s="15"/>
      <c r="H605" s="3"/>
    </row>
    <row r="606" ht="13.65" customHeight="1">
      <c r="A606" s="28"/>
      <c r="B606" t="s" s="132">
        <v>356</v>
      </c>
      <c r="C606" s="129"/>
      <c r="D606" s="129"/>
      <c r="E606" s="234"/>
      <c r="F606" s="25">
        <v>1.5</v>
      </c>
      <c r="G606" s="15"/>
      <c r="H606" s="3"/>
    </row>
    <row r="607" ht="13.65" customHeight="1">
      <c r="A607" s="28"/>
      <c r="B607" t="s" s="132">
        <v>357</v>
      </c>
      <c r="C607" s="129"/>
      <c r="D607" s="129"/>
      <c r="E607" s="234"/>
      <c r="F607" s="25">
        <v>3.9</v>
      </c>
      <c r="G607" s="15"/>
      <c r="H607" s="3"/>
    </row>
    <row r="608" ht="13.65" customHeight="1">
      <c r="A608" s="28"/>
      <c r="B608" t="s" s="132">
        <v>358</v>
      </c>
      <c r="C608" s="129"/>
      <c r="D608" s="129"/>
      <c r="E608" s="234"/>
      <c r="F608" s="25">
        <v>0.2</v>
      </c>
      <c r="G608" s="15"/>
      <c r="H608" s="3"/>
    </row>
    <row r="609" ht="13.65" customHeight="1">
      <c r="A609" s="28"/>
      <c r="B609" t="s" s="134">
        <v>331</v>
      </c>
      <c r="C609" s="129"/>
      <c r="D609" s="129"/>
      <c r="E609" s="234"/>
      <c r="F609" s="135" cm="1">
        <f t="array" ref="F609">SUM(F606:F608)</f>
        <v>5.6</v>
      </c>
      <c r="G609" s="15"/>
      <c r="H609" s="3"/>
    </row>
    <row r="610" ht="13.65" customHeight="1">
      <c r="A610" s="129"/>
      <c r="B610" s="264"/>
      <c r="C610" s="129"/>
      <c r="D610" s="129"/>
      <c r="E610" s="265"/>
      <c r="F610" s="137"/>
      <c r="G610" s="3"/>
      <c r="H610" s="3"/>
    </row>
    <row r="611" ht="11.7" customHeight="1">
      <c r="A611" t="s" s="167">
        <v>136</v>
      </c>
      <c r="B611" t="s" s="167">
        <v>281</v>
      </c>
      <c r="C611" t="s" s="167">
        <v>282</v>
      </c>
      <c r="D611" t="s" s="168">
        <v>283</v>
      </c>
      <c r="E611" s="169"/>
      <c r="F611" s="170"/>
      <c r="G611" s="171"/>
      <c r="H611" s="171"/>
    </row>
    <row r="612" ht="13.65" customHeight="1">
      <c r="A612" s="23">
        <v>14.5</v>
      </c>
      <c r="B612" s="272" cm="1">
        <f t="array" ref="B612">SUM(H453)</f>
        <v>2.14800637205387</v>
      </c>
      <c r="C612" s="198" cm="1">
        <f t="array" ref="C612">SUM(F609)</f>
        <v>5.6</v>
      </c>
      <c r="D612" s="201" cm="1">
        <f t="array" ref="D612">SUM(A612*B612)+(C612)</f>
        <v>36.7460923947811</v>
      </c>
      <c r="E612" s="202"/>
      <c r="F612" s="15"/>
      <c r="G612" s="3"/>
      <c r="H612" s="3"/>
    </row>
    <row r="613" ht="13.65" customHeight="1">
      <c r="A613" s="31"/>
      <c r="B613" s="31"/>
      <c r="C613" s="31"/>
      <c r="D613" s="31"/>
      <c r="E613" s="136"/>
      <c r="F613" s="3"/>
      <c r="G613" s="3"/>
      <c r="H613" s="3"/>
    </row>
    <row r="614" ht="13.65" customHeight="1">
      <c r="A614" s="3"/>
      <c r="B614" s="3"/>
      <c r="C614" s="3"/>
      <c r="D614" s="3"/>
      <c r="E614" s="268"/>
      <c r="F614" s="3"/>
      <c r="G614" s="3"/>
      <c r="H614" s="3"/>
    </row>
    <row r="615" ht="13.65" customHeight="1">
      <c r="A615" t="s" s="5">
        <v>359</v>
      </c>
      <c r="B615" s="3"/>
      <c r="C615" s="3"/>
      <c r="D615" s="3"/>
      <c r="E615" s="268"/>
      <c r="F615" s="3"/>
      <c r="G615" s="3"/>
      <c r="H615" s="3"/>
    </row>
    <row r="616" ht="13.65" customHeight="1">
      <c r="A616" s="11"/>
      <c r="B616" s="11"/>
      <c r="C616" s="11"/>
      <c r="D616" s="11"/>
      <c r="E616" s="269"/>
      <c r="F616" s="11"/>
      <c r="G616" s="3"/>
      <c r="H616" s="3"/>
    </row>
    <row r="617" ht="13.65" customHeight="1">
      <c r="A617" t="s" s="260">
        <v>93</v>
      </c>
      <c r="B617" t="s" s="261">
        <v>333</v>
      </c>
      <c r="C617" s="31"/>
      <c r="D617" s="31"/>
      <c r="E617" s="262"/>
      <c r="F617" t="s" s="14">
        <v>334</v>
      </c>
      <c r="G617" s="15"/>
      <c r="H617" s="3"/>
    </row>
    <row r="618" ht="13.65" customHeight="1">
      <c r="A618" s="151"/>
      <c r="B618" s="161"/>
      <c r="C618" s="11"/>
      <c r="D618" s="11"/>
      <c r="E618" s="263"/>
      <c r="F618" t="s" s="20">
        <v>335</v>
      </c>
      <c r="G618" s="15"/>
      <c r="H618" s="3"/>
    </row>
    <row r="619" ht="13.65" customHeight="1">
      <c r="A619" s="28"/>
      <c r="B619" t="s" s="132">
        <v>360</v>
      </c>
      <c r="C619" s="129"/>
      <c r="D619" s="129"/>
      <c r="E619" s="234"/>
      <c r="F619" s="25">
        <v>0.77</v>
      </c>
      <c r="G619" s="15"/>
      <c r="H619" s="3"/>
    </row>
    <row r="620" ht="13.65" customHeight="1">
      <c r="A620" s="28"/>
      <c r="B620" t="s" s="132">
        <v>361</v>
      </c>
      <c r="C620" s="129"/>
      <c r="D620" s="129"/>
      <c r="E620" s="234"/>
      <c r="F620" s="25">
        <v>0.39</v>
      </c>
      <c r="G620" s="15"/>
      <c r="H620" s="3"/>
    </row>
    <row r="621" ht="13.65" customHeight="1">
      <c r="A621" s="28"/>
      <c r="B621" t="s" s="132">
        <v>362</v>
      </c>
      <c r="C621" s="129"/>
      <c r="D621" s="129"/>
      <c r="E621" s="234"/>
      <c r="F621" s="25">
        <v>0.2</v>
      </c>
      <c r="G621" s="15"/>
      <c r="H621" s="3"/>
    </row>
    <row r="622" ht="13.65" customHeight="1">
      <c r="A622" s="28"/>
      <c r="B622" t="s" s="134">
        <v>331</v>
      </c>
      <c r="C622" s="129"/>
      <c r="D622" s="129"/>
      <c r="E622" s="234"/>
      <c r="F622" s="135" cm="1">
        <f t="array" ref="F622">SUM(F619:F621)</f>
        <v>1.36</v>
      </c>
      <c r="G622" s="15"/>
      <c r="H622" s="3"/>
    </row>
    <row r="623" ht="13.65" customHeight="1">
      <c r="A623" s="129"/>
      <c r="B623" s="264"/>
      <c r="C623" s="129"/>
      <c r="D623" s="129"/>
      <c r="E623" s="265"/>
      <c r="F623" s="137"/>
      <c r="G623" s="3"/>
      <c r="H623" s="3"/>
    </row>
    <row r="624" ht="11.7" customHeight="1">
      <c r="A624" t="s" s="167">
        <v>136</v>
      </c>
      <c r="B624" t="s" s="167">
        <v>281</v>
      </c>
      <c r="C624" t="s" s="167">
        <v>282</v>
      </c>
      <c r="D624" t="s" s="168">
        <v>283</v>
      </c>
      <c r="E624" s="169"/>
      <c r="F624" s="170"/>
      <c r="G624" s="171"/>
      <c r="H624" s="171"/>
    </row>
    <row r="625" ht="13.65" customHeight="1">
      <c r="A625" s="23">
        <v>2.5</v>
      </c>
      <c r="B625" s="272" cm="1">
        <f t="array" ref="B625">SUM(H453)</f>
        <v>2.14800637205387</v>
      </c>
      <c r="C625" s="198" cm="1">
        <f t="array" ref="C625">SUM(F622)</f>
        <v>1.36</v>
      </c>
      <c r="D625" s="201" cm="1">
        <f t="array" ref="D625">SUM(A625*B625)+(C625)</f>
        <v>6.73001593013468</v>
      </c>
      <c r="E625" s="202"/>
      <c r="F625" s="15"/>
      <c r="G625" s="3"/>
      <c r="H625" s="3"/>
    </row>
    <row r="626" ht="13.65" customHeight="1">
      <c r="A626" s="31"/>
      <c r="B626" s="31"/>
      <c r="C626" s="31"/>
      <c r="D626" s="31"/>
      <c r="E626" s="136"/>
      <c r="F626" s="3"/>
      <c r="G626" s="3"/>
      <c r="H626" s="3"/>
    </row>
    <row r="627" ht="13.65" customHeight="1">
      <c r="A627" s="3"/>
      <c r="B627" s="3"/>
      <c r="C627" s="3"/>
      <c r="D627" s="3"/>
      <c r="E627" s="268"/>
      <c r="F627" s="3"/>
      <c r="G627" s="3"/>
      <c r="H627" s="3"/>
    </row>
    <row r="628" ht="13.65" customHeight="1">
      <c r="A628" t="s" s="5">
        <v>363</v>
      </c>
      <c r="B628" s="3"/>
      <c r="C628" s="3"/>
      <c r="D628" s="3"/>
      <c r="E628" s="268"/>
      <c r="F628" s="3"/>
      <c r="G628" s="3"/>
      <c r="H628" s="3"/>
    </row>
    <row r="629" ht="13.65" customHeight="1">
      <c r="A629" s="11"/>
      <c r="B629" s="11"/>
      <c r="C629" s="11"/>
      <c r="D629" s="11"/>
      <c r="E629" s="269"/>
      <c r="F629" s="11"/>
      <c r="G629" s="3"/>
      <c r="H629" s="3"/>
    </row>
    <row r="630" ht="13.65" customHeight="1">
      <c r="A630" t="s" s="260">
        <v>93</v>
      </c>
      <c r="B630" t="s" s="261">
        <v>333</v>
      </c>
      <c r="C630" s="31"/>
      <c r="D630" s="31"/>
      <c r="E630" s="262"/>
      <c r="F630" t="s" s="14">
        <v>334</v>
      </c>
      <c r="G630" s="15"/>
      <c r="H630" s="3"/>
    </row>
    <row r="631" ht="13.65" customHeight="1">
      <c r="A631" s="151"/>
      <c r="B631" s="161"/>
      <c r="C631" s="11"/>
      <c r="D631" s="11"/>
      <c r="E631" s="263"/>
      <c r="F631" t="s" s="20">
        <v>335</v>
      </c>
      <c r="G631" s="15"/>
      <c r="H631" s="3"/>
    </row>
    <row r="632" ht="13.65" customHeight="1">
      <c r="A632" s="28"/>
      <c r="B632" t="s" s="132">
        <v>360</v>
      </c>
      <c r="C632" s="129"/>
      <c r="D632" s="129"/>
      <c r="E632" s="234"/>
      <c r="F632" s="25">
        <v>0.4</v>
      </c>
      <c r="G632" s="15"/>
      <c r="H632" s="3"/>
    </row>
    <row r="633" ht="13.65" customHeight="1">
      <c r="A633" s="28"/>
      <c r="B633" t="s" s="132">
        <v>361</v>
      </c>
      <c r="C633" s="129"/>
      <c r="D633" s="129"/>
      <c r="E633" s="234"/>
      <c r="F633" s="25">
        <v>0.78</v>
      </c>
      <c r="G633" s="15"/>
      <c r="H633" s="3"/>
    </row>
    <row r="634" ht="13.65" customHeight="1">
      <c r="A634" s="28"/>
      <c r="B634" t="s" s="134">
        <v>331</v>
      </c>
      <c r="C634" s="129"/>
      <c r="D634" s="129"/>
      <c r="E634" s="234"/>
      <c r="F634" s="135" cm="1">
        <f t="array" ref="F634">SUM(F632:F633)</f>
        <v>1.18</v>
      </c>
      <c r="G634" s="15"/>
      <c r="H634" s="3"/>
    </row>
    <row r="635" ht="13.65" customHeight="1">
      <c r="A635" s="129"/>
      <c r="B635" s="264"/>
      <c r="C635" s="129"/>
      <c r="D635" s="129"/>
      <c r="E635" s="265"/>
      <c r="F635" s="137"/>
      <c r="G635" s="3"/>
      <c r="H635" s="3"/>
    </row>
    <row r="636" ht="11.7" customHeight="1">
      <c r="A636" t="s" s="167">
        <v>136</v>
      </c>
      <c r="B636" t="s" s="167">
        <v>281</v>
      </c>
      <c r="C636" t="s" s="167">
        <v>282</v>
      </c>
      <c r="D636" t="s" s="168">
        <v>283</v>
      </c>
      <c r="E636" s="169"/>
      <c r="F636" s="170"/>
      <c r="G636" s="171"/>
      <c r="H636" s="171"/>
    </row>
    <row r="637" ht="13.65" customHeight="1">
      <c r="A637" s="23">
        <v>2.5</v>
      </c>
      <c r="B637" s="272" cm="1">
        <f t="array" ref="B637">SUM(H453)</f>
        <v>2.14800637205387</v>
      </c>
      <c r="C637" s="198" cm="1">
        <f t="array" ref="C637">SUM(F634)</f>
        <v>1.18</v>
      </c>
      <c r="D637" s="201" cm="1">
        <f t="array" ref="D637">SUM(A637*B637)+(C637)</f>
        <v>6.55001593013468</v>
      </c>
      <c r="E637" s="202"/>
      <c r="F637" s="15"/>
      <c r="G637" s="3"/>
      <c r="H637" s="3"/>
    </row>
    <row r="638" ht="13.65" customHeight="1">
      <c r="A638" s="31"/>
      <c r="B638" s="31"/>
      <c r="C638" s="31"/>
      <c r="D638" s="31"/>
      <c r="E638" s="31"/>
      <c r="F638" s="3"/>
      <c r="G638" s="3"/>
      <c r="H638" s="3"/>
    </row>
    <row r="639" ht="13.65" customHeight="1">
      <c r="A639" s="203"/>
      <c r="B639" s="203"/>
      <c r="C639" s="203"/>
      <c r="D639" s="203"/>
      <c r="E639" s="203"/>
      <c r="F639" s="203"/>
      <c r="G639" s="203"/>
      <c r="H639" s="203"/>
    </row>
    <row r="640" ht="13.65" customHeight="1">
      <c r="A640" t="s" s="274">
        <v>284</v>
      </c>
      <c r="B640" s="275"/>
      <c r="C640" s="275"/>
      <c r="D640" s="275"/>
      <c r="E640" s="280"/>
      <c r="F640" s="275"/>
      <c r="G640" s="275"/>
      <c r="H640" s="277"/>
    </row>
    <row r="641" ht="13.65" customHeight="1">
      <c r="A641" s="278"/>
      <c r="B641" s="278"/>
      <c r="C641" s="278"/>
      <c r="D641" s="278"/>
      <c r="E641" s="278"/>
      <c r="F641" s="278"/>
      <c r="G641" s="278"/>
      <c r="H641" s="278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t="s" s="5">
        <v>364</v>
      </c>
      <c r="B643" s="3"/>
      <c r="C643" s="3"/>
      <c r="D643" s="3"/>
      <c r="E643" s="3"/>
      <c r="F643" s="3"/>
      <c r="G643" s="3"/>
      <c r="H643" s="3"/>
    </row>
    <row r="644" ht="13.65" customHeight="1">
      <c r="A644" t="s" s="5">
        <v>365</v>
      </c>
      <c r="B644" s="3"/>
      <c r="C644" s="3"/>
      <c r="D644" s="3"/>
      <c r="E644" s="3"/>
      <c r="F644" s="3"/>
      <c r="G644" s="3"/>
      <c r="H644" s="3"/>
    </row>
    <row r="645" ht="13.65" customHeight="1">
      <c r="A645" s="11"/>
      <c r="B645" s="11"/>
      <c r="C645" s="11"/>
      <c r="D645" s="11"/>
      <c r="E645" s="11"/>
      <c r="F645" s="11"/>
      <c r="G645" s="11"/>
      <c r="H645" s="3"/>
    </row>
    <row r="646" ht="13.65" customHeight="1">
      <c r="A646" s="12"/>
      <c r="B646" s="12"/>
      <c r="C646" s="13"/>
      <c r="D646" s="14"/>
      <c r="E646" s="13"/>
      <c r="F646" s="13"/>
      <c r="G646" t="s" s="14">
        <v>252</v>
      </c>
      <c r="H646" s="150"/>
    </row>
    <row r="647" ht="13.65" customHeight="1">
      <c r="A647" t="s" s="16">
        <v>93</v>
      </c>
      <c r="B647" t="s" s="16">
        <v>94</v>
      </c>
      <c r="C647" t="s" s="16">
        <v>95</v>
      </c>
      <c r="D647" t="s" s="16">
        <v>96</v>
      </c>
      <c r="E647" t="s" s="16">
        <v>97</v>
      </c>
      <c r="F647" t="s" s="16">
        <v>98</v>
      </c>
      <c r="G647" t="s" s="16">
        <v>99</v>
      </c>
      <c r="H647" s="15"/>
    </row>
    <row r="648" ht="13.65" customHeight="1">
      <c r="A648" s="151"/>
      <c r="B648" s="151"/>
      <c r="C648" s="19"/>
      <c r="D648" s="20"/>
      <c r="E648" s="19"/>
      <c r="F648" s="19"/>
      <c r="G648" t="s" s="20">
        <v>100</v>
      </c>
      <c r="H648" s="15"/>
    </row>
    <row r="649" ht="13.65" customHeight="1">
      <c r="A649" s="21">
        <v>77</v>
      </c>
      <c r="B649" t="s" s="22">
        <v>366</v>
      </c>
      <c r="C649" s="23">
        <v>1</v>
      </c>
      <c r="D649" t="s" s="24">
        <v>104</v>
      </c>
      <c r="E649" s="25">
        <v>4.88</v>
      </c>
      <c r="F649" s="23">
        <v>1</v>
      </c>
      <c r="G649" s="152" cm="1">
        <f t="array" ref="G649">SUM(E649/F649)</f>
        <v>4.88</v>
      </c>
      <c r="H649" s="15"/>
    </row>
    <row r="650" ht="13.65" customHeight="1">
      <c r="A650" s="21">
        <v>41</v>
      </c>
      <c r="B650" t="s" s="22">
        <v>367</v>
      </c>
      <c r="C650" s="23">
        <v>100</v>
      </c>
      <c r="D650" t="s" s="24">
        <v>104</v>
      </c>
      <c r="E650" s="25">
        <v>3.64</v>
      </c>
      <c r="F650" s="23">
        <v>100</v>
      </c>
      <c r="G650" s="152" cm="1">
        <f t="array" ref="G650">SUM(E650/F650)</f>
        <v>0.0364</v>
      </c>
      <c r="H650" s="15"/>
    </row>
    <row r="651" ht="13.65" customHeight="1">
      <c r="A651" s="21">
        <v>72</v>
      </c>
      <c r="B651" t="s" s="22">
        <v>101</v>
      </c>
      <c r="C651" s="23">
        <v>50</v>
      </c>
      <c r="D651" t="s" s="24">
        <v>102</v>
      </c>
      <c r="E651" s="25">
        <v>1.93</v>
      </c>
      <c r="F651" s="23">
        <v>25</v>
      </c>
      <c r="G651" s="152" cm="1">
        <f t="array" ref="G651">SUM(E651/F651)</f>
        <v>0.0772</v>
      </c>
      <c r="H651" s="15"/>
    </row>
    <row r="652" ht="13.65" customHeight="1">
      <c r="A652" s="28"/>
      <c r="B652" s="28"/>
      <c r="C652" s="27"/>
      <c r="D652" s="24"/>
      <c r="E652" s="27"/>
      <c r="F652" t="s" s="29">
        <v>118</v>
      </c>
      <c r="G652" s="197" cm="1">
        <f t="array" ref="G652">SUM(G649:G651)</f>
        <v>4.9936</v>
      </c>
      <c r="H652" s="15"/>
    </row>
    <row r="653" ht="13.65" customHeight="1">
      <c r="A653" s="129"/>
      <c r="B653" s="129"/>
      <c r="C653" s="129"/>
      <c r="D653" s="129"/>
      <c r="E653" s="129"/>
      <c r="F653" s="31"/>
      <c r="G653" s="31"/>
      <c r="H653" s="3"/>
    </row>
    <row r="654" ht="11.7" customHeight="1">
      <c r="A654" t="s" s="167">
        <v>136</v>
      </c>
      <c r="B654" t="s" s="167">
        <v>281</v>
      </c>
      <c r="C654" t="s" s="167">
        <v>282</v>
      </c>
      <c r="D654" t="s" s="168">
        <v>283</v>
      </c>
      <c r="E654" s="169"/>
      <c r="F654" s="170"/>
      <c r="G654" s="171"/>
      <c r="H654" s="171"/>
    </row>
    <row r="655" ht="13.65" customHeight="1">
      <c r="A655" s="23">
        <v>30</v>
      </c>
      <c r="B655" s="272" cm="1">
        <f t="array" ref="B655">SUM(H256)</f>
        <v>2.47496540404041</v>
      </c>
      <c r="C655" s="281" cm="1">
        <f t="array" ref="C655">SUM(G652)</f>
        <v>4.9936</v>
      </c>
      <c r="D655" s="199" cm="1">
        <f t="array" ref="D655">SUM(A655*B655)+(C655)</f>
        <v>79.2425621212123</v>
      </c>
      <c r="E655" s="200"/>
      <c r="F655" s="15"/>
      <c r="G655" s="3"/>
      <c r="H655" s="3"/>
    </row>
    <row r="656" ht="13.65" customHeight="1">
      <c r="A656" t="s" s="143">
        <v>368</v>
      </c>
      <c r="B656" s="31"/>
      <c r="C656" s="31"/>
      <c r="D656" s="31"/>
      <c r="E656" s="31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t="s" s="5">
        <v>369</v>
      </c>
      <c r="B658" s="3"/>
      <c r="C658" s="3"/>
      <c r="D658" s="3"/>
      <c r="E658" s="3"/>
      <c r="F658" s="3"/>
      <c r="G658" s="3"/>
      <c r="H658" s="3"/>
    </row>
    <row r="659" ht="13.65" customHeight="1">
      <c r="A659" t="s" s="5">
        <v>370</v>
      </c>
      <c r="B659" s="3"/>
      <c r="C659" s="3"/>
      <c r="D659" s="3"/>
      <c r="E659" s="3"/>
      <c r="F659" s="3"/>
      <c r="G659" s="3"/>
      <c r="H659" s="3"/>
    </row>
    <row r="660" ht="13.65" customHeight="1">
      <c r="A660" s="11"/>
      <c r="B660" s="11"/>
      <c r="C660" s="11"/>
      <c r="D660" s="11"/>
      <c r="E660" s="11"/>
      <c r="F660" s="11"/>
      <c r="G660" s="11"/>
      <c r="H660" s="3"/>
    </row>
    <row r="661" ht="13.65" customHeight="1">
      <c r="A661" s="12"/>
      <c r="B661" s="12"/>
      <c r="C661" s="13"/>
      <c r="D661" s="14"/>
      <c r="E661" s="13"/>
      <c r="F661" s="13"/>
      <c r="G661" t="s" s="14">
        <v>252</v>
      </c>
      <c r="H661" s="150"/>
    </row>
    <row r="662" ht="13.65" customHeight="1">
      <c r="A662" t="s" s="16">
        <v>93</v>
      </c>
      <c r="B662" t="s" s="16">
        <v>94</v>
      </c>
      <c r="C662" t="s" s="16">
        <v>95</v>
      </c>
      <c r="D662" t="s" s="16">
        <v>96</v>
      </c>
      <c r="E662" t="s" s="16">
        <v>97</v>
      </c>
      <c r="F662" t="s" s="16">
        <v>98</v>
      </c>
      <c r="G662" t="s" s="16">
        <v>99</v>
      </c>
      <c r="H662" s="15"/>
    </row>
    <row r="663" ht="13.65" customHeight="1">
      <c r="A663" s="151"/>
      <c r="B663" s="151"/>
      <c r="C663" s="19"/>
      <c r="D663" s="20"/>
      <c r="E663" s="19"/>
      <c r="F663" s="19"/>
      <c r="G663" t="s" s="20">
        <v>100</v>
      </c>
      <c r="H663" s="15"/>
    </row>
    <row r="664" ht="13.65" customHeight="1">
      <c r="A664" s="21">
        <v>72</v>
      </c>
      <c r="B664" t="s" s="22">
        <v>101</v>
      </c>
      <c r="C664" s="23">
        <v>50</v>
      </c>
      <c r="D664" t="s" s="24">
        <v>102</v>
      </c>
      <c r="E664" s="25">
        <v>1.93</v>
      </c>
      <c r="F664" s="23">
        <v>25</v>
      </c>
      <c r="G664" s="152" cm="1">
        <f t="array" ref="G664">SUM(E664/F664)</f>
        <v>0.0772</v>
      </c>
      <c r="H664" s="15"/>
    </row>
    <row r="665" ht="13.65" customHeight="1">
      <c r="A665" s="21">
        <v>123</v>
      </c>
      <c r="B665" t="s" s="22">
        <v>103</v>
      </c>
      <c r="C665" s="23">
        <v>40</v>
      </c>
      <c r="D665" t="s" s="24">
        <v>104</v>
      </c>
      <c r="E665" s="25">
        <v>3.2</v>
      </c>
      <c r="F665" s="23">
        <v>40</v>
      </c>
      <c r="G665" s="152" cm="1">
        <f t="array" ref="G665">SUM(E665/F665)</f>
        <v>0.08</v>
      </c>
      <c r="H665" s="15"/>
    </row>
    <row r="666" ht="13.65" customHeight="1">
      <c r="A666" s="21">
        <v>57</v>
      </c>
      <c r="B666" t="s" s="22">
        <v>253</v>
      </c>
      <c r="C666" t="s" s="24">
        <v>254</v>
      </c>
      <c r="D666" t="s" s="24">
        <v>371</v>
      </c>
      <c r="E666" s="25">
        <v>4.5</v>
      </c>
      <c r="F666" s="23">
        <v>33</v>
      </c>
      <c r="G666" s="152" cm="1">
        <f t="array" ref="G666">SUM(E666/F666)</f>
        <v>0.136363636363636</v>
      </c>
      <c r="H666" s="15"/>
    </row>
    <row r="667" ht="13.65" customHeight="1">
      <c r="A667" s="21">
        <v>86</v>
      </c>
      <c r="B667" t="s" s="22">
        <v>107</v>
      </c>
      <c r="C667" t="s" s="24">
        <v>108</v>
      </c>
      <c r="D667" t="s" s="24">
        <v>274</v>
      </c>
      <c r="E667" s="25">
        <v>0.32</v>
      </c>
      <c r="F667" t="s" s="24">
        <v>301</v>
      </c>
      <c r="G667" s="152" cm="1">
        <f t="array" ref="G667">SUM(E667*4)</f>
        <v>1.28</v>
      </c>
      <c r="H667" s="15"/>
    </row>
    <row r="668" ht="13.65" customHeight="1">
      <c r="A668" s="21">
        <v>71</v>
      </c>
      <c r="B668" t="s" s="22">
        <v>109</v>
      </c>
      <c r="C668" s="23">
        <v>10</v>
      </c>
      <c r="D668" t="s" s="24">
        <v>274</v>
      </c>
      <c r="E668" s="25">
        <v>5.92</v>
      </c>
      <c r="F668" s="23">
        <v>2.5</v>
      </c>
      <c r="G668" s="152" cm="1">
        <f t="array" ref="G668">SUM(E668/F668)</f>
        <v>2.368</v>
      </c>
      <c r="H668" s="15"/>
    </row>
    <row r="669" ht="13.65" customHeight="1">
      <c r="A669" s="21">
        <v>87</v>
      </c>
      <c r="B669" t="s" s="22">
        <v>110</v>
      </c>
      <c r="C669" s="23">
        <v>50</v>
      </c>
      <c r="D669" t="s" s="24">
        <v>274</v>
      </c>
      <c r="E669" s="25">
        <v>9</v>
      </c>
      <c r="F669" s="23">
        <v>12.5</v>
      </c>
      <c r="G669" s="152" cm="1">
        <f t="array" ref="G669">SUM(E669/F669)</f>
        <v>0.72</v>
      </c>
      <c r="H669" s="15"/>
    </row>
    <row r="670" ht="13.65" customHeight="1">
      <c r="A670" s="21">
        <v>55</v>
      </c>
      <c r="B670" t="s" s="22">
        <v>111</v>
      </c>
      <c r="C670" t="s" s="24">
        <v>112</v>
      </c>
      <c r="D670" t="s" s="24">
        <v>113</v>
      </c>
      <c r="E670" s="25">
        <v>2.71</v>
      </c>
      <c r="F670" s="23">
        <v>75</v>
      </c>
      <c r="G670" s="152" cm="1">
        <f t="array" ref="G670">SUM(E670/F670)</f>
        <v>0.0361333333333333</v>
      </c>
      <c r="H670" s="15"/>
    </row>
    <row r="671" ht="13.65" customHeight="1">
      <c r="A671" s="21">
        <v>124</v>
      </c>
      <c r="B671" t="s" s="22">
        <v>372</v>
      </c>
      <c r="C671" s="23">
        <v>1</v>
      </c>
      <c r="D671" t="s" s="24">
        <v>373</v>
      </c>
      <c r="E671" s="25">
        <v>2.2</v>
      </c>
      <c r="F671" s="23">
        <v>15</v>
      </c>
      <c r="G671" s="152" cm="1">
        <f t="array" ref="G671">SUM(E671/F671)</f>
        <v>0.146666666666667</v>
      </c>
      <c r="H671" s="15"/>
    </row>
    <row r="672" ht="13.65" customHeight="1">
      <c r="A672" s="21">
        <v>51</v>
      </c>
      <c r="B672" t="s" s="22">
        <v>374</v>
      </c>
      <c r="C672" s="23">
        <v>1</v>
      </c>
      <c r="D672" t="s" s="24">
        <v>375</v>
      </c>
      <c r="E672" s="25">
        <v>1.28</v>
      </c>
      <c r="F672" s="23">
        <v>2</v>
      </c>
      <c r="G672" s="152" cm="1">
        <f t="array" ref="G672">SUM(E672/F672)</f>
        <v>0.64</v>
      </c>
      <c r="H672" s="15"/>
    </row>
    <row r="673" ht="13.65" customHeight="1">
      <c r="A673" s="21">
        <v>100</v>
      </c>
      <c r="B673" t="s" s="22">
        <v>376</v>
      </c>
      <c r="C673" t="s" s="24">
        <v>377</v>
      </c>
      <c r="D673" t="s" s="24">
        <v>378</v>
      </c>
      <c r="E673" s="25">
        <v>4.5</v>
      </c>
      <c r="F673" s="23">
        <v>40</v>
      </c>
      <c r="G673" s="152" cm="1">
        <f t="array" ref="G673">SUM(E673/F673)</f>
        <v>0.1125</v>
      </c>
      <c r="H673" s="15"/>
    </row>
    <row r="674" ht="13.65" customHeight="1">
      <c r="A674" s="21">
        <v>12</v>
      </c>
      <c r="B674" t="s" s="22">
        <v>379</v>
      </c>
      <c r="C674" t="s" s="24">
        <v>380</v>
      </c>
      <c r="D674" t="s" s="24">
        <v>381</v>
      </c>
      <c r="E674" s="25">
        <v>10.56</v>
      </c>
      <c r="F674" s="23">
        <v>20</v>
      </c>
      <c r="G674" s="152" cm="1">
        <f t="array" ref="G674">SUM(E674/F674)</f>
        <v>0.528</v>
      </c>
      <c r="H674" s="15"/>
    </row>
    <row r="675" ht="13.65" customHeight="1">
      <c r="A675" s="28"/>
      <c r="B675" s="28"/>
      <c r="C675" s="27"/>
      <c r="D675" s="24"/>
      <c r="E675" s="27"/>
      <c r="F675" t="s" s="29">
        <v>118</v>
      </c>
      <c r="G675" s="197" cm="1">
        <f t="array" ref="G675">SUM(G664:G674)</f>
        <v>6.12486363636364</v>
      </c>
      <c r="H675" s="15"/>
    </row>
    <row r="676" ht="13.65" customHeight="1">
      <c r="A676" s="129"/>
      <c r="B676" s="129"/>
      <c r="C676" s="129"/>
      <c r="D676" s="129"/>
      <c r="E676" s="129"/>
      <c r="F676" s="31"/>
      <c r="G676" s="31"/>
      <c r="H676" s="3"/>
    </row>
    <row r="677" ht="11.7" customHeight="1">
      <c r="A677" t="s" s="167">
        <v>136</v>
      </c>
      <c r="B677" t="s" s="167">
        <v>281</v>
      </c>
      <c r="C677" t="s" s="167">
        <v>282</v>
      </c>
      <c r="D677" t="s" s="168">
        <v>283</v>
      </c>
      <c r="E677" s="169"/>
      <c r="F677" s="170"/>
      <c r="G677" s="171"/>
      <c r="H677" s="171"/>
    </row>
    <row r="678" ht="13.65" customHeight="1">
      <c r="A678" s="23">
        <v>45</v>
      </c>
      <c r="B678" s="172" cm="1">
        <f t="array" ref="B678">SUM(H256)</f>
        <v>2.47496540404041</v>
      </c>
      <c r="C678" s="172" cm="1">
        <f t="array" ref="C678">SUM(G675)</f>
        <v>6.12486363636364</v>
      </c>
      <c r="D678" s="199" cm="1">
        <f t="array" ref="D678">SUM(A678*B678)+(C678)</f>
        <v>117.498306818182</v>
      </c>
      <c r="E678" s="200"/>
      <c r="F678" s="15"/>
      <c r="G678" s="3"/>
      <c r="H678" s="3"/>
    </row>
    <row r="679" ht="13.65" customHeight="1">
      <c r="A679" s="31"/>
      <c r="B679" s="31"/>
      <c r="C679" s="31"/>
      <c r="D679" s="31"/>
      <c r="E679" s="31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t="s" s="5">
        <v>382</v>
      </c>
      <c r="B681" s="3"/>
      <c r="C681" s="3"/>
      <c r="D681" s="3"/>
      <c r="E681" s="3"/>
      <c r="F681" s="3"/>
      <c r="G681" s="3"/>
      <c r="H681" s="3"/>
    </row>
    <row r="682" ht="13.65" customHeight="1">
      <c r="A682" s="11"/>
      <c r="B682" s="11"/>
      <c r="C682" s="11"/>
      <c r="D682" s="11"/>
      <c r="E682" s="11"/>
      <c r="F682" s="11"/>
      <c r="G682" s="11"/>
      <c r="H682" s="3"/>
    </row>
    <row r="683" ht="13.65" customHeight="1">
      <c r="A683" s="12"/>
      <c r="B683" s="12"/>
      <c r="C683" s="13"/>
      <c r="D683" s="14"/>
      <c r="E683" s="13"/>
      <c r="F683" s="13"/>
      <c r="G683" t="s" s="14">
        <v>252</v>
      </c>
      <c r="H683" s="150"/>
    </row>
    <row r="684" ht="13.65" customHeight="1">
      <c r="A684" t="s" s="16">
        <v>93</v>
      </c>
      <c r="B684" t="s" s="16">
        <v>94</v>
      </c>
      <c r="C684" t="s" s="16">
        <v>95</v>
      </c>
      <c r="D684" t="s" s="16">
        <v>96</v>
      </c>
      <c r="E684" t="s" s="16">
        <v>97</v>
      </c>
      <c r="F684" t="s" s="16">
        <v>98</v>
      </c>
      <c r="G684" t="s" s="16">
        <v>99</v>
      </c>
      <c r="H684" s="15"/>
    </row>
    <row r="685" ht="13.65" customHeight="1">
      <c r="A685" s="151"/>
      <c r="B685" s="151"/>
      <c r="C685" s="19"/>
      <c r="D685" s="20"/>
      <c r="E685" s="19"/>
      <c r="F685" s="19"/>
      <c r="G685" t="s" s="20">
        <v>100</v>
      </c>
      <c r="H685" s="15"/>
    </row>
    <row r="686" ht="13.65" customHeight="1">
      <c r="A686" s="21">
        <v>72</v>
      </c>
      <c r="B686" t="s" s="22">
        <v>101</v>
      </c>
      <c r="C686" s="23">
        <v>50</v>
      </c>
      <c r="D686" t="s" s="24">
        <v>102</v>
      </c>
      <c r="E686" s="25">
        <v>1.93</v>
      </c>
      <c r="F686" s="23">
        <v>25</v>
      </c>
      <c r="G686" s="152" cm="1">
        <f t="array" ref="G686">SUM(E686/F686)</f>
        <v>0.0772</v>
      </c>
      <c r="H686" s="15"/>
    </row>
    <row r="687" ht="13.65" customHeight="1">
      <c r="A687" s="21">
        <v>123</v>
      </c>
      <c r="B687" t="s" s="22">
        <v>103</v>
      </c>
      <c r="C687" s="23">
        <v>40</v>
      </c>
      <c r="D687" t="s" s="24">
        <v>104</v>
      </c>
      <c r="E687" s="25">
        <v>3.2</v>
      </c>
      <c r="F687" s="23">
        <v>40</v>
      </c>
      <c r="G687" s="152" cm="1">
        <f t="array" ref="G687">SUM(E687/F687)</f>
        <v>0.08</v>
      </c>
      <c r="H687" s="15"/>
    </row>
    <row r="688" ht="13.65" customHeight="1">
      <c r="A688" s="21">
        <v>57</v>
      </c>
      <c r="B688" t="s" s="22">
        <v>253</v>
      </c>
      <c r="C688" t="s" s="24">
        <v>254</v>
      </c>
      <c r="D688" t="s" s="24">
        <v>371</v>
      </c>
      <c r="E688" s="25">
        <v>4.5</v>
      </c>
      <c r="F688" s="23">
        <v>33</v>
      </c>
      <c r="G688" s="152" cm="1">
        <f t="array" ref="G688">SUM(E688/F688)</f>
        <v>0.136363636363636</v>
      </c>
      <c r="H688" s="15"/>
    </row>
    <row r="689" ht="13.65" customHeight="1">
      <c r="A689" s="21">
        <v>86</v>
      </c>
      <c r="B689" t="s" s="22">
        <v>107</v>
      </c>
      <c r="C689" t="s" s="24">
        <v>108</v>
      </c>
      <c r="D689" t="s" s="24">
        <v>274</v>
      </c>
      <c r="E689" s="25">
        <v>0.32</v>
      </c>
      <c r="F689" t="s" s="24">
        <v>301</v>
      </c>
      <c r="G689" s="152" cm="1">
        <f t="array" ref="G689">SUM(E689*4)</f>
        <v>1.28</v>
      </c>
      <c r="H689" s="15"/>
    </row>
    <row r="690" ht="13.65" customHeight="1">
      <c r="A690" s="21">
        <v>71</v>
      </c>
      <c r="B690" t="s" s="22">
        <v>109</v>
      </c>
      <c r="C690" s="23">
        <v>10</v>
      </c>
      <c r="D690" t="s" s="24">
        <v>274</v>
      </c>
      <c r="E690" s="25">
        <v>5.92</v>
      </c>
      <c r="F690" s="23">
        <v>2.5</v>
      </c>
      <c r="G690" s="152" cm="1">
        <f t="array" ref="G690">SUM(E690/F690)</f>
        <v>2.368</v>
      </c>
      <c r="H690" s="15"/>
    </row>
    <row r="691" ht="13.65" customHeight="1">
      <c r="A691" s="21">
        <v>87</v>
      </c>
      <c r="B691" t="s" s="22">
        <v>110</v>
      </c>
      <c r="C691" s="23">
        <v>50</v>
      </c>
      <c r="D691" t="s" s="24">
        <v>274</v>
      </c>
      <c r="E691" s="25">
        <v>9</v>
      </c>
      <c r="F691" s="23">
        <v>12.5</v>
      </c>
      <c r="G691" s="152" cm="1">
        <f t="array" ref="G691">SUM(E691/F691)</f>
        <v>0.72</v>
      </c>
      <c r="H691" s="15"/>
    </row>
    <row r="692" ht="13.65" customHeight="1">
      <c r="A692" s="21">
        <v>55</v>
      </c>
      <c r="B692" t="s" s="22">
        <v>111</v>
      </c>
      <c r="C692" t="s" s="24">
        <v>112</v>
      </c>
      <c r="D692" t="s" s="24">
        <v>113</v>
      </c>
      <c r="E692" s="25">
        <v>2.71</v>
      </c>
      <c r="F692" s="23">
        <v>75</v>
      </c>
      <c r="G692" s="152" cm="1">
        <f t="array" ref="G692">SUM(E692/F692)</f>
        <v>0.0361333333333333</v>
      </c>
      <c r="H692" s="15"/>
    </row>
    <row r="693" ht="13.65" customHeight="1">
      <c r="A693" s="21">
        <v>51</v>
      </c>
      <c r="B693" t="s" s="22">
        <v>374</v>
      </c>
      <c r="C693" s="23">
        <v>1</v>
      </c>
      <c r="D693" t="s" s="24">
        <v>277</v>
      </c>
      <c r="E693" s="25">
        <v>1.28</v>
      </c>
      <c r="F693" s="23">
        <v>2</v>
      </c>
      <c r="G693" s="152" cm="1">
        <f t="array" ref="G693">SUM(E693/F693)</f>
        <v>0.64</v>
      </c>
      <c r="H693" s="15"/>
    </row>
    <row r="694" ht="13.65" customHeight="1">
      <c r="A694" s="21">
        <v>100</v>
      </c>
      <c r="B694" t="s" s="22">
        <v>376</v>
      </c>
      <c r="C694" t="s" s="24">
        <v>377</v>
      </c>
      <c r="D694" t="s" s="24">
        <v>378</v>
      </c>
      <c r="E694" s="25">
        <v>4.5</v>
      </c>
      <c r="F694" s="23">
        <v>40</v>
      </c>
      <c r="G694" s="152" cm="1">
        <f t="array" ref="G694">SUM(E694/F694)</f>
        <v>0.1125</v>
      </c>
      <c r="H694" s="15"/>
    </row>
    <row r="695" ht="13.65" customHeight="1">
      <c r="A695" s="21">
        <v>53</v>
      </c>
      <c r="B695" t="s" s="22">
        <v>383</v>
      </c>
      <c r="C695" t="s" s="24">
        <v>384</v>
      </c>
      <c r="D695" t="s" s="24">
        <v>385</v>
      </c>
      <c r="E695" s="25">
        <v>6.41</v>
      </c>
      <c r="F695" s="23">
        <v>10</v>
      </c>
      <c r="G695" s="152" cm="1">
        <f t="array" ref="G695">SUM(E695/F695)</f>
        <v>0.641</v>
      </c>
      <c r="H695" s="15"/>
    </row>
    <row r="696" ht="13.65" customHeight="1">
      <c r="A696" s="28"/>
      <c r="B696" s="28"/>
      <c r="C696" s="27"/>
      <c r="D696" s="24"/>
      <c r="E696" s="27"/>
      <c r="F696" t="s" s="29">
        <v>118</v>
      </c>
      <c r="G696" s="197" cm="1">
        <f t="array" ref="G696">SUM(G686:G695)</f>
        <v>6.09119696969697</v>
      </c>
      <c r="H696" s="15"/>
    </row>
    <row r="697" ht="13.65" customHeight="1">
      <c r="A697" s="129"/>
      <c r="B697" s="129"/>
      <c r="C697" s="129"/>
      <c r="D697" s="129"/>
      <c r="E697" s="129"/>
      <c r="F697" s="31"/>
      <c r="G697" s="31"/>
      <c r="H697" s="3"/>
    </row>
    <row r="698" ht="11.7" customHeight="1">
      <c r="A698" t="s" s="167">
        <v>136</v>
      </c>
      <c r="B698" t="s" s="167">
        <v>281</v>
      </c>
      <c r="C698" t="s" s="167">
        <v>282</v>
      </c>
      <c r="D698" t="s" s="168">
        <v>283</v>
      </c>
      <c r="E698" s="169"/>
      <c r="F698" s="170"/>
      <c r="G698" s="171"/>
      <c r="H698" s="171"/>
    </row>
    <row r="699" ht="13.65" customHeight="1">
      <c r="A699" s="23">
        <v>30</v>
      </c>
      <c r="B699" s="172" cm="1">
        <f t="array" ref="B699">SUM(H256)</f>
        <v>2.47496540404041</v>
      </c>
      <c r="C699" s="152" cm="1">
        <f t="array" ref="C699">SUM(G696)</f>
        <v>6.09119696969697</v>
      </c>
      <c r="D699" s="199" cm="1">
        <f t="array" ref="D699">SUM(A699*B699)+(C699)</f>
        <v>80.3401590909093</v>
      </c>
      <c r="E699" s="200"/>
      <c r="F699" s="282"/>
      <c r="G699" s="203"/>
      <c r="H699" s="203"/>
    </row>
    <row r="700" ht="13.65" customHeight="1">
      <c r="A700" t="s" s="283">
        <v>185</v>
      </c>
      <c r="B700" s="284"/>
      <c r="C700" s="284"/>
      <c r="D700" s="285"/>
      <c r="E700" s="286"/>
      <c r="F700" s="275"/>
      <c r="G700" s="275"/>
      <c r="H700" s="277"/>
    </row>
    <row r="701" ht="13.65" customHeight="1">
      <c r="A701" s="278"/>
      <c r="B701" s="278"/>
      <c r="C701" s="278"/>
      <c r="D701" s="287"/>
      <c r="E701" s="288"/>
      <c r="F701" s="278"/>
      <c r="G701" s="278"/>
      <c r="H701" s="278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t="s" s="5">
        <v>386</v>
      </c>
      <c r="B703" s="3"/>
      <c r="C703" s="3"/>
      <c r="D703" s="3"/>
      <c r="E703" s="3"/>
      <c r="F703" s="3"/>
      <c r="G703" s="3"/>
      <c r="H703" s="3"/>
    </row>
    <row r="704" ht="13.65" customHeight="1">
      <c r="A704" s="11"/>
      <c r="B704" s="11"/>
      <c r="C704" s="11"/>
      <c r="D704" s="11"/>
      <c r="E704" s="11"/>
      <c r="F704" s="11"/>
      <c r="G704" s="11"/>
      <c r="H704" s="3"/>
    </row>
    <row r="705" ht="13.65" customHeight="1">
      <c r="A705" s="12"/>
      <c r="B705" s="12"/>
      <c r="C705" s="13"/>
      <c r="D705" s="14"/>
      <c r="E705" s="13"/>
      <c r="F705" s="13"/>
      <c r="G705" t="s" s="14">
        <v>252</v>
      </c>
      <c r="H705" s="150"/>
    </row>
    <row r="706" ht="13.65" customHeight="1">
      <c r="A706" t="s" s="16">
        <v>93</v>
      </c>
      <c r="B706" t="s" s="16">
        <v>94</v>
      </c>
      <c r="C706" t="s" s="16">
        <v>95</v>
      </c>
      <c r="D706" t="s" s="16">
        <v>96</v>
      </c>
      <c r="E706" t="s" s="16">
        <v>97</v>
      </c>
      <c r="F706" t="s" s="16">
        <v>98</v>
      </c>
      <c r="G706" t="s" s="16">
        <v>99</v>
      </c>
      <c r="H706" s="15"/>
    </row>
    <row r="707" ht="13.65" customHeight="1">
      <c r="A707" s="151"/>
      <c r="B707" s="151"/>
      <c r="C707" s="19"/>
      <c r="D707" s="20"/>
      <c r="E707" s="19"/>
      <c r="F707" s="19"/>
      <c r="G707" t="s" s="20">
        <v>100</v>
      </c>
      <c r="H707" s="15"/>
    </row>
    <row r="708" ht="13.65" customHeight="1">
      <c r="A708" s="21">
        <v>72</v>
      </c>
      <c r="B708" t="s" s="22">
        <v>101</v>
      </c>
      <c r="C708" s="23">
        <v>50</v>
      </c>
      <c r="D708" t="s" s="24">
        <v>102</v>
      </c>
      <c r="E708" s="25">
        <v>1.93</v>
      </c>
      <c r="F708" s="23">
        <v>25</v>
      </c>
      <c r="G708" s="152" cm="1">
        <f t="array" ref="G708">SUM(E708/F708)</f>
        <v>0.0772</v>
      </c>
      <c r="H708" s="15"/>
    </row>
    <row r="709" ht="13.65" customHeight="1">
      <c r="A709" s="21">
        <v>123</v>
      </c>
      <c r="B709" t="s" s="22">
        <v>103</v>
      </c>
      <c r="C709" s="23">
        <v>40</v>
      </c>
      <c r="D709" t="s" s="24">
        <v>104</v>
      </c>
      <c r="E709" s="25">
        <v>3.2</v>
      </c>
      <c r="F709" s="23">
        <v>40</v>
      </c>
      <c r="G709" s="152" cm="1">
        <f t="array" ref="G709">SUM(E709/F709)</f>
        <v>0.08</v>
      </c>
      <c r="H709" s="15"/>
    </row>
    <row r="710" ht="13.65" customHeight="1">
      <c r="A710" s="21">
        <v>86</v>
      </c>
      <c r="B710" t="s" s="22">
        <v>107</v>
      </c>
      <c r="C710" t="s" s="24">
        <v>108</v>
      </c>
      <c r="D710" t="s" s="24">
        <v>102</v>
      </c>
      <c r="E710" s="25">
        <v>0.32</v>
      </c>
      <c r="F710" t="s" s="24">
        <v>387</v>
      </c>
      <c r="G710" s="152" cm="1">
        <f t="array" ref="G710">SUM(E710*2)</f>
        <v>0.64</v>
      </c>
      <c r="H710" s="15"/>
    </row>
    <row r="711" ht="13.65" customHeight="1">
      <c r="A711" s="21">
        <v>71</v>
      </c>
      <c r="B711" t="s" s="22">
        <v>109</v>
      </c>
      <c r="C711" s="23">
        <v>10</v>
      </c>
      <c r="D711" t="s" s="24">
        <v>102</v>
      </c>
      <c r="E711" s="25">
        <v>5.92</v>
      </c>
      <c r="F711" s="23">
        <v>5</v>
      </c>
      <c r="G711" s="152" cm="1">
        <f t="array" ref="G711">SUM(E711/F711)</f>
        <v>1.184</v>
      </c>
      <c r="H711" s="15"/>
    </row>
    <row r="712" ht="13.65" customHeight="1">
      <c r="A712" s="21">
        <v>87</v>
      </c>
      <c r="B712" t="s" s="22">
        <v>110</v>
      </c>
      <c r="C712" s="23">
        <v>50</v>
      </c>
      <c r="D712" t="s" s="24">
        <v>102</v>
      </c>
      <c r="E712" s="25">
        <v>9</v>
      </c>
      <c r="F712" s="23">
        <v>25</v>
      </c>
      <c r="G712" s="152" cm="1">
        <f t="array" ref="G712">SUM(E712/F712)</f>
        <v>0.36</v>
      </c>
      <c r="H712" s="15"/>
    </row>
    <row r="713" ht="13.65" customHeight="1">
      <c r="A713" s="21">
        <v>55</v>
      </c>
      <c r="B713" t="s" s="22">
        <v>111</v>
      </c>
      <c r="C713" t="s" s="24">
        <v>112</v>
      </c>
      <c r="D713" t="s" s="24">
        <v>113</v>
      </c>
      <c r="E713" s="25">
        <v>2.71</v>
      </c>
      <c r="F713" s="23">
        <v>75</v>
      </c>
      <c r="G713" s="152" cm="1">
        <f t="array" ref="G713">SUM(E713/F713)</f>
        <v>0.0361333333333333</v>
      </c>
      <c r="H713" s="15"/>
    </row>
    <row r="714" ht="13.65" customHeight="1">
      <c r="A714" s="21">
        <v>61</v>
      </c>
      <c r="B714" t="s" s="22">
        <v>388</v>
      </c>
      <c r="C714" t="s" s="24">
        <v>389</v>
      </c>
      <c r="D714" t="s" s="24">
        <v>390</v>
      </c>
      <c r="E714" s="25">
        <v>3</v>
      </c>
      <c r="F714" s="23">
        <v>10</v>
      </c>
      <c r="G714" s="152" cm="1">
        <f t="array" ref="G714">SUM(E714/F714)</f>
        <v>0.3</v>
      </c>
      <c r="H714" s="15"/>
    </row>
    <row r="715" ht="13.65" customHeight="1">
      <c r="A715" s="21">
        <v>92</v>
      </c>
      <c r="B715" t="s" s="22">
        <v>391</v>
      </c>
      <c r="C715" s="23">
        <v>100</v>
      </c>
      <c r="D715" t="s" s="24">
        <v>102</v>
      </c>
      <c r="E715" s="25">
        <v>72</v>
      </c>
      <c r="F715" s="23">
        <v>50</v>
      </c>
      <c r="G715" s="152" cm="1">
        <f t="array" ref="G715">SUM(E715/F715)</f>
        <v>1.44</v>
      </c>
      <c r="H715" s="15"/>
    </row>
    <row r="716" ht="13.65" customHeight="1">
      <c r="A716" s="28"/>
      <c r="B716" s="28"/>
      <c r="C716" s="27"/>
      <c r="D716" s="24"/>
      <c r="E716" s="27"/>
      <c r="F716" t="s" s="29">
        <v>118</v>
      </c>
      <c r="G716" s="197" cm="1">
        <f t="array" ref="G716">SUM(G708:G715)</f>
        <v>4.11733333333333</v>
      </c>
      <c r="H716" s="15"/>
    </row>
    <row r="717" ht="13.65" customHeight="1">
      <c r="A717" s="129"/>
      <c r="B717" s="129"/>
      <c r="C717" s="129"/>
      <c r="D717" s="129"/>
      <c r="E717" s="129"/>
      <c r="F717" s="31"/>
      <c r="G717" s="31"/>
      <c r="H717" s="3"/>
    </row>
    <row r="718" ht="11.7" customHeight="1">
      <c r="A718" t="s" s="167">
        <v>136</v>
      </c>
      <c r="B718" t="s" s="167">
        <v>281</v>
      </c>
      <c r="C718" t="s" s="167">
        <v>282</v>
      </c>
      <c r="D718" t="s" s="168">
        <v>283</v>
      </c>
      <c r="E718" s="169"/>
      <c r="F718" s="170"/>
      <c r="G718" s="171"/>
      <c r="H718" s="171"/>
    </row>
    <row r="719" ht="13.65" customHeight="1">
      <c r="A719" s="23">
        <v>25</v>
      </c>
      <c r="B719" s="172" cm="1">
        <f t="array" ref="B719">SUM(H256)</f>
        <v>2.47496540404041</v>
      </c>
      <c r="C719" s="281" cm="1">
        <f t="array" ref="C719">SUM(G716)</f>
        <v>4.11733333333333</v>
      </c>
      <c r="D719" s="199" cm="1">
        <f t="array" ref="D719">SUM(A719*B719)+(C719)</f>
        <v>65.9914684343436</v>
      </c>
      <c r="E719" s="200"/>
      <c r="F719" s="15"/>
      <c r="G719" s="3"/>
      <c r="H719" s="3"/>
    </row>
    <row r="720" ht="13.65" customHeight="1">
      <c r="A720" s="31"/>
      <c r="B720" s="31"/>
      <c r="C720" s="31"/>
      <c r="D720" s="31"/>
      <c r="E720" s="31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t="s" s="5">
        <v>392</v>
      </c>
      <c r="B722" s="3"/>
      <c r="C722" s="3"/>
      <c r="D722" s="3"/>
      <c r="E722" s="3"/>
      <c r="F722" s="3"/>
      <c r="G722" s="3"/>
      <c r="H722" s="3"/>
    </row>
    <row r="723" ht="13.65" customHeight="1">
      <c r="A723" s="11"/>
      <c r="B723" s="11"/>
      <c r="C723" s="11"/>
      <c r="D723" s="11"/>
      <c r="E723" s="11"/>
      <c r="F723" s="11"/>
      <c r="G723" s="11"/>
      <c r="H723" s="3"/>
    </row>
    <row r="724" ht="13.65" customHeight="1">
      <c r="A724" s="12"/>
      <c r="B724" s="12"/>
      <c r="C724" s="13"/>
      <c r="D724" s="14"/>
      <c r="E724" s="13"/>
      <c r="F724" s="13"/>
      <c r="G724" t="s" s="14">
        <v>252</v>
      </c>
      <c r="H724" s="150"/>
    </row>
    <row r="725" ht="13.65" customHeight="1">
      <c r="A725" t="s" s="16">
        <v>93</v>
      </c>
      <c r="B725" t="s" s="16">
        <v>94</v>
      </c>
      <c r="C725" t="s" s="16">
        <v>95</v>
      </c>
      <c r="D725" t="s" s="16">
        <v>96</v>
      </c>
      <c r="E725" t="s" s="16">
        <v>97</v>
      </c>
      <c r="F725" t="s" s="16">
        <v>98</v>
      </c>
      <c r="G725" t="s" s="16">
        <v>99</v>
      </c>
      <c r="H725" s="15"/>
    </row>
    <row r="726" ht="13.65" customHeight="1">
      <c r="A726" s="151"/>
      <c r="B726" s="151"/>
      <c r="C726" s="19"/>
      <c r="D726" s="20"/>
      <c r="E726" s="19"/>
      <c r="F726" s="19"/>
      <c r="G726" t="s" s="20">
        <v>100</v>
      </c>
      <c r="H726" s="15"/>
    </row>
    <row r="727" ht="13.65" customHeight="1">
      <c r="A727" s="21">
        <v>72</v>
      </c>
      <c r="B727" t="s" s="22">
        <v>101</v>
      </c>
      <c r="C727" s="23">
        <v>50</v>
      </c>
      <c r="D727" t="s" s="24">
        <v>102</v>
      </c>
      <c r="E727" s="25">
        <v>1.93</v>
      </c>
      <c r="F727" s="23">
        <v>25</v>
      </c>
      <c r="G727" s="152" cm="1">
        <f t="array" ref="G727">SUM(E727/F727)</f>
        <v>0.0772</v>
      </c>
      <c r="H727" s="15"/>
    </row>
    <row r="728" ht="13.65" customHeight="1">
      <c r="A728" s="21">
        <v>123</v>
      </c>
      <c r="B728" t="s" s="22">
        <v>103</v>
      </c>
      <c r="C728" s="23">
        <v>40</v>
      </c>
      <c r="D728" t="s" s="24">
        <v>104</v>
      </c>
      <c r="E728" s="25">
        <v>3.2</v>
      </c>
      <c r="F728" s="23">
        <v>40</v>
      </c>
      <c r="G728" s="152" cm="1">
        <f t="array" ref="G728">SUM(E728/F728)</f>
        <v>0.08</v>
      </c>
      <c r="H728" s="15"/>
    </row>
    <row r="729" ht="13.65" customHeight="1">
      <c r="A729" s="21">
        <v>57</v>
      </c>
      <c r="B729" t="s" s="22">
        <v>253</v>
      </c>
      <c r="C729" t="s" s="24">
        <v>254</v>
      </c>
      <c r="D729" t="s" s="24">
        <v>371</v>
      </c>
      <c r="E729" s="25">
        <v>4.5</v>
      </c>
      <c r="F729" s="23">
        <v>33</v>
      </c>
      <c r="G729" s="152" cm="1">
        <f t="array" ref="G729">SUM(E729/F729)</f>
        <v>0.136363636363636</v>
      </c>
      <c r="H729" s="15"/>
    </row>
    <row r="730" ht="13.65" customHeight="1">
      <c r="A730" s="21">
        <v>86</v>
      </c>
      <c r="B730" t="s" s="22">
        <v>107</v>
      </c>
      <c r="C730" t="s" s="24">
        <v>108</v>
      </c>
      <c r="D730" t="s" s="24">
        <v>102</v>
      </c>
      <c r="E730" s="25">
        <v>0.32</v>
      </c>
      <c r="F730" t="s" s="24">
        <v>387</v>
      </c>
      <c r="G730" s="152" cm="1">
        <f t="array" ref="G730">SUM(E730*2)</f>
        <v>0.64</v>
      </c>
      <c r="H730" s="15"/>
    </row>
    <row r="731" ht="13.65" customHeight="1">
      <c r="A731" s="21">
        <v>71</v>
      </c>
      <c r="B731" t="s" s="22">
        <v>109</v>
      </c>
      <c r="C731" s="23">
        <v>10</v>
      </c>
      <c r="D731" t="s" s="24">
        <v>102</v>
      </c>
      <c r="E731" s="25">
        <v>5.92</v>
      </c>
      <c r="F731" s="23">
        <v>5</v>
      </c>
      <c r="G731" s="152" cm="1">
        <f t="array" ref="G731">SUM(E731/F731)</f>
        <v>1.184</v>
      </c>
      <c r="H731" s="15"/>
    </row>
    <row r="732" ht="13.65" customHeight="1">
      <c r="A732" s="21">
        <v>87</v>
      </c>
      <c r="B732" t="s" s="22">
        <v>110</v>
      </c>
      <c r="C732" s="23">
        <v>50</v>
      </c>
      <c r="D732" t="s" s="24">
        <v>102</v>
      </c>
      <c r="E732" s="25">
        <v>9</v>
      </c>
      <c r="F732" s="23">
        <v>25</v>
      </c>
      <c r="G732" s="152" cm="1">
        <f t="array" ref="G732">SUM(E732/F732)</f>
        <v>0.36</v>
      </c>
      <c r="H732" s="15"/>
    </row>
    <row r="733" ht="13.65" customHeight="1">
      <c r="A733" s="21">
        <v>55</v>
      </c>
      <c r="B733" t="s" s="22">
        <v>111</v>
      </c>
      <c r="C733" t="s" s="24">
        <v>112</v>
      </c>
      <c r="D733" t="s" s="24">
        <v>113</v>
      </c>
      <c r="E733" s="25">
        <v>2.71</v>
      </c>
      <c r="F733" s="23">
        <v>75</v>
      </c>
      <c r="G733" s="152" cm="1">
        <f t="array" ref="G733">SUM(E733/F733)</f>
        <v>0.0361333333333333</v>
      </c>
      <c r="H733" s="15"/>
    </row>
    <row r="734" ht="13.65" customHeight="1">
      <c r="A734" s="21">
        <v>51</v>
      </c>
      <c r="B734" t="s" s="22">
        <v>374</v>
      </c>
      <c r="C734" s="23">
        <v>1</v>
      </c>
      <c r="D734" t="s" s="24">
        <v>277</v>
      </c>
      <c r="E734" s="25">
        <v>1.28</v>
      </c>
      <c r="F734" s="23">
        <v>2</v>
      </c>
      <c r="G734" s="152" cm="1">
        <f t="array" ref="G734">SUM(E734/F734)</f>
        <v>0.64</v>
      </c>
      <c r="H734" s="15"/>
    </row>
    <row r="735" ht="13.65" customHeight="1">
      <c r="A735" s="21">
        <v>100</v>
      </c>
      <c r="B735" t="s" s="22">
        <v>376</v>
      </c>
      <c r="C735" t="s" s="24">
        <v>377</v>
      </c>
      <c r="D735" t="s" s="24">
        <v>378</v>
      </c>
      <c r="E735" s="25">
        <v>4.5</v>
      </c>
      <c r="F735" s="23">
        <v>40</v>
      </c>
      <c r="G735" s="152" cm="1">
        <f t="array" ref="G735">SUM(E735/F735)</f>
        <v>0.1125</v>
      </c>
      <c r="H735" s="15"/>
    </row>
    <row r="736" ht="13.65" customHeight="1">
      <c r="A736" s="21">
        <v>53</v>
      </c>
      <c r="B736" t="s" s="22">
        <v>383</v>
      </c>
      <c r="C736" t="s" s="24">
        <v>384</v>
      </c>
      <c r="D736" t="s" s="24">
        <v>385</v>
      </c>
      <c r="E736" s="25">
        <v>6.41</v>
      </c>
      <c r="F736" s="23">
        <v>10</v>
      </c>
      <c r="G736" s="152" cm="1">
        <f t="array" ref="G736">SUM(E736/F736)</f>
        <v>0.641</v>
      </c>
      <c r="H736" s="15"/>
    </row>
    <row r="737" ht="13.65" customHeight="1">
      <c r="A737" s="28"/>
      <c r="B737" s="28"/>
      <c r="C737" s="27"/>
      <c r="D737" s="24"/>
      <c r="E737" s="27"/>
      <c r="F737" t="s" s="29">
        <v>118</v>
      </c>
      <c r="G737" s="197" cm="1">
        <f t="array" ref="G737">SUM(G727:G736)</f>
        <v>3.90719696969697</v>
      </c>
      <c r="H737" s="15"/>
    </row>
    <row r="738" ht="13.65" customHeight="1">
      <c r="A738" s="129"/>
      <c r="B738" s="129"/>
      <c r="C738" s="129"/>
      <c r="D738" s="129"/>
      <c r="E738" s="129"/>
      <c r="F738" s="31"/>
      <c r="G738" s="31"/>
      <c r="H738" s="3"/>
    </row>
    <row r="739" ht="11.7" customHeight="1">
      <c r="A739" t="s" s="167">
        <v>136</v>
      </c>
      <c r="B739" t="s" s="167">
        <v>281</v>
      </c>
      <c r="C739" t="s" s="167">
        <v>282</v>
      </c>
      <c r="D739" t="s" s="168">
        <v>283</v>
      </c>
      <c r="E739" s="169"/>
      <c r="F739" s="170"/>
      <c r="G739" s="171"/>
      <c r="H739" s="171"/>
    </row>
    <row r="740" ht="13.65" customHeight="1">
      <c r="A740" s="23">
        <v>25</v>
      </c>
      <c r="B740" s="172" cm="1">
        <f t="array" ref="B740">SUM(H256)</f>
        <v>2.47496540404041</v>
      </c>
      <c r="C740" s="281" cm="1">
        <f t="array" ref="C740">SUM(G737)</f>
        <v>3.90719696969697</v>
      </c>
      <c r="D740" s="199" cm="1">
        <f t="array" ref="D740">SUM(A740*B740)+(C740)</f>
        <v>65.78133207070719</v>
      </c>
      <c r="E740" s="200"/>
      <c r="F740" s="15"/>
      <c r="G740" s="3"/>
      <c r="H740" s="3"/>
    </row>
    <row r="741" ht="13.65" customHeight="1">
      <c r="A741" s="289"/>
      <c r="B741" s="289"/>
      <c r="C741" s="289"/>
      <c r="D741" s="289"/>
      <c r="E741" s="289"/>
      <c r="F741" s="203"/>
      <c r="G741" s="203"/>
      <c r="H741" s="203"/>
    </row>
    <row r="742" ht="13.65" customHeight="1">
      <c r="A742" t="s" s="274">
        <v>185</v>
      </c>
      <c r="B742" s="275"/>
      <c r="C742" s="275"/>
      <c r="D742" s="275"/>
      <c r="E742" s="280"/>
      <c r="F742" s="275"/>
      <c r="G742" s="275"/>
      <c r="H742" s="277"/>
    </row>
    <row r="743" ht="13.65" customHeight="1">
      <c r="A743" s="278"/>
      <c r="B743" s="278"/>
      <c r="C743" s="278"/>
      <c r="D743" s="278"/>
      <c r="E743" s="278"/>
      <c r="F743" s="278"/>
      <c r="G743" s="278"/>
      <c r="H743" s="278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t="s" s="5">
        <v>393</v>
      </c>
      <c r="B745" s="3"/>
      <c r="C745" s="3"/>
      <c r="D745" s="3"/>
      <c r="E745" s="3"/>
      <c r="F745" s="3"/>
      <c r="G745" s="3"/>
      <c r="H745" s="3"/>
    </row>
    <row r="746" ht="13.65" customHeight="1">
      <c r="A746" s="11"/>
      <c r="B746" s="11"/>
      <c r="C746" s="11"/>
      <c r="D746" s="11"/>
      <c r="E746" s="11"/>
      <c r="F746" s="11"/>
      <c r="G746" s="11"/>
      <c r="H746" s="3"/>
    </row>
    <row r="747" ht="13.65" customHeight="1">
      <c r="A747" s="12"/>
      <c r="B747" s="12"/>
      <c r="C747" s="13"/>
      <c r="D747" s="14"/>
      <c r="E747" s="13"/>
      <c r="F747" s="13"/>
      <c r="G747" t="s" s="14">
        <v>252</v>
      </c>
      <c r="H747" s="150"/>
    </row>
    <row r="748" ht="13.65" customHeight="1">
      <c r="A748" t="s" s="16">
        <v>93</v>
      </c>
      <c r="B748" t="s" s="16">
        <v>94</v>
      </c>
      <c r="C748" t="s" s="16">
        <v>95</v>
      </c>
      <c r="D748" t="s" s="16">
        <v>96</v>
      </c>
      <c r="E748" t="s" s="16">
        <v>97</v>
      </c>
      <c r="F748" t="s" s="16">
        <v>98</v>
      </c>
      <c r="G748" t="s" s="16">
        <v>99</v>
      </c>
      <c r="H748" s="15"/>
    </row>
    <row r="749" ht="13.65" customHeight="1">
      <c r="A749" s="151"/>
      <c r="B749" s="151"/>
      <c r="C749" s="19"/>
      <c r="D749" s="20"/>
      <c r="E749" s="19"/>
      <c r="F749" s="19"/>
      <c r="G749" t="s" s="20">
        <v>100</v>
      </c>
      <c r="H749" s="15"/>
    </row>
    <row r="750" ht="13.65" customHeight="1">
      <c r="A750" s="21">
        <v>72</v>
      </c>
      <c r="B750" t="s" s="22">
        <v>101</v>
      </c>
      <c r="C750" s="23">
        <v>50</v>
      </c>
      <c r="D750" t="s" s="24">
        <v>102</v>
      </c>
      <c r="E750" s="25">
        <v>1.93</v>
      </c>
      <c r="F750" s="23">
        <v>25</v>
      </c>
      <c r="G750" s="152" cm="1">
        <f t="array" ref="G750">SUM(E750/F750)</f>
        <v>0.0772</v>
      </c>
      <c r="H750" s="15"/>
    </row>
    <row r="751" ht="13.65" customHeight="1">
      <c r="A751" s="21">
        <v>123</v>
      </c>
      <c r="B751" t="s" s="22">
        <v>103</v>
      </c>
      <c r="C751" s="23">
        <v>40</v>
      </c>
      <c r="D751" t="s" s="24">
        <v>104</v>
      </c>
      <c r="E751" s="25">
        <v>3.2</v>
      </c>
      <c r="F751" s="23">
        <v>40</v>
      </c>
      <c r="G751" s="152" cm="1">
        <f t="array" ref="G751">SUM(E751/F751)</f>
        <v>0.08</v>
      </c>
      <c r="H751" s="15"/>
    </row>
    <row r="752" ht="13.65" customHeight="1">
      <c r="A752" s="21">
        <v>57</v>
      </c>
      <c r="B752" t="s" s="22">
        <v>253</v>
      </c>
      <c r="C752" t="s" s="24">
        <v>389</v>
      </c>
      <c r="D752" t="s" s="24">
        <v>371</v>
      </c>
      <c r="E752" s="25">
        <v>4.5</v>
      </c>
      <c r="F752" s="23">
        <v>33</v>
      </c>
      <c r="G752" s="152" cm="1">
        <f t="array" ref="G752">SUM(E752/F752)</f>
        <v>0.136363636363636</v>
      </c>
      <c r="H752" s="15"/>
    </row>
    <row r="753" ht="13.65" customHeight="1">
      <c r="A753" s="21">
        <v>65</v>
      </c>
      <c r="B753" t="s" s="22">
        <v>394</v>
      </c>
      <c r="C753" s="23">
        <v>500</v>
      </c>
      <c r="D753" t="s" s="24">
        <v>106</v>
      </c>
      <c r="E753" s="25">
        <v>26</v>
      </c>
      <c r="F753" s="23">
        <v>50</v>
      </c>
      <c r="G753" s="152" cm="1">
        <f t="array" ref="G753">SUM(E753/F753)</f>
        <v>0.52</v>
      </c>
      <c r="H753" s="15"/>
    </row>
    <row r="754" ht="13.65" customHeight="1">
      <c r="A754" s="21">
        <v>86</v>
      </c>
      <c r="B754" t="s" s="22">
        <v>107</v>
      </c>
      <c r="C754" t="s" s="24">
        <v>108</v>
      </c>
      <c r="D754" t="s" s="24">
        <v>102</v>
      </c>
      <c r="E754" s="25">
        <v>0.32</v>
      </c>
      <c r="F754" t="s" s="24">
        <v>387</v>
      </c>
      <c r="G754" s="152" cm="1">
        <f t="array" ref="G754">SUM(E754*2)</f>
        <v>0.64</v>
      </c>
      <c r="H754" s="15"/>
    </row>
    <row r="755" ht="13.65" customHeight="1">
      <c r="A755" s="21">
        <v>71</v>
      </c>
      <c r="B755" t="s" s="22">
        <v>109</v>
      </c>
      <c r="C755" s="23">
        <v>10</v>
      </c>
      <c r="D755" t="s" s="24">
        <v>102</v>
      </c>
      <c r="E755" s="25">
        <v>5.92</v>
      </c>
      <c r="F755" s="23">
        <v>5</v>
      </c>
      <c r="G755" s="152" cm="1">
        <f t="array" ref="G755">SUM(E755/F755)</f>
        <v>1.184</v>
      </c>
      <c r="H755" s="15"/>
    </row>
    <row r="756" ht="13.65" customHeight="1">
      <c r="A756" s="21">
        <v>87</v>
      </c>
      <c r="B756" t="s" s="22">
        <v>110</v>
      </c>
      <c r="C756" s="23">
        <v>50</v>
      </c>
      <c r="D756" t="s" s="24">
        <v>102</v>
      </c>
      <c r="E756" s="25">
        <v>9</v>
      </c>
      <c r="F756" s="23">
        <v>25</v>
      </c>
      <c r="G756" s="152" cm="1">
        <f t="array" ref="G756">SUM(E756/F756)</f>
        <v>0.36</v>
      </c>
      <c r="H756" s="15"/>
    </row>
    <row r="757" ht="13.65" customHeight="1">
      <c r="A757" s="21">
        <v>55</v>
      </c>
      <c r="B757" t="s" s="22">
        <v>111</v>
      </c>
      <c r="C757" t="s" s="24">
        <v>112</v>
      </c>
      <c r="D757" t="s" s="24">
        <v>113</v>
      </c>
      <c r="E757" s="25">
        <v>2.71</v>
      </c>
      <c r="F757" s="23">
        <v>75</v>
      </c>
      <c r="G757" s="152" cm="1">
        <f t="array" ref="G757">SUM(E757/F757)</f>
        <v>0.0361333333333333</v>
      </c>
      <c r="H757" s="15"/>
    </row>
    <row r="758" ht="13.65" customHeight="1">
      <c r="A758" s="21">
        <v>10</v>
      </c>
      <c r="B758" t="s" s="22">
        <v>395</v>
      </c>
      <c r="C758" t="s" s="24">
        <v>396</v>
      </c>
      <c r="D758" t="s" s="24">
        <v>397</v>
      </c>
      <c r="E758" s="25">
        <v>3.92</v>
      </c>
      <c r="F758" s="23">
        <v>50</v>
      </c>
      <c r="G758" s="152" cm="1">
        <f t="array" ref="G758">SUM(E758/F758)</f>
        <v>0.0784</v>
      </c>
      <c r="H758" s="15"/>
    </row>
    <row r="759" ht="13.65" customHeight="1">
      <c r="A759" s="21">
        <v>9</v>
      </c>
      <c r="B759" t="s" s="22">
        <v>398</v>
      </c>
      <c r="C759" s="23">
        <v>50</v>
      </c>
      <c r="D759" t="s" s="24">
        <v>274</v>
      </c>
      <c r="E759" s="25">
        <v>14</v>
      </c>
      <c r="F759" s="23">
        <v>12.5</v>
      </c>
      <c r="G759" s="152" cm="1">
        <f t="array" ref="G759">SUM(E759/F759)</f>
        <v>1.12</v>
      </c>
      <c r="H759" s="15"/>
    </row>
    <row r="760" ht="13.65" customHeight="1">
      <c r="A760" s="21">
        <v>6</v>
      </c>
      <c r="B760" t="s" s="22">
        <v>399</v>
      </c>
      <c r="C760" s="23">
        <v>100</v>
      </c>
      <c r="D760" t="s" s="24">
        <v>102</v>
      </c>
      <c r="E760" s="25">
        <v>19</v>
      </c>
      <c r="F760" s="23">
        <v>50</v>
      </c>
      <c r="G760" s="152" cm="1">
        <f t="array" ref="G760">SUM(E760/F760)</f>
        <v>0.38</v>
      </c>
      <c r="H760" s="15"/>
    </row>
    <row r="761" ht="13.65" customHeight="1">
      <c r="A761" s="21">
        <v>44</v>
      </c>
      <c r="B761" t="s" s="22">
        <v>400</v>
      </c>
      <c r="C761" s="23">
        <v>1</v>
      </c>
      <c r="D761" t="s" s="24">
        <v>401</v>
      </c>
      <c r="E761" s="25">
        <v>74</v>
      </c>
      <c r="F761" s="23">
        <v>30</v>
      </c>
      <c r="G761" s="152" cm="1">
        <f t="array" ref="G761">SUM(E761/F761)</f>
        <v>2.46666666666667</v>
      </c>
      <c r="H761" s="15"/>
    </row>
    <row r="762" ht="13.65" customHeight="1">
      <c r="A762" s="28"/>
      <c r="B762" s="28"/>
      <c r="C762" s="27"/>
      <c r="D762" s="24"/>
      <c r="E762" s="27"/>
      <c r="F762" t="s" s="29">
        <v>118</v>
      </c>
      <c r="G762" s="197" cm="1">
        <f t="array" ref="G762">SUM(G750:G761)</f>
        <v>7.07876363636364</v>
      </c>
      <c r="H762" s="15"/>
    </row>
    <row r="763" ht="13.65" customHeight="1">
      <c r="A763" s="129"/>
      <c r="B763" s="129"/>
      <c r="C763" s="129"/>
      <c r="D763" s="129"/>
      <c r="E763" s="129"/>
      <c r="F763" s="31"/>
      <c r="G763" s="31"/>
      <c r="H763" s="3"/>
    </row>
    <row r="764" ht="11.7" customHeight="1">
      <c r="A764" t="s" s="167">
        <v>136</v>
      </c>
      <c r="B764" t="s" s="167">
        <v>281</v>
      </c>
      <c r="C764" t="s" s="167">
        <v>282</v>
      </c>
      <c r="D764" t="s" s="168">
        <v>283</v>
      </c>
      <c r="E764" s="169"/>
      <c r="F764" s="170"/>
      <c r="G764" s="171"/>
      <c r="H764" s="171"/>
    </row>
    <row r="765" ht="13.65" customHeight="1">
      <c r="A765" s="23">
        <v>60</v>
      </c>
      <c r="B765" s="172" cm="1">
        <f t="array" ref="B765">SUM(H256)</f>
        <v>2.47496540404041</v>
      </c>
      <c r="C765" s="281" cm="1">
        <f t="array" ref="C765">SUM(G762)</f>
        <v>7.07876363636364</v>
      </c>
      <c r="D765" s="199" cm="1">
        <f t="array" ref="D765">SUM(A765*B765)+(C765)</f>
        <v>155.576687878788</v>
      </c>
      <c r="E765" s="200"/>
      <c r="F765" s="15"/>
      <c r="G765" s="3"/>
      <c r="H765" s="3"/>
    </row>
    <row r="766" ht="13.65" customHeight="1">
      <c r="A766" s="31"/>
      <c r="B766" s="31"/>
      <c r="C766" s="31"/>
      <c r="D766" s="31"/>
      <c r="E766" s="31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t="s" s="5">
        <v>402</v>
      </c>
      <c r="B768" s="3"/>
      <c r="C768" s="3"/>
      <c r="D768" s="3"/>
      <c r="E768" s="3"/>
      <c r="F768" s="3"/>
      <c r="G768" s="3"/>
      <c r="H768" s="3"/>
    </row>
    <row r="769" ht="13.65" customHeight="1">
      <c r="A769" t="s" s="5">
        <v>403</v>
      </c>
      <c r="B769" s="3"/>
      <c r="C769" s="3"/>
      <c r="D769" s="3"/>
      <c r="E769" s="3"/>
      <c r="F769" s="3"/>
      <c r="G769" s="3"/>
      <c r="H769" s="3"/>
    </row>
    <row r="770" ht="13.65" customHeight="1">
      <c r="A770" s="11"/>
      <c r="B770" s="11"/>
      <c r="C770" s="11"/>
      <c r="D770" s="11"/>
      <c r="E770" s="11"/>
      <c r="F770" s="11"/>
      <c r="G770" s="11"/>
      <c r="H770" s="3"/>
    </row>
    <row r="771" ht="13.65" customHeight="1">
      <c r="A771" s="12"/>
      <c r="B771" s="12"/>
      <c r="C771" s="13"/>
      <c r="D771" s="14"/>
      <c r="E771" s="13"/>
      <c r="F771" s="13"/>
      <c r="G771" t="s" s="14">
        <v>252</v>
      </c>
      <c r="H771" s="150"/>
    </row>
    <row r="772" ht="13.65" customHeight="1">
      <c r="A772" t="s" s="16">
        <v>93</v>
      </c>
      <c r="B772" t="s" s="16">
        <v>94</v>
      </c>
      <c r="C772" t="s" s="16">
        <v>95</v>
      </c>
      <c r="D772" t="s" s="16">
        <v>96</v>
      </c>
      <c r="E772" t="s" s="16">
        <v>97</v>
      </c>
      <c r="F772" t="s" s="16">
        <v>98</v>
      </c>
      <c r="G772" t="s" s="16">
        <v>99</v>
      </c>
      <c r="H772" s="15"/>
    </row>
    <row r="773" ht="13.65" customHeight="1">
      <c r="A773" s="151"/>
      <c r="B773" s="151"/>
      <c r="C773" s="19"/>
      <c r="D773" s="20"/>
      <c r="E773" s="19"/>
      <c r="F773" s="19"/>
      <c r="G773" t="s" s="20">
        <v>100</v>
      </c>
      <c r="H773" s="15"/>
    </row>
    <row r="774" ht="13.65" customHeight="1">
      <c r="A774" s="21">
        <v>72</v>
      </c>
      <c r="B774" t="s" s="22">
        <v>101</v>
      </c>
      <c r="C774" s="23">
        <v>50</v>
      </c>
      <c r="D774" t="s" s="24">
        <v>102</v>
      </c>
      <c r="E774" s="25">
        <v>1.93</v>
      </c>
      <c r="F774" s="23">
        <v>25</v>
      </c>
      <c r="G774" s="152" cm="1">
        <f t="array" ref="G774">SUM(E774/F774)</f>
        <v>0.0772</v>
      </c>
      <c r="H774" s="15"/>
    </row>
    <row r="775" ht="13.65" customHeight="1">
      <c r="A775" s="21">
        <v>123</v>
      </c>
      <c r="B775" t="s" s="22">
        <v>103</v>
      </c>
      <c r="C775" s="23">
        <v>40</v>
      </c>
      <c r="D775" t="s" s="24">
        <v>104</v>
      </c>
      <c r="E775" s="25">
        <v>3.2</v>
      </c>
      <c r="F775" s="23">
        <v>40</v>
      </c>
      <c r="G775" s="152" cm="1">
        <f t="array" ref="G775">SUM(E775/F775)</f>
        <v>0.08</v>
      </c>
      <c r="H775" s="15"/>
    </row>
    <row r="776" ht="13.65" customHeight="1">
      <c r="A776" s="21">
        <v>117</v>
      </c>
      <c r="B776" t="s" s="22">
        <v>105</v>
      </c>
      <c r="C776" s="23">
        <v>100</v>
      </c>
      <c r="D776" t="s" s="24">
        <v>106</v>
      </c>
      <c r="E776" s="25">
        <v>1.2</v>
      </c>
      <c r="F776" s="23">
        <v>10</v>
      </c>
      <c r="G776" s="152" cm="1">
        <f t="array" ref="G776">SUM(E776/F776)</f>
        <v>0.12</v>
      </c>
      <c r="H776" s="15"/>
    </row>
    <row r="777" ht="13.65" customHeight="1">
      <c r="A777" s="21">
        <v>86</v>
      </c>
      <c r="B777" t="s" s="22">
        <v>107</v>
      </c>
      <c r="C777" t="s" s="24">
        <v>108</v>
      </c>
      <c r="D777" t="s" s="24">
        <v>102</v>
      </c>
      <c r="E777" s="25">
        <v>0.32</v>
      </c>
      <c r="F777" t="s" s="24">
        <v>387</v>
      </c>
      <c r="G777" s="152" cm="1">
        <f t="array" ref="G777">SUM(E777*2)</f>
        <v>0.64</v>
      </c>
      <c r="H777" s="15"/>
    </row>
    <row r="778" ht="13.65" customHeight="1">
      <c r="A778" s="21">
        <v>71</v>
      </c>
      <c r="B778" t="s" s="22">
        <v>109</v>
      </c>
      <c r="C778" s="23">
        <v>10</v>
      </c>
      <c r="D778" t="s" s="24">
        <v>102</v>
      </c>
      <c r="E778" s="25">
        <v>5.92</v>
      </c>
      <c r="F778" s="23">
        <v>5</v>
      </c>
      <c r="G778" s="152" cm="1">
        <f t="array" ref="G778">SUM(E778/F778)</f>
        <v>1.184</v>
      </c>
      <c r="H778" s="15"/>
    </row>
    <row r="779" ht="13.65" customHeight="1">
      <c r="A779" s="21">
        <v>87</v>
      </c>
      <c r="B779" t="s" s="22">
        <v>110</v>
      </c>
      <c r="C779" s="23">
        <v>50</v>
      </c>
      <c r="D779" t="s" s="24">
        <v>102</v>
      </c>
      <c r="E779" s="25">
        <v>9</v>
      </c>
      <c r="F779" s="23">
        <v>25</v>
      </c>
      <c r="G779" s="152" cm="1">
        <f t="array" ref="G779">SUM(E779/F779)</f>
        <v>0.36</v>
      </c>
      <c r="H779" s="15"/>
    </row>
    <row r="780" ht="13.65" customHeight="1">
      <c r="A780" s="21">
        <v>55</v>
      </c>
      <c r="B780" t="s" s="22">
        <v>111</v>
      </c>
      <c r="C780" t="s" s="24">
        <v>112</v>
      </c>
      <c r="D780" t="s" s="24">
        <v>113</v>
      </c>
      <c r="E780" s="25">
        <v>2.71</v>
      </c>
      <c r="F780" s="23">
        <v>75</v>
      </c>
      <c r="G780" s="152" cm="1">
        <f t="array" ref="G780">SUM(E780/F780)</f>
        <v>0.0361333333333333</v>
      </c>
      <c r="H780" s="15"/>
    </row>
    <row r="781" ht="13.65" customHeight="1">
      <c r="A781" s="21">
        <v>103</v>
      </c>
      <c r="B781" t="s" s="22">
        <v>114</v>
      </c>
      <c r="C781" s="23">
        <v>144</v>
      </c>
      <c r="D781" t="s" s="24">
        <v>104</v>
      </c>
      <c r="E781" s="25">
        <v>18</v>
      </c>
      <c r="F781" s="23">
        <v>144</v>
      </c>
      <c r="G781" s="152" cm="1">
        <f t="array" ref="G781">SUM(E781/F781)</f>
        <v>0.125</v>
      </c>
      <c r="H781" s="15"/>
    </row>
    <row r="782" ht="13.65" customHeight="1">
      <c r="A782" s="21">
        <v>129</v>
      </c>
      <c r="B782" t="s" s="22">
        <v>115</v>
      </c>
      <c r="C782" s="23">
        <v>10</v>
      </c>
      <c r="D782" t="s" s="24">
        <v>116</v>
      </c>
      <c r="E782" s="25">
        <v>17.12</v>
      </c>
      <c r="F782" s="23">
        <v>10</v>
      </c>
      <c r="G782" s="152" cm="1">
        <f t="array" ref="G782">SUM(E782/F782)</f>
        <v>1.712</v>
      </c>
      <c r="H782" s="15"/>
    </row>
    <row r="783" ht="13.65" customHeight="1">
      <c r="A783" s="21">
        <v>88</v>
      </c>
      <c r="B783" t="s" s="22">
        <v>117</v>
      </c>
      <c r="C783" s="27"/>
      <c r="D783" t="s" s="24">
        <v>102</v>
      </c>
      <c r="E783" s="25">
        <v>0.75</v>
      </c>
      <c r="F783" t="s" s="24">
        <v>387</v>
      </c>
      <c r="G783" s="152" cm="1">
        <f t="array" ref="G783">SUM(E783*2)</f>
        <v>1.5</v>
      </c>
      <c r="H783" s="15"/>
    </row>
    <row r="784" ht="13.65" customHeight="1">
      <c r="A784" s="28"/>
      <c r="B784" s="28"/>
      <c r="C784" s="27"/>
      <c r="D784" s="24"/>
      <c r="E784" s="27"/>
      <c r="F784" t="s" s="29">
        <v>118</v>
      </c>
      <c r="G784" s="197" cm="1">
        <f t="array" ref="G784">SUM(G774:G783)</f>
        <v>5.83433333333333</v>
      </c>
      <c r="H784" s="15"/>
    </row>
    <row r="785" ht="13.65" customHeight="1">
      <c r="A785" s="129"/>
      <c r="B785" s="129"/>
      <c r="C785" s="129"/>
      <c r="D785" s="129"/>
      <c r="E785" s="129"/>
      <c r="F785" s="31"/>
      <c r="G785" s="31"/>
      <c r="H785" s="3"/>
    </row>
    <row r="786" ht="11.7" customHeight="1">
      <c r="A786" t="s" s="167">
        <v>136</v>
      </c>
      <c r="B786" t="s" s="167">
        <v>281</v>
      </c>
      <c r="C786" t="s" s="167">
        <v>282</v>
      </c>
      <c r="D786" t="s" s="168">
        <v>283</v>
      </c>
      <c r="E786" s="169"/>
      <c r="F786" s="170"/>
      <c r="G786" s="171"/>
      <c r="H786" s="171"/>
    </row>
    <row r="787" ht="13.65" customHeight="1">
      <c r="A787" s="23">
        <v>25</v>
      </c>
      <c r="B787" s="172" cm="1">
        <f t="array" ref="B787">SUM(H256)</f>
        <v>2.47496540404041</v>
      </c>
      <c r="C787" s="281" cm="1">
        <f t="array" ref="C787">SUM(G784)</f>
        <v>5.83433333333333</v>
      </c>
      <c r="D787" s="199" cm="1">
        <f t="array" ref="D787">SUM(A787*B787)+(C787)</f>
        <v>67.7084684343436</v>
      </c>
      <c r="E787" s="200"/>
      <c r="F787" s="15"/>
      <c r="G787" s="3"/>
      <c r="H787" s="3"/>
    </row>
    <row r="788" ht="13.65" customHeight="1">
      <c r="A788" s="31"/>
      <c r="B788" s="31"/>
      <c r="C788" s="31"/>
      <c r="D788" s="31"/>
      <c r="E788" s="31"/>
      <c r="F788" s="3"/>
      <c r="G788" s="3"/>
      <c r="H788" s="3"/>
    </row>
    <row r="789" ht="13.65" customHeight="1">
      <c r="A789" s="203"/>
      <c r="B789" s="203"/>
      <c r="C789" s="203"/>
      <c r="D789" s="203"/>
      <c r="E789" s="203"/>
      <c r="F789" s="203"/>
      <c r="G789" s="203"/>
      <c r="H789" s="203"/>
    </row>
    <row r="790" ht="13.65" customHeight="1">
      <c r="A790" t="s" s="274">
        <v>185</v>
      </c>
      <c r="B790" s="275"/>
      <c r="C790" s="275"/>
      <c r="D790" s="275"/>
      <c r="E790" s="280"/>
      <c r="F790" s="275"/>
      <c r="G790" s="275"/>
      <c r="H790" s="277"/>
    </row>
    <row r="791" ht="13.65" customHeight="1">
      <c r="A791" s="278"/>
      <c r="B791" s="278"/>
      <c r="C791" s="278"/>
      <c r="D791" s="278"/>
      <c r="E791" s="278"/>
      <c r="F791" s="278"/>
      <c r="G791" s="278"/>
      <c r="H791" s="278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t="s" s="5">
        <v>404</v>
      </c>
      <c r="B793" s="3"/>
      <c r="C793" s="3"/>
      <c r="D793" s="3"/>
      <c r="E793" s="3"/>
      <c r="F793" s="3"/>
      <c r="G793" s="3"/>
      <c r="H793" s="3"/>
    </row>
    <row r="794" ht="13.65" customHeight="1">
      <c r="A794" s="11"/>
      <c r="B794" s="11"/>
      <c r="C794" s="11"/>
      <c r="D794" s="11"/>
      <c r="E794" s="11"/>
      <c r="F794" s="11"/>
      <c r="G794" s="11"/>
      <c r="H794" s="3"/>
    </row>
    <row r="795" ht="13.65" customHeight="1">
      <c r="A795" s="12"/>
      <c r="B795" s="12"/>
      <c r="C795" s="13"/>
      <c r="D795" s="14"/>
      <c r="E795" s="13"/>
      <c r="F795" s="13"/>
      <c r="G795" t="s" s="14">
        <v>252</v>
      </c>
      <c r="H795" s="150"/>
    </row>
    <row r="796" ht="13.65" customHeight="1">
      <c r="A796" t="s" s="16">
        <v>93</v>
      </c>
      <c r="B796" t="s" s="16">
        <v>94</v>
      </c>
      <c r="C796" t="s" s="16">
        <v>95</v>
      </c>
      <c r="D796" t="s" s="16">
        <v>96</v>
      </c>
      <c r="E796" t="s" s="16">
        <v>97</v>
      </c>
      <c r="F796" t="s" s="16">
        <v>98</v>
      </c>
      <c r="G796" t="s" s="16">
        <v>99</v>
      </c>
      <c r="H796" s="15"/>
    </row>
    <row r="797" ht="13.65" customHeight="1">
      <c r="A797" s="151"/>
      <c r="B797" s="151"/>
      <c r="C797" s="19"/>
      <c r="D797" s="20"/>
      <c r="E797" s="19"/>
      <c r="F797" s="19"/>
      <c r="G797" t="s" s="20">
        <v>100</v>
      </c>
      <c r="H797" s="15"/>
    </row>
    <row r="798" ht="13.65" customHeight="1">
      <c r="A798" s="21">
        <v>72</v>
      </c>
      <c r="B798" t="s" s="22">
        <v>101</v>
      </c>
      <c r="C798" s="23">
        <v>50</v>
      </c>
      <c r="D798" t="s" s="24">
        <v>102</v>
      </c>
      <c r="E798" s="25">
        <v>1.93</v>
      </c>
      <c r="F798" s="23">
        <v>25</v>
      </c>
      <c r="G798" s="152" cm="1">
        <f t="array" ref="G798">SUM(E798/F798)</f>
        <v>0.0772</v>
      </c>
      <c r="H798" s="15"/>
    </row>
    <row r="799" ht="13.65" customHeight="1">
      <c r="A799" s="21">
        <v>123</v>
      </c>
      <c r="B799" t="s" s="22">
        <v>103</v>
      </c>
      <c r="C799" s="23">
        <v>40</v>
      </c>
      <c r="D799" t="s" s="24">
        <v>104</v>
      </c>
      <c r="E799" s="25">
        <v>3.2</v>
      </c>
      <c r="F799" s="23">
        <v>40</v>
      </c>
      <c r="G799" s="152" cm="1">
        <f t="array" ref="G799">SUM(E799/F799)</f>
        <v>0.08</v>
      </c>
      <c r="H799" s="15"/>
    </row>
    <row r="800" ht="13.65" customHeight="1">
      <c r="A800" s="21">
        <v>57</v>
      </c>
      <c r="B800" t="s" s="22">
        <v>253</v>
      </c>
      <c r="C800" t="s" s="24">
        <v>254</v>
      </c>
      <c r="D800" t="s" s="24">
        <v>371</v>
      </c>
      <c r="E800" s="25">
        <v>4.5</v>
      </c>
      <c r="F800" s="23">
        <v>33</v>
      </c>
      <c r="G800" s="152" cm="1">
        <f t="array" ref="G800">SUM(E800/F800)</f>
        <v>0.136363636363636</v>
      </c>
      <c r="H800" s="15"/>
    </row>
    <row r="801" ht="13.65" customHeight="1">
      <c r="A801" s="21">
        <v>117</v>
      </c>
      <c r="B801" t="s" s="22">
        <v>105</v>
      </c>
      <c r="C801" s="23">
        <v>100</v>
      </c>
      <c r="D801" t="s" s="24">
        <v>405</v>
      </c>
      <c r="E801" s="25">
        <v>1.2</v>
      </c>
      <c r="F801" s="23">
        <v>16</v>
      </c>
      <c r="G801" s="152" cm="1">
        <f t="array" ref="G801">SUM(E801/F801)</f>
        <v>0.075</v>
      </c>
      <c r="H801" s="15"/>
    </row>
    <row r="802" ht="13.65" customHeight="1">
      <c r="A802" s="21">
        <v>86</v>
      </c>
      <c r="B802" t="s" s="22">
        <v>107</v>
      </c>
      <c r="C802" t="s" s="24">
        <v>108</v>
      </c>
      <c r="D802" t="s" s="24">
        <v>102</v>
      </c>
      <c r="E802" s="25">
        <v>0.32</v>
      </c>
      <c r="F802" t="s" s="24">
        <v>387</v>
      </c>
      <c r="G802" s="152" cm="1">
        <f t="array" ref="G802">SUM(E802*2)</f>
        <v>0.64</v>
      </c>
      <c r="H802" s="15"/>
    </row>
    <row r="803" ht="13.65" customHeight="1">
      <c r="A803" s="21">
        <v>71</v>
      </c>
      <c r="B803" t="s" s="22">
        <v>109</v>
      </c>
      <c r="C803" s="23">
        <v>10</v>
      </c>
      <c r="D803" t="s" s="24">
        <v>102</v>
      </c>
      <c r="E803" s="25">
        <v>5.92</v>
      </c>
      <c r="F803" s="23">
        <v>5</v>
      </c>
      <c r="G803" s="152" cm="1">
        <f t="array" ref="G803">SUM(E803/F803)</f>
        <v>1.184</v>
      </c>
      <c r="H803" s="15"/>
    </row>
    <row r="804" ht="13.65" customHeight="1">
      <c r="A804" s="21">
        <v>87</v>
      </c>
      <c r="B804" t="s" s="22">
        <v>110</v>
      </c>
      <c r="C804" s="23">
        <v>50</v>
      </c>
      <c r="D804" t="s" s="24">
        <v>102</v>
      </c>
      <c r="E804" s="25">
        <v>9</v>
      </c>
      <c r="F804" s="23">
        <v>25</v>
      </c>
      <c r="G804" s="152" cm="1">
        <f t="array" ref="G804">SUM(E804/F804)</f>
        <v>0.36</v>
      </c>
      <c r="H804" s="15"/>
    </row>
    <row r="805" ht="13.65" customHeight="1">
      <c r="A805" s="21">
        <v>55</v>
      </c>
      <c r="B805" t="s" s="22">
        <v>111</v>
      </c>
      <c r="C805" t="s" s="24">
        <v>112</v>
      </c>
      <c r="D805" t="s" s="24">
        <v>113</v>
      </c>
      <c r="E805" s="25">
        <v>2.71</v>
      </c>
      <c r="F805" s="23">
        <v>75</v>
      </c>
      <c r="G805" s="152" cm="1">
        <f t="array" ref="G805">SUM(E805/F805)</f>
        <v>0.0361333333333333</v>
      </c>
      <c r="H805" s="15"/>
    </row>
    <row r="806" ht="13.65" customHeight="1">
      <c r="A806" s="21">
        <v>24</v>
      </c>
      <c r="B806" t="s" s="22">
        <v>406</v>
      </c>
      <c r="C806" s="23">
        <v>10</v>
      </c>
      <c r="D806" t="s" s="24">
        <v>116</v>
      </c>
      <c r="E806" s="25">
        <v>9.6</v>
      </c>
      <c r="F806" s="23">
        <v>10</v>
      </c>
      <c r="G806" s="152" cm="1">
        <f t="array" ref="G806">SUM(E806/F806)</f>
        <v>0.96</v>
      </c>
      <c r="H806" s="15"/>
    </row>
    <row r="807" ht="13.65" customHeight="1">
      <c r="A807" s="21">
        <v>88</v>
      </c>
      <c r="B807" t="s" s="22">
        <v>117</v>
      </c>
      <c r="C807" s="27"/>
      <c r="D807" t="s" s="24">
        <v>102</v>
      </c>
      <c r="E807" s="25">
        <v>0.75</v>
      </c>
      <c r="F807" t="s" s="24">
        <v>387</v>
      </c>
      <c r="G807" s="152" cm="1">
        <f t="array" ref="G807">SUM(E807*2)</f>
        <v>1.5</v>
      </c>
      <c r="H807" s="15"/>
    </row>
    <row r="808" ht="13.65" customHeight="1">
      <c r="A808" s="21">
        <v>51</v>
      </c>
      <c r="B808" t="s" s="22">
        <v>374</v>
      </c>
      <c r="C808" s="23">
        <v>1</v>
      </c>
      <c r="D808" t="s" s="24">
        <v>375</v>
      </c>
      <c r="E808" s="25">
        <v>1.28</v>
      </c>
      <c r="F808" s="23">
        <v>2</v>
      </c>
      <c r="G808" s="152" cm="1">
        <f t="array" ref="G808">SUM(E808/F808)</f>
        <v>0.64</v>
      </c>
      <c r="H808" s="15"/>
    </row>
    <row r="809" ht="13.65" customHeight="1">
      <c r="A809" s="21">
        <v>101</v>
      </c>
      <c r="B809" t="s" s="22">
        <v>407</v>
      </c>
      <c r="C809" t="s" s="24">
        <v>380</v>
      </c>
      <c r="D809" t="s" s="24">
        <v>408</v>
      </c>
      <c r="E809" s="25">
        <v>7.5</v>
      </c>
      <c r="F809" s="23">
        <v>50</v>
      </c>
      <c r="G809" s="152" cm="1">
        <f t="array" ref="G809">SUM(E809/F809)</f>
        <v>0.15</v>
      </c>
      <c r="H809" s="15"/>
    </row>
    <row r="810" ht="13.65" customHeight="1">
      <c r="A810" s="21">
        <v>118</v>
      </c>
      <c r="B810" t="s" s="22">
        <v>409</v>
      </c>
      <c r="C810" s="27"/>
      <c r="D810" t="s" s="24">
        <v>410</v>
      </c>
      <c r="E810" s="25">
        <v>47.43</v>
      </c>
      <c r="F810" s="23">
        <v>50</v>
      </c>
      <c r="G810" s="152" cm="1">
        <f t="array" ref="G810">SUM(E810/F810)</f>
        <v>0.9486</v>
      </c>
      <c r="H810" s="15"/>
    </row>
    <row r="811" ht="13.65" customHeight="1">
      <c r="A811" s="21">
        <v>103</v>
      </c>
      <c r="B811" t="s" s="22">
        <v>114</v>
      </c>
      <c r="C811" s="23">
        <v>144</v>
      </c>
      <c r="D811" t="s" s="24">
        <v>104</v>
      </c>
      <c r="E811" s="25">
        <v>18</v>
      </c>
      <c r="F811" s="23">
        <v>144</v>
      </c>
      <c r="G811" s="152" cm="1">
        <f t="array" ref="G811">SUM(E811/F811)</f>
        <v>0.125</v>
      </c>
      <c r="H811" s="15"/>
    </row>
    <row r="812" ht="13.65" customHeight="1">
      <c r="A812" s="28"/>
      <c r="B812" s="28"/>
      <c r="C812" s="27"/>
      <c r="D812" s="24"/>
      <c r="E812" s="27"/>
      <c r="F812" t="s" s="29">
        <v>118</v>
      </c>
      <c r="G812" s="197" cm="1">
        <f t="array" ref="G812">SUM(G798:G811)</f>
        <v>6.91229696969697</v>
      </c>
      <c r="H812" s="15"/>
    </row>
    <row r="813" ht="13.65" customHeight="1">
      <c r="A813" s="129"/>
      <c r="B813" s="129"/>
      <c r="C813" s="129"/>
      <c r="D813" s="129"/>
      <c r="E813" s="129"/>
      <c r="F813" s="31"/>
      <c r="G813" s="31"/>
      <c r="H813" s="3"/>
    </row>
    <row r="814" ht="11.7" customHeight="1">
      <c r="A814" t="s" s="167">
        <v>136</v>
      </c>
      <c r="B814" t="s" s="167">
        <v>281</v>
      </c>
      <c r="C814" t="s" s="167">
        <v>282</v>
      </c>
      <c r="D814" t="s" s="168">
        <v>283</v>
      </c>
      <c r="E814" s="169"/>
      <c r="F814" s="170"/>
      <c r="G814" s="171"/>
      <c r="H814" s="171"/>
    </row>
    <row r="815" ht="13.65" customHeight="1">
      <c r="A815" s="23">
        <v>25</v>
      </c>
      <c r="B815" s="172" cm="1">
        <f t="array" ref="B815">SUM(H256)</f>
        <v>2.47496540404041</v>
      </c>
      <c r="C815" s="281" cm="1">
        <f t="array" ref="C815">SUM(G812)</f>
        <v>6.91229696969697</v>
      </c>
      <c r="D815" s="199" cm="1">
        <f t="array" ref="D815">SUM(A815*B815)+(C815)</f>
        <v>68.78643207070721</v>
      </c>
      <c r="E815" s="200"/>
      <c r="F815" s="15"/>
      <c r="G815" s="3"/>
      <c r="H815" s="3"/>
    </row>
    <row r="816" ht="13.65" customHeight="1">
      <c r="A816" s="31"/>
      <c r="B816" s="31"/>
      <c r="C816" s="31"/>
      <c r="D816" s="31"/>
      <c r="E816" s="31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t="s" s="5">
        <v>411</v>
      </c>
      <c r="B818" s="3"/>
      <c r="C818" s="3"/>
      <c r="D818" s="3"/>
      <c r="E818" s="3"/>
      <c r="F818" s="3"/>
      <c r="G818" s="3"/>
      <c r="H818" s="3"/>
    </row>
    <row r="819" ht="13.65" customHeight="1">
      <c r="A819" s="11"/>
      <c r="B819" s="11"/>
      <c r="C819" s="11"/>
      <c r="D819" s="11"/>
      <c r="E819" s="11"/>
      <c r="F819" s="11"/>
      <c r="G819" s="11"/>
      <c r="H819" s="3"/>
    </row>
    <row r="820" ht="13.65" customHeight="1">
      <c r="A820" s="12"/>
      <c r="B820" s="12"/>
      <c r="C820" s="13"/>
      <c r="D820" s="14"/>
      <c r="E820" s="13"/>
      <c r="F820" s="13"/>
      <c r="G820" t="s" s="14">
        <v>252</v>
      </c>
      <c r="H820" s="150"/>
    </row>
    <row r="821" ht="13.65" customHeight="1">
      <c r="A821" t="s" s="16">
        <v>93</v>
      </c>
      <c r="B821" t="s" s="16">
        <v>94</v>
      </c>
      <c r="C821" t="s" s="16">
        <v>95</v>
      </c>
      <c r="D821" t="s" s="16">
        <v>96</v>
      </c>
      <c r="E821" t="s" s="16">
        <v>97</v>
      </c>
      <c r="F821" t="s" s="16">
        <v>98</v>
      </c>
      <c r="G821" t="s" s="16">
        <v>99</v>
      </c>
      <c r="H821" s="15"/>
    </row>
    <row r="822" ht="13.65" customHeight="1">
      <c r="A822" s="151"/>
      <c r="B822" s="151"/>
      <c r="C822" s="19"/>
      <c r="D822" s="20"/>
      <c r="E822" s="19"/>
      <c r="F822" s="19"/>
      <c r="G822" t="s" s="20">
        <v>100</v>
      </c>
      <c r="H822" s="15"/>
    </row>
    <row r="823" ht="13.65" customHeight="1">
      <c r="A823" s="21">
        <v>72</v>
      </c>
      <c r="B823" t="s" s="22">
        <v>101</v>
      </c>
      <c r="C823" s="23">
        <v>50</v>
      </c>
      <c r="D823" t="s" s="24">
        <v>102</v>
      </c>
      <c r="E823" s="25">
        <v>1.93</v>
      </c>
      <c r="F823" s="23">
        <v>25</v>
      </c>
      <c r="G823" s="152" cm="1">
        <f t="array" ref="G823">SUM(E823/F823)</f>
        <v>0.0772</v>
      </c>
      <c r="H823" s="15"/>
    </row>
    <row r="824" ht="13.65" customHeight="1">
      <c r="A824" s="21">
        <v>123</v>
      </c>
      <c r="B824" t="s" s="22">
        <v>103</v>
      </c>
      <c r="C824" s="23">
        <v>40</v>
      </c>
      <c r="D824" t="s" s="24">
        <v>104</v>
      </c>
      <c r="E824" s="25">
        <v>3.2</v>
      </c>
      <c r="F824" s="23">
        <v>40</v>
      </c>
      <c r="G824" s="152" cm="1">
        <f t="array" ref="G824">SUM(E824/F824)</f>
        <v>0.08</v>
      </c>
      <c r="H824" s="15"/>
    </row>
    <row r="825" ht="13.65" customHeight="1">
      <c r="A825" s="21">
        <v>57</v>
      </c>
      <c r="B825" t="s" s="22">
        <v>253</v>
      </c>
      <c r="C825" t="s" s="24">
        <v>254</v>
      </c>
      <c r="D825" t="s" s="24">
        <v>371</v>
      </c>
      <c r="E825" s="25">
        <v>4.5</v>
      </c>
      <c r="F825" s="23">
        <v>33</v>
      </c>
      <c r="G825" s="152" cm="1">
        <f t="array" ref="G825">SUM(E825/F825)</f>
        <v>0.136363636363636</v>
      </c>
      <c r="H825" s="15"/>
    </row>
    <row r="826" ht="13.65" customHeight="1">
      <c r="A826" s="21">
        <v>117</v>
      </c>
      <c r="B826" t="s" s="22">
        <v>105</v>
      </c>
      <c r="C826" s="23">
        <v>100</v>
      </c>
      <c r="D826" t="s" s="24">
        <v>405</v>
      </c>
      <c r="E826" s="25">
        <v>1.2</v>
      </c>
      <c r="F826" s="23">
        <v>16</v>
      </c>
      <c r="G826" s="152" cm="1">
        <f t="array" ref="G826">SUM(E826/F826)</f>
        <v>0.075</v>
      </c>
      <c r="H826" s="15"/>
    </row>
    <row r="827" ht="13.65" customHeight="1">
      <c r="A827" s="21">
        <v>86</v>
      </c>
      <c r="B827" t="s" s="22">
        <v>107</v>
      </c>
      <c r="C827" t="s" s="24">
        <v>108</v>
      </c>
      <c r="D827" t="s" s="24">
        <v>102</v>
      </c>
      <c r="E827" s="25">
        <v>0.32</v>
      </c>
      <c r="F827" t="s" s="24">
        <v>387</v>
      </c>
      <c r="G827" s="152" cm="1">
        <f t="array" ref="G827">SUM(E827*2)</f>
        <v>0.64</v>
      </c>
      <c r="H827" s="15"/>
    </row>
    <row r="828" ht="13.65" customHeight="1">
      <c r="A828" s="21">
        <v>71</v>
      </c>
      <c r="B828" t="s" s="22">
        <v>109</v>
      </c>
      <c r="C828" s="23">
        <v>10</v>
      </c>
      <c r="D828" t="s" s="24">
        <v>102</v>
      </c>
      <c r="E828" s="25">
        <v>5.92</v>
      </c>
      <c r="F828" s="23">
        <v>5</v>
      </c>
      <c r="G828" s="152" cm="1">
        <f t="array" ref="G828">SUM(E828/F828)</f>
        <v>1.184</v>
      </c>
      <c r="H828" s="15"/>
    </row>
    <row r="829" ht="13.65" customHeight="1">
      <c r="A829" s="21">
        <v>87</v>
      </c>
      <c r="B829" t="s" s="22">
        <v>110</v>
      </c>
      <c r="C829" s="23">
        <v>50</v>
      </c>
      <c r="D829" t="s" s="24">
        <v>102</v>
      </c>
      <c r="E829" s="25">
        <v>9</v>
      </c>
      <c r="F829" s="23">
        <v>25</v>
      </c>
      <c r="G829" s="152" cm="1">
        <f t="array" ref="G829">SUM(E829/F829)</f>
        <v>0.36</v>
      </c>
      <c r="H829" s="15"/>
    </row>
    <row r="830" ht="13.65" customHeight="1">
      <c r="A830" s="21">
        <v>55</v>
      </c>
      <c r="B830" t="s" s="22">
        <v>111</v>
      </c>
      <c r="C830" t="s" s="24">
        <v>112</v>
      </c>
      <c r="D830" t="s" s="24">
        <v>113</v>
      </c>
      <c r="E830" s="25">
        <v>2.71</v>
      </c>
      <c r="F830" s="23">
        <v>75</v>
      </c>
      <c r="G830" s="152" cm="1">
        <f t="array" ref="G830">SUM(E830/F830)</f>
        <v>0.0361333333333333</v>
      </c>
      <c r="H830" s="15"/>
    </row>
    <row r="831" ht="13.65" customHeight="1">
      <c r="A831" s="21">
        <v>24</v>
      </c>
      <c r="B831" t="s" s="22">
        <v>406</v>
      </c>
      <c r="C831" s="23">
        <v>10</v>
      </c>
      <c r="D831" t="s" s="24">
        <v>116</v>
      </c>
      <c r="E831" s="25">
        <v>9.6</v>
      </c>
      <c r="F831" s="23">
        <v>10</v>
      </c>
      <c r="G831" s="152" cm="1">
        <f t="array" ref="G831">SUM(E831/F831)</f>
        <v>0.96</v>
      </c>
      <c r="H831" s="15"/>
    </row>
    <row r="832" ht="13.65" customHeight="1">
      <c r="A832" s="21">
        <v>88</v>
      </c>
      <c r="B832" t="s" s="22">
        <v>117</v>
      </c>
      <c r="C832" s="27"/>
      <c r="D832" t="s" s="24">
        <v>102</v>
      </c>
      <c r="E832" s="25">
        <v>0.75</v>
      </c>
      <c r="F832" t="s" s="24">
        <v>387</v>
      </c>
      <c r="G832" s="152" cm="1">
        <f t="array" ref="G832">SUM(E832*2)</f>
        <v>1.5</v>
      </c>
      <c r="H832" s="15"/>
    </row>
    <row r="833" ht="13.65" customHeight="1">
      <c r="A833" s="21">
        <v>51</v>
      </c>
      <c r="B833" t="s" s="22">
        <v>374</v>
      </c>
      <c r="C833" s="23">
        <v>1</v>
      </c>
      <c r="D833" t="s" s="24">
        <v>375</v>
      </c>
      <c r="E833" s="25">
        <v>1.28</v>
      </c>
      <c r="F833" s="23">
        <v>2</v>
      </c>
      <c r="G833" s="152" cm="1">
        <f t="array" ref="G833">SUM(E833/F833)</f>
        <v>0.64</v>
      </c>
      <c r="H833" s="15"/>
    </row>
    <row r="834" ht="13.65" customHeight="1">
      <c r="A834" s="21">
        <v>101</v>
      </c>
      <c r="B834" t="s" s="22">
        <v>407</v>
      </c>
      <c r="C834" t="s" s="24">
        <v>380</v>
      </c>
      <c r="D834" t="s" s="24">
        <v>408</v>
      </c>
      <c r="E834" s="25">
        <v>7.5</v>
      </c>
      <c r="F834" s="23">
        <v>50</v>
      </c>
      <c r="G834" s="152" cm="1">
        <f t="array" ref="G834">SUM(E834/F834)</f>
        <v>0.15</v>
      </c>
      <c r="H834" s="15"/>
    </row>
    <row r="835" ht="13.65" customHeight="1">
      <c r="A835" s="21">
        <v>118</v>
      </c>
      <c r="B835" t="s" s="22">
        <v>409</v>
      </c>
      <c r="C835" t="s" s="24">
        <v>412</v>
      </c>
      <c r="D835" t="s" s="24">
        <v>413</v>
      </c>
      <c r="E835" s="25">
        <v>47.43</v>
      </c>
      <c r="F835" s="23">
        <v>48</v>
      </c>
      <c r="G835" s="152" cm="1">
        <f t="array" ref="G835">SUM(E835/F835)</f>
        <v>0.988125</v>
      </c>
      <c r="H835" s="15"/>
    </row>
    <row r="836" ht="13.65" customHeight="1">
      <c r="A836" s="21">
        <v>103</v>
      </c>
      <c r="B836" t="s" s="22">
        <v>114</v>
      </c>
      <c r="C836" s="23">
        <v>144</v>
      </c>
      <c r="D836" t="s" s="24">
        <v>104</v>
      </c>
      <c r="E836" s="25">
        <v>18</v>
      </c>
      <c r="F836" s="23">
        <v>144</v>
      </c>
      <c r="G836" s="152" cm="1">
        <f t="array" ref="G836">SUM(E836/F836)</f>
        <v>0.125</v>
      </c>
      <c r="H836" s="15"/>
    </row>
    <row r="837" ht="13.65" customHeight="1">
      <c r="A837" s="21">
        <v>19</v>
      </c>
      <c r="B837" t="s" s="22">
        <v>414</v>
      </c>
      <c r="C837" s="23">
        <v>1</v>
      </c>
      <c r="D837" t="s" s="24">
        <v>116</v>
      </c>
      <c r="E837" s="25">
        <v>5.2</v>
      </c>
      <c r="F837" s="23">
        <v>10</v>
      </c>
      <c r="G837" s="152" cm="1">
        <f t="array" ref="G837">SUM(E837/F837)</f>
        <v>0.52</v>
      </c>
      <c r="H837" s="15"/>
    </row>
    <row r="838" ht="13.65" customHeight="1">
      <c r="A838" s="28"/>
      <c r="B838" s="28"/>
      <c r="C838" s="27"/>
      <c r="D838" s="24"/>
      <c r="E838" s="27"/>
      <c r="F838" t="s" s="29">
        <v>118</v>
      </c>
      <c r="G838" s="197" cm="1">
        <f t="array" ref="G838">SUM(G823:G837)</f>
        <v>7.47182196969697</v>
      </c>
      <c r="H838" s="15"/>
    </row>
    <row r="839" ht="13.65" customHeight="1">
      <c r="A839" s="129"/>
      <c r="B839" s="129"/>
      <c r="C839" s="129"/>
      <c r="D839" s="129"/>
      <c r="E839" s="129"/>
      <c r="F839" s="31"/>
      <c r="G839" s="31"/>
      <c r="H839" s="3"/>
    </row>
    <row r="840" ht="11.7" customHeight="1">
      <c r="A840" t="s" s="167">
        <v>136</v>
      </c>
      <c r="B840" t="s" s="167">
        <v>281</v>
      </c>
      <c r="C840" t="s" s="167">
        <v>282</v>
      </c>
      <c r="D840" t="s" s="168">
        <v>283</v>
      </c>
      <c r="E840" s="169"/>
      <c r="F840" s="170"/>
      <c r="G840" s="171"/>
      <c r="H840" s="171"/>
    </row>
    <row r="841" ht="13.65" customHeight="1">
      <c r="A841" s="23">
        <v>30</v>
      </c>
      <c r="B841" s="172" cm="1">
        <f t="array" ref="B841">SUM(H256)</f>
        <v>2.47496540404041</v>
      </c>
      <c r="C841" s="281" cm="1">
        <f t="array" ref="C841">SUM(G838)</f>
        <v>7.47182196969697</v>
      </c>
      <c r="D841" s="199" cm="1">
        <f t="array" ref="D841">SUM(A841*B841)+(C841)</f>
        <v>81.72078409090931</v>
      </c>
      <c r="E841" s="200"/>
      <c r="F841" s="15"/>
      <c r="G841" s="3"/>
      <c r="H841" s="3"/>
    </row>
    <row r="842" ht="13.65" customHeight="1">
      <c r="A842" s="31"/>
      <c r="B842" s="31"/>
      <c r="C842" s="31"/>
      <c r="D842" s="31"/>
      <c r="E842" s="31"/>
      <c r="F842" s="3"/>
      <c r="G842" s="3"/>
      <c r="H842" s="3"/>
    </row>
    <row r="843" ht="13.65" customHeight="1">
      <c r="A843" s="203"/>
      <c r="B843" s="203"/>
      <c r="C843" s="203"/>
      <c r="D843" s="203"/>
      <c r="E843" s="203"/>
      <c r="F843" s="203"/>
      <c r="G843" s="203"/>
      <c r="H843" s="203"/>
    </row>
    <row r="844" ht="13.65" customHeight="1">
      <c r="A844" t="s" s="274">
        <v>185</v>
      </c>
      <c r="B844" s="275"/>
      <c r="C844" s="275"/>
      <c r="D844" s="275"/>
      <c r="E844" s="280"/>
      <c r="F844" s="275"/>
      <c r="G844" s="275"/>
      <c r="H844" s="277"/>
    </row>
    <row r="845" ht="13.65" customHeight="1">
      <c r="A845" s="278"/>
      <c r="B845" s="278"/>
      <c r="C845" s="278"/>
      <c r="D845" s="278"/>
      <c r="E845" s="278"/>
      <c r="F845" s="278"/>
      <c r="G845" s="278"/>
      <c r="H845" s="278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t="s" s="5">
        <v>415</v>
      </c>
      <c r="B847" s="3"/>
      <c r="C847" s="3"/>
      <c r="D847" s="3"/>
      <c r="E847" s="3"/>
      <c r="F847" s="3"/>
      <c r="G847" s="3"/>
      <c r="H847" s="3"/>
    </row>
    <row r="848" ht="13.65" customHeight="1">
      <c r="A848" s="11"/>
      <c r="B848" s="11"/>
      <c r="C848" s="11"/>
      <c r="D848" s="11"/>
      <c r="E848" s="11"/>
      <c r="F848" s="11"/>
      <c r="G848" s="11"/>
      <c r="H848" s="3"/>
    </row>
    <row r="849" ht="13.65" customHeight="1">
      <c r="A849" s="12"/>
      <c r="B849" s="12"/>
      <c r="C849" s="13"/>
      <c r="D849" s="14"/>
      <c r="E849" s="13"/>
      <c r="F849" s="13"/>
      <c r="G849" t="s" s="14">
        <v>252</v>
      </c>
      <c r="H849" s="150"/>
    </row>
    <row r="850" ht="13.65" customHeight="1">
      <c r="A850" t="s" s="16">
        <v>93</v>
      </c>
      <c r="B850" t="s" s="16">
        <v>94</v>
      </c>
      <c r="C850" t="s" s="16">
        <v>95</v>
      </c>
      <c r="D850" t="s" s="16">
        <v>96</v>
      </c>
      <c r="E850" t="s" s="16">
        <v>97</v>
      </c>
      <c r="F850" t="s" s="16">
        <v>98</v>
      </c>
      <c r="G850" t="s" s="16">
        <v>99</v>
      </c>
      <c r="H850" s="15"/>
    </row>
    <row r="851" ht="13.65" customHeight="1">
      <c r="A851" s="151"/>
      <c r="B851" s="151"/>
      <c r="C851" s="19"/>
      <c r="D851" s="20"/>
      <c r="E851" s="19"/>
      <c r="F851" s="19"/>
      <c r="G851" t="s" s="20">
        <v>100</v>
      </c>
      <c r="H851" s="15"/>
    </row>
    <row r="852" ht="13.65" customHeight="1">
      <c r="A852" s="21">
        <v>72</v>
      </c>
      <c r="B852" t="s" s="22">
        <v>101</v>
      </c>
      <c r="C852" s="23">
        <v>50</v>
      </c>
      <c r="D852" t="s" s="24">
        <v>102</v>
      </c>
      <c r="E852" s="25">
        <v>1.93</v>
      </c>
      <c r="F852" s="23">
        <v>25</v>
      </c>
      <c r="G852" s="152" cm="1">
        <f t="array" ref="G852">SUM(E852/F852)</f>
        <v>0.0772</v>
      </c>
      <c r="H852" s="15"/>
    </row>
    <row r="853" ht="13.65" customHeight="1">
      <c r="A853" s="21">
        <v>123</v>
      </c>
      <c r="B853" t="s" s="22">
        <v>103</v>
      </c>
      <c r="C853" s="23">
        <v>40</v>
      </c>
      <c r="D853" t="s" s="24">
        <v>104</v>
      </c>
      <c r="E853" s="25">
        <v>3.2</v>
      </c>
      <c r="F853" s="23">
        <v>40</v>
      </c>
      <c r="G853" s="152" cm="1">
        <f t="array" ref="G853">SUM(E853/F853)</f>
        <v>0.08</v>
      </c>
      <c r="H853" s="15"/>
    </row>
    <row r="854" ht="13.65" customHeight="1">
      <c r="A854" s="21">
        <v>57</v>
      </c>
      <c r="B854" t="s" s="22">
        <v>253</v>
      </c>
      <c r="C854" t="s" s="24">
        <v>254</v>
      </c>
      <c r="D854" t="s" s="24">
        <v>371</v>
      </c>
      <c r="E854" s="25">
        <v>4.5</v>
      </c>
      <c r="F854" s="23">
        <v>33</v>
      </c>
      <c r="G854" s="152" cm="1">
        <f t="array" ref="G854">SUM(E854/F854)</f>
        <v>0.136363636363636</v>
      </c>
      <c r="H854" s="15"/>
    </row>
    <row r="855" ht="13.65" customHeight="1">
      <c r="A855" s="21">
        <v>117</v>
      </c>
      <c r="B855" t="s" s="22">
        <v>105</v>
      </c>
      <c r="C855" s="23">
        <v>100</v>
      </c>
      <c r="D855" t="s" s="24">
        <v>106</v>
      </c>
      <c r="E855" s="25">
        <v>1.2</v>
      </c>
      <c r="F855" s="23">
        <v>16</v>
      </c>
      <c r="G855" s="152" cm="1">
        <f t="array" ref="G855">SUM(E855/F855)</f>
        <v>0.075</v>
      </c>
      <c r="H855" s="15"/>
    </row>
    <row r="856" ht="13.65" customHeight="1">
      <c r="A856" s="21">
        <v>86</v>
      </c>
      <c r="B856" t="s" s="22">
        <v>107</v>
      </c>
      <c r="C856" t="s" s="24">
        <v>108</v>
      </c>
      <c r="D856" t="s" s="24">
        <v>102</v>
      </c>
      <c r="E856" s="25">
        <v>0.32</v>
      </c>
      <c r="F856" t="s" s="24">
        <v>387</v>
      </c>
      <c r="G856" s="152" cm="1">
        <f t="array" ref="G856">SUM(E856*2)</f>
        <v>0.64</v>
      </c>
      <c r="H856" s="15"/>
    </row>
    <row r="857" ht="13.65" customHeight="1">
      <c r="A857" s="21">
        <v>71</v>
      </c>
      <c r="B857" t="s" s="22">
        <v>109</v>
      </c>
      <c r="C857" s="23">
        <v>10</v>
      </c>
      <c r="D857" t="s" s="24">
        <v>102</v>
      </c>
      <c r="E857" s="25">
        <v>5.92</v>
      </c>
      <c r="F857" s="23">
        <v>5</v>
      </c>
      <c r="G857" s="152" cm="1">
        <f t="array" ref="G857">SUM(E857/F857)</f>
        <v>1.184</v>
      </c>
      <c r="H857" s="15"/>
    </row>
    <row r="858" ht="13.65" customHeight="1">
      <c r="A858" s="21">
        <v>87</v>
      </c>
      <c r="B858" t="s" s="22">
        <v>110</v>
      </c>
      <c r="C858" s="23">
        <v>50</v>
      </c>
      <c r="D858" t="s" s="24">
        <v>102</v>
      </c>
      <c r="E858" s="25">
        <v>9</v>
      </c>
      <c r="F858" s="23">
        <v>25</v>
      </c>
      <c r="G858" s="152" cm="1">
        <f t="array" ref="G858">SUM(E858/F858)</f>
        <v>0.36</v>
      </c>
      <c r="H858" s="15"/>
    </row>
    <row r="859" ht="13.65" customHeight="1">
      <c r="A859" s="21">
        <v>55</v>
      </c>
      <c r="B859" t="s" s="22">
        <v>111</v>
      </c>
      <c r="C859" t="s" s="24">
        <v>112</v>
      </c>
      <c r="D859" t="s" s="24">
        <v>113</v>
      </c>
      <c r="E859" s="25">
        <v>2.71</v>
      </c>
      <c r="F859" s="23">
        <v>75</v>
      </c>
      <c r="G859" s="152" cm="1">
        <f t="array" ref="G859">SUM(E859/F859)</f>
        <v>0.0361333333333333</v>
      </c>
      <c r="H859" s="15"/>
    </row>
    <row r="860" ht="13.65" customHeight="1">
      <c r="A860" s="21">
        <v>88</v>
      </c>
      <c r="B860" t="s" s="22">
        <v>117</v>
      </c>
      <c r="C860" s="27"/>
      <c r="D860" t="s" s="24">
        <v>102</v>
      </c>
      <c r="E860" s="25">
        <v>0.75</v>
      </c>
      <c r="F860" t="s" s="24">
        <v>387</v>
      </c>
      <c r="G860" s="152" cm="1">
        <f t="array" ref="G860">SUM(E860*2)</f>
        <v>1.5</v>
      </c>
      <c r="H860" s="15"/>
    </row>
    <row r="861" ht="13.65" customHeight="1">
      <c r="A861" s="21">
        <v>124</v>
      </c>
      <c r="B861" t="s" s="22">
        <v>416</v>
      </c>
      <c r="C861" s="23">
        <v>1</v>
      </c>
      <c r="D861" t="s" s="24">
        <v>373</v>
      </c>
      <c r="E861" s="25">
        <v>2.2</v>
      </c>
      <c r="F861" s="23">
        <v>15</v>
      </c>
      <c r="G861" s="152" cm="1">
        <f t="array" ref="G861">SUM(E861/F861)</f>
        <v>0.146666666666667</v>
      </c>
      <c r="H861" s="15"/>
    </row>
    <row r="862" ht="13.65" customHeight="1">
      <c r="A862" s="21">
        <v>100</v>
      </c>
      <c r="B862" t="s" s="22">
        <v>376</v>
      </c>
      <c r="C862" t="s" s="24">
        <v>377</v>
      </c>
      <c r="D862" t="s" s="24">
        <v>378</v>
      </c>
      <c r="E862" s="25">
        <v>4.5</v>
      </c>
      <c r="F862" s="23">
        <v>40</v>
      </c>
      <c r="G862" s="152" cm="1">
        <f t="array" ref="G862">SUM(E862/F862)</f>
        <v>0.1125</v>
      </c>
      <c r="H862" s="15"/>
    </row>
    <row r="863" ht="13.65" customHeight="1">
      <c r="A863" s="21">
        <v>25</v>
      </c>
      <c r="B863" t="s" s="22">
        <v>417</v>
      </c>
      <c r="C863" t="s" s="24">
        <v>390</v>
      </c>
      <c r="D863" t="s" s="24">
        <v>418</v>
      </c>
      <c r="E863" s="25">
        <v>9</v>
      </c>
      <c r="F863" s="23">
        <v>100</v>
      </c>
      <c r="G863" s="152" cm="1">
        <f t="array" ref="G863">SUM(E863/F863)</f>
        <v>0.09</v>
      </c>
      <c r="H863" s="15"/>
    </row>
    <row r="864" ht="13.65" customHeight="1">
      <c r="A864" s="28"/>
      <c r="B864" s="28"/>
      <c r="C864" s="27"/>
      <c r="D864" s="24"/>
      <c r="E864" s="27"/>
      <c r="F864" t="s" s="29">
        <v>118</v>
      </c>
      <c r="G864" s="197" cm="1">
        <f t="array" ref="G864">SUM(G852:G863)</f>
        <v>4.43786363636364</v>
      </c>
      <c r="H864" s="15"/>
    </row>
    <row r="865" ht="13.65" customHeight="1">
      <c r="A865" s="129"/>
      <c r="B865" s="129"/>
      <c r="C865" s="129"/>
      <c r="D865" s="129"/>
      <c r="E865" s="129"/>
      <c r="F865" s="31"/>
      <c r="G865" s="31"/>
      <c r="H865" s="3"/>
    </row>
    <row r="866" ht="11.7" customHeight="1">
      <c r="A866" t="s" s="167">
        <v>136</v>
      </c>
      <c r="B866" t="s" s="167">
        <v>281</v>
      </c>
      <c r="C866" t="s" s="167">
        <v>282</v>
      </c>
      <c r="D866" t="s" s="168">
        <v>283</v>
      </c>
      <c r="E866" s="169"/>
      <c r="F866" s="170"/>
      <c r="G866" s="171"/>
      <c r="H866" s="171"/>
    </row>
    <row r="867" ht="13.65" customHeight="1">
      <c r="A867" s="23">
        <v>25</v>
      </c>
      <c r="B867" s="172" cm="1">
        <f t="array" ref="B867">SUM(H256)</f>
        <v>2.47496540404041</v>
      </c>
      <c r="C867" s="172" cm="1">
        <f t="array" ref="C867">SUM(G864)</f>
        <v>4.43786363636364</v>
      </c>
      <c r="D867" s="199" cm="1">
        <f t="array" ref="D867">SUM(A867*B867)+(C867)</f>
        <v>66.3119987373739</v>
      </c>
      <c r="E867" s="200"/>
      <c r="F867" s="15"/>
      <c r="G867" s="3"/>
      <c r="H867" s="3"/>
    </row>
    <row r="868" ht="13.65" customHeight="1">
      <c r="A868" s="31"/>
      <c r="B868" s="31"/>
      <c r="C868" s="31"/>
      <c r="D868" s="31"/>
      <c r="E868" s="31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t="s" s="5">
        <v>419</v>
      </c>
      <c r="B870" s="3"/>
      <c r="C870" s="3"/>
      <c r="D870" s="3"/>
      <c r="E870" s="3"/>
      <c r="F870" s="3"/>
      <c r="G870" s="3"/>
      <c r="H870" s="3"/>
    </row>
    <row r="871" ht="13.65" customHeight="1">
      <c r="A871" s="11"/>
      <c r="B871" s="11"/>
      <c r="C871" s="11"/>
      <c r="D871" s="11"/>
      <c r="E871" s="11"/>
      <c r="F871" s="11"/>
      <c r="G871" s="11"/>
      <c r="H871" s="3"/>
    </row>
    <row r="872" ht="13.65" customHeight="1">
      <c r="A872" s="12"/>
      <c r="B872" s="12"/>
      <c r="C872" s="13"/>
      <c r="D872" s="14"/>
      <c r="E872" s="13"/>
      <c r="F872" s="13"/>
      <c r="G872" t="s" s="14">
        <v>252</v>
      </c>
      <c r="H872" s="150"/>
    </row>
    <row r="873" ht="13.65" customHeight="1">
      <c r="A873" t="s" s="16">
        <v>93</v>
      </c>
      <c r="B873" t="s" s="16">
        <v>94</v>
      </c>
      <c r="C873" t="s" s="16">
        <v>95</v>
      </c>
      <c r="D873" t="s" s="16">
        <v>96</v>
      </c>
      <c r="E873" t="s" s="16">
        <v>97</v>
      </c>
      <c r="F873" t="s" s="16">
        <v>98</v>
      </c>
      <c r="G873" t="s" s="16">
        <v>99</v>
      </c>
      <c r="H873" s="15"/>
    </row>
    <row r="874" ht="13.65" customHeight="1">
      <c r="A874" s="151"/>
      <c r="B874" s="151"/>
      <c r="C874" s="19"/>
      <c r="D874" s="20"/>
      <c r="E874" s="19"/>
      <c r="F874" s="19"/>
      <c r="G874" t="s" s="20">
        <v>100</v>
      </c>
      <c r="H874" s="15"/>
    </row>
    <row r="875" ht="13.65" customHeight="1">
      <c r="A875" s="21">
        <v>72</v>
      </c>
      <c r="B875" t="s" s="22">
        <v>101</v>
      </c>
      <c r="C875" s="23">
        <v>50</v>
      </c>
      <c r="D875" t="s" s="24">
        <v>102</v>
      </c>
      <c r="E875" s="25">
        <v>1.93</v>
      </c>
      <c r="F875" s="23">
        <v>25</v>
      </c>
      <c r="G875" s="152" cm="1">
        <f t="array" ref="G875">SUM(E875/F875)</f>
        <v>0.0772</v>
      </c>
      <c r="H875" s="15"/>
    </row>
    <row r="876" ht="13.65" customHeight="1">
      <c r="A876" s="21">
        <v>123</v>
      </c>
      <c r="B876" t="s" s="22">
        <v>103</v>
      </c>
      <c r="C876" s="23">
        <v>40</v>
      </c>
      <c r="D876" t="s" s="24">
        <v>104</v>
      </c>
      <c r="E876" s="25">
        <v>3.2</v>
      </c>
      <c r="F876" s="23">
        <v>40</v>
      </c>
      <c r="G876" s="152" cm="1">
        <f t="array" ref="G876">SUM(E876/F876)</f>
        <v>0.08</v>
      </c>
      <c r="H876" s="15"/>
    </row>
    <row r="877" ht="13.65" customHeight="1">
      <c r="A877" s="21">
        <v>117</v>
      </c>
      <c r="B877" t="s" s="22">
        <v>105</v>
      </c>
      <c r="C877" s="23">
        <v>100</v>
      </c>
      <c r="D877" t="s" s="24">
        <v>106</v>
      </c>
      <c r="E877" s="25">
        <v>1.2</v>
      </c>
      <c r="F877" s="23">
        <v>10</v>
      </c>
      <c r="G877" s="152" cm="1">
        <f t="array" ref="G877">SUM(E877/F877)</f>
        <v>0.12</v>
      </c>
      <c r="H877" s="15"/>
    </row>
    <row r="878" ht="13.65" customHeight="1">
      <c r="A878" s="21">
        <v>86</v>
      </c>
      <c r="B878" t="s" s="22">
        <v>107</v>
      </c>
      <c r="C878" t="s" s="24">
        <v>108</v>
      </c>
      <c r="D878" t="s" s="24">
        <v>102</v>
      </c>
      <c r="E878" s="25">
        <v>0.32</v>
      </c>
      <c r="F878" t="s" s="24">
        <v>387</v>
      </c>
      <c r="G878" s="152" cm="1">
        <f t="array" ref="G878">SUM(E878*2)</f>
        <v>0.64</v>
      </c>
      <c r="H878" s="15"/>
    </row>
    <row r="879" ht="13.65" customHeight="1">
      <c r="A879" s="21">
        <v>71</v>
      </c>
      <c r="B879" t="s" s="22">
        <v>109</v>
      </c>
      <c r="C879" s="23">
        <v>10</v>
      </c>
      <c r="D879" t="s" s="24">
        <v>102</v>
      </c>
      <c r="E879" s="25">
        <v>5.92</v>
      </c>
      <c r="F879" s="23">
        <v>5</v>
      </c>
      <c r="G879" s="152" cm="1">
        <f t="array" ref="G879">SUM(E879/F879)</f>
        <v>1.184</v>
      </c>
      <c r="H879" s="15"/>
    </row>
    <row r="880" ht="13.65" customHeight="1">
      <c r="A880" s="21">
        <v>87</v>
      </c>
      <c r="B880" t="s" s="22">
        <v>110</v>
      </c>
      <c r="C880" s="23">
        <v>50</v>
      </c>
      <c r="D880" t="s" s="24">
        <v>102</v>
      </c>
      <c r="E880" s="25">
        <v>9</v>
      </c>
      <c r="F880" s="23">
        <v>25</v>
      </c>
      <c r="G880" s="152" cm="1">
        <f t="array" ref="G880">SUM(E880/F880)</f>
        <v>0.36</v>
      </c>
      <c r="H880" s="15"/>
    </row>
    <row r="881" ht="13.65" customHeight="1">
      <c r="A881" s="21">
        <v>55</v>
      </c>
      <c r="B881" t="s" s="22">
        <v>111</v>
      </c>
      <c r="C881" t="s" s="24">
        <v>112</v>
      </c>
      <c r="D881" t="s" s="24">
        <v>113</v>
      </c>
      <c r="E881" s="25">
        <v>2.71</v>
      </c>
      <c r="F881" s="23">
        <v>75</v>
      </c>
      <c r="G881" s="152" cm="1">
        <f t="array" ref="G881">SUM(E881/F881)</f>
        <v>0.0361333333333333</v>
      </c>
      <c r="H881" s="15"/>
    </row>
    <row r="882" ht="13.65" customHeight="1">
      <c r="A882" s="21">
        <v>61</v>
      </c>
      <c r="B882" t="s" s="22">
        <v>388</v>
      </c>
      <c r="C882" t="s" s="24">
        <v>389</v>
      </c>
      <c r="D882" t="s" s="24">
        <v>390</v>
      </c>
      <c r="E882" s="25">
        <v>3</v>
      </c>
      <c r="F882" s="23">
        <v>10</v>
      </c>
      <c r="G882" s="152" cm="1">
        <f t="array" ref="G882">SUM(E882/F882)</f>
        <v>0.3</v>
      </c>
      <c r="H882" s="15"/>
    </row>
    <row r="883" ht="13.65" customHeight="1">
      <c r="A883" s="21">
        <v>92</v>
      </c>
      <c r="B883" t="s" s="22">
        <v>391</v>
      </c>
      <c r="C883" s="23">
        <v>100</v>
      </c>
      <c r="D883" t="s" s="24">
        <v>102</v>
      </c>
      <c r="E883" s="25">
        <v>72</v>
      </c>
      <c r="F883" s="23">
        <v>50</v>
      </c>
      <c r="G883" s="152" cm="1">
        <f t="array" ref="G883">SUM(E883/F883)</f>
        <v>1.44</v>
      </c>
      <c r="H883" s="15"/>
    </row>
    <row r="884" ht="13.65" customHeight="1">
      <c r="A884" s="28"/>
      <c r="B884" s="28"/>
      <c r="C884" s="27"/>
      <c r="D884" s="24"/>
      <c r="E884" s="27"/>
      <c r="F884" t="s" s="29">
        <v>118</v>
      </c>
      <c r="G884" s="197" cm="1">
        <f t="array" ref="G884">SUM(G875:G883)</f>
        <v>4.23733333333333</v>
      </c>
      <c r="H884" s="15"/>
    </row>
    <row r="885" ht="13.65" customHeight="1">
      <c r="A885" s="129"/>
      <c r="B885" s="129"/>
      <c r="C885" s="129"/>
      <c r="D885" s="129"/>
      <c r="E885" s="129"/>
      <c r="F885" s="31"/>
      <c r="G885" s="31"/>
      <c r="H885" s="3"/>
    </row>
    <row r="886" ht="11.7" customHeight="1">
      <c r="A886" t="s" s="167">
        <v>136</v>
      </c>
      <c r="B886" t="s" s="167">
        <v>281</v>
      </c>
      <c r="C886" t="s" s="167">
        <v>282</v>
      </c>
      <c r="D886" t="s" s="168">
        <v>283</v>
      </c>
      <c r="E886" s="169"/>
      <c r="F886" s="170"/>
      <c r="G886" s="171"/>
      <c r="H886" s="171"/>
    </row>
    <row r="887" ht="13.65" customHeight="1">
      <c r="A887" s="23">
        <v>25</v>
      </c>
      <c r="B887" s="172" cm="1">
        <f t="array" ref="B887">SUM(H256)</f>
        <v>2.47496540404041</v>
      </c>
      <c r="C887" s="172" cm="1">
        <f t="array" ref="C887">SUM(G884)</f>
        <v>4.23733333333333</v>
      </c>
      <c r="D887" s="199" cm="1">
        <f t="array" ref="D887">SUM(A887*B887)+(C887)</f>
        <v>66.11146843434361</v>
      </c>
      <c r="E887" s="200"/>
      <c r="F887" s="15"/>
      <c r="G887" s="3"/>
      <c r="H887" s="3"/>
    </row>
    <row r="888" ht="13.65" customHeight="1">
      <c r="A888" s="176"/>
      <c r="B888" s="176"/>
      <c r="C888" s="176"/>
      <c r="D888" s="176"/>
      <c r="E888" s="290"/>
      <c r="F888" s="3"/>
      <c r="G888" s="3"/>
      <c r="H888" s="3"/>
    </row>
    <row r="889" ht="13.65" customHeight="1">
      <c r="A889" t="s" s="5">
        <v>420</v>
      </c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t="s" s="145">
        <v>421</v>
      </c>
      <c r="B891" s="3"/>
      <c r="C891" s="3"/>
      <c r="D891" s="3"/>
      <c r="E891" s="3"/>
      <c r="F891" s="3"/>
      <c r="G891" s="3"/>
      <c r="H891" s="3"/>
    </row>
    <row r="892" ht="13.65" customHeight="1">
      <c r="A892" t="s" s="5">
        <v>422</v>
      </c>
      <c r="B892" s="3"/>
      <c r="C892" s="3"/>
      <c r="D892" s="3"/>
      <c r="E892" s="3"/>
      <c r="F892" s="3"/>
      <c r="G892" s="3"/>
      <c r="H892" s="3"/>
    </row>
    <row r="893" ht="13.65" customHeight="1">
      <c r="A893" s="203"/>
      <c r="B893" s="203"/>
      <c r="C893" s="203"/>
      <c r="D893" s="203"/>
      <c r="E893" s="203"/>
      <c r="F893" s="203"/>
      <c r="G893" s="203"/>
      <c r="H893" s="203"/>
    </row>
    <row r="894" ht="13.65" customHeight="1">
      <c r="A894" t="s" s="274">
        <v>185</v>
      </c>
      <c r="B894" s="275"/>
      <c r="C894" s="275"/>
      <c r="D894" s="275"/>
      <c r="E894" s="280"/>
      <c r="F894" s="275"/>
      <c r="G894" s="275"/>
      <c r="H894" s="277"/>
    </row>
    <row r="895" ht="13.65" customHeight="1">
      <c r="A895" s="278"/>
      <c r="B895" s="278"/>
      <c r="C895" s="278"/>
      <c r="D895" s="278"/>
      <c r="E895" s="278"/>
      <c r="F895" s="278"/>
      <c r="G895" s="278"/>
      <c r="H895" s="278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t="s" s="5">
        <v>423</v>
      </c>
      <c r="B897" s="3"/>
      <c r="C897" s="3"/>
      <c r="D897" s="3"/>
      <c r="E897" s="3"/>
      <c r="F897" s="3"/>
      <c r="G897" s="3"/>
      <c r="H897" s="3"/>
    </row>
    <row r="898" ht="13.65" customHeight="1">
      <c r="A898" s="11"/>
      <c r="B898" s="11"/>
      <c r="C898" s="11"/>
      <c r="D898" s="11"/>
      <c r="E898" s="11"/>
      <c r="F898" s="11"/>
      <c r="G898" s="11"/>
      <c r="H898" s="3"/>
    </row>
    <row r="899" ht="13.65" customHeight="1">
      <c r="A899" s="12"/>
      <c r="B899" s="12"/>
      <c r="C899" s="13"/>
      <c r="D899" s="14"/>
      <c r="E899" s="13"/>
      <c r="F899" s="13"/>
      <c r="G899" t="s" s="14">
        <v>252</v>
      </c>
      <c r="H899" s="150"/>
    </row>
    <row r="900" ht="13.65" customHeight="1">
      <c r="A900" t="s" s="16">
        <v>93</v>
      </c>
      <c r="B900" t="s" s="16">
        <v>94</v>
      </c>
      <c r="C900" t="s" s="16">
        <v>95</v>
      </c>
      <c r="D900" t="s" s="16">
        <v>96</v>
      </c>
      <c r="E900" t="s" s="16">
        <v>97</v>
      </c>
      <c r="F900" t="s" s="16">
        <v>98</v>
      </c>
      <c r="G900" t="s" s="16">
        <v>99</v>
      </c>
      <c r="H900" s="15"/>
    </row>
    <row r="901" ht="13.65" customHeight="1">
      <c r="A901" s="151"/>
      <c r="B901" s="151"/>
      <c r="C901" s="19"/>
      <c r="D901" s="20"/>
      <c r="E901" s="19"/>
      <c r="F901" s="19"/>
      <c r="G901" t="s" s="20">
        <v>100</v>
      </c>
      <c r="H901" s="15"/>
    </row>
    <row r="902" ht="13.65" customHeight="1">
      <c r="A902" s="21">
        <v>72</v>
      </c>
      <c r="B902" t="s" s="22">
        <v>101</v>
      </c>
      <c r="C902" s="23">
        <v>50</v>
      </c>
      <c r="D902" t="s" s="24">
        <v>102</v>
      </c>
      <c r="E902" s="25">
        <v>1.93</v>
      </c>
      <c r="F902" s="23">
        <v>25</v>
      </c>
      <c r="G902" s="152" cm="1">
        <f t="array" ref="G902">SUM(E902/F902)</f>
        <v>0.0772</v>
      </c>
      <c r="H902" s="15"/>
    </row>
    <row r="903" ht="13.65" customHeight="1">
      <c r="A903" s="21">
        <v>123</v>
      </c>
      <c r="B903" t="s" s="22">
        <v>103</v>
      </c>
      <c r="C903" s="23">
        <v>40</v>
      </c>
      <c r="D903" t="s" s="24">
        <v>104</v>
      </c>
      <c r="E903" s="25">
        <v>3.2</v>
      </c>
      <c r="F903" s="23">
        <v>40</v>
      </c>
      <c r="G903" s="152" cm="1">
        <f t="array" ref="G903">SUM(E903/F903)</f>
        <v>0.08</v>
      </c>
      <c r="H903" s="15"/>
    </row>
    <row r="904" ht="13.65" customHeight="1">
      <c r="A904" s="21">
        <v>57</v>
      </c>
      <c r="B904" t="s" s="22">
        <v>253</v>
      </c>
      <c r="C904" t="s" s="24">
        <v>254</v>
      </c>
      <c r="D904" t="s" s="24">
        <v>371</v>
      </c>
      <c r="E904" s="25">
        <v>4.5</v>
      </c>
      <c r="F904" s="23">
        <v>33</v>
      </c>
      <c r="G904" s="152" cm="1">
        <f t="array" ref="G904">SUM(E904/F904)</f>
        <v>0.136363636363636</v>
      </c>
      <c r="H904" s="15"/>
    </row>
    <row r="905" ht="13.65" customHeight="1">
      <c r="A905" s="21">
        <v>117</v>
      </c>
      <c r="B905" t="s" s="22">
        <v>105</v>
      </c>
      <c r="C905" s="23">
        <v>100</v>
      </c>
      <c r="D905" t="s" s="24">
        <v>261</v>
      </c>
      <c r="E905" s="25">
        <v>1.2</v>
      </c>
      <c r="F905" s="23">
        <v>5</v>
      </c>
      <c r="G905" s="152" cm="1">
        <f t="array" ref="G905">SUM(E905/F905)</f>
        <v>0.24</v>
      </c>
      <c r="H905" s="15"/>
    </row>
    <row r="906" ht="13.65" customHeight="1">
      <c r="A906" s="21">
        <v>86</v>
      </c>
      <c r="B906" t="s" s="22">
        <v>107</v>
      </c>
      <c r="C906" t="s" s="24">
        <v>108</v>
      </c>
      <c r="D906" t="s" s="24">
        <v>102</v>
      </c>
      <c r="E906" s="25">
        <v>0.32</v>
      </c>
      <c r="F906" t="s" s="24">
        <v>387</v>
      </c>
      <c r="G906" s="152" cm="1">
        <f t="array" ref="G906">SUM(E906*2)</f>
        <v>0.64</v>
      </c>
      <c r="H906" s="15"/>
    </row>
    <row r="907" ht="13.65" customHeight="1">
      <c r="A907" s="21">
        <v>71</v>
      </c>
      <c r="B907" t="s" s="22">
        <v>109</v>
      </c>
      <c r="C907" s="23">
        <v>10</v>
      </c>
      <c r="D907" t="s" s="24">
        <v>102</v>
      </c>
      <c r="E907" s="25">
        <v>5.92</v>
      </c>
      <c r="F907" s="23">
        <v>5</v>
      </c>
      <c r="G907" s="152" cm="1">
        <f t="array" ref="G907">SUM(E907/F907)</f>
        <v>1.184</v>
      </c>
      <c r="H907" s="15"/>
    </row>
    <row r="908" ht="13.65" customHeight="1">
      <c r="A908" s="21">
        <v>87</v>
      </c>
      <c r="B908" t="s" s="22">
        <v>110</v>
      </c>
      <c r="C908" s="23">
        <v>50</v>
      </c>
      <c r="D908" t="s" s="24">
        <v>102</v>
      </c>
      <c r="E908" s="25">
        <v>9</v>
      </c>
      <c r="F908" s="23">
        <v>25</v>
      </c>
      <c r="G908" s="152" cm="1">
        <f t="array" ref="G908">SUM(E908/F908)</f>
        <v>0.36</v>
      </c>
      <c r="H908" s="15"/>
    </row>
    <row r="909" ht="13.65" customHeight="1">
      <c r="A909" s="21">
        <v>55</v>
      </c>
      <c r="B909" t="s" s="22">
        <v>111</v>
      </c>
      <c r="C909" t="s" s="24">
        <v>112</v>
      </c>
      <c r="D909" t="s" s="24">
        <v>113</v>
      </c>
      <c r="E909" s="25">
        <v>2.71</v>
      </c>
      <c r="F909" s="23">
        <v>75</v>
      </c>
      <c r="G909" s="152" cm="1">
        <f t="array" ref="G909">SUM(E909/F909)</f>
        <v>0.0361333333333333</v>
      </c>
      <c r="H909" s="15"/>
    </row>
    <row r="910" ht="13.65" customHeight="1">
      <c r="A910" s="21">
        <v>88</v>
      </c>
      <c r="B910" t="s" s="22">
        <v>117</v>
      </c>
      <c r="C910" s="27"/>
      <c r="D910" t="s" s="24">
        <v>102</v>
      </c>
      <c r="E910" s="25">
        <v>0.75</v>
      </c>
      <c r="F910" t="s" s="24">
        <v>387</v>
      </c>
      <c r="G910" s="152" cm="1">
        <f t="array" ref="G910">SUM(E910*2)</f>
        <v>1.5</v>
      </c>
      <c r="H910" s="15"/>
    </row>
    <row r="911" ht="13.65" customHeight="1">
      <c r="A911" s="21">
        <v>124</v>
      </c>
      <c r="B911" t="s" s="22">
        <v>372</v>
      </c>
      <c r="C911" s="23">
        <v>1</v>
      </c>
      <c r="D911" t="s" s="24">
        <v>373</v>
      </c>
      <c r="E911" s="25">
        <v>2.2</v>
      </c>
      <c r="F911" s="23">
        <v>15</v>
      </c>
      <c r="G911" s="152" cm="1">
        <f t="array" ref="G911">SUM(E911/F911)</f>
        <v>0.146666666666667</v>
      </c>
      <c r="H911" s="15"/>
    </row>
    <row r="912" ht="13.65" customHeight="1">
      <c r="A912" s="21">
        <v>101</v>
      </c>
      <c r="B912" t="s" s="22">
        <v>407</v>
      </c>
      <c r="C912" t="s" s="24">
        <v>380</v>
      </c>
      <c r="D912" t="s" s="24">
        <v>424</v>
      </c>
      <c r="E912" s="25">
        <v>7.5</v>
      </c>
      <c r="F912" s="23">
        <v>100</v>
      </c>
      <c r="G912" s="152" cm="1">
        <f t="array" ref="G912">SUM(E912/F912)</f>
        <v>0.075</v>
      </c>
      <c r="H912" s="15"/>
    </row>
    <row r="913" ht="13.65" customHeight="1">
      <c r="A913" s="21">
        <v>75</v>
      </c>
      <c r="B913" t="s" s="22">
        <v>425</v>
      </c>
      <c r="C913" t="s" s="24">
        <v>426</v>
      </c>
      <c r="D913" t="s" s="24">
        <v>427</v>
      </c>
      <c r="E913" s="25">
        <v>42</v>
      </c>
      <c r="F913" s="23">
        <v>20</v>
      </c>
      <c r="G913" s="152" cm="1">
        <f t="array" ref="G913">SUM(E913/F913)</f>
        <v>2.1</v>
      </c>
      <c r="H913" s="15"/>
    </row>
    <row r="914" ht="13.65" customHeight="1">
      <c r="A914" s="21">
        <v>106</v>
      </c>
      <c r="B914" t="s" s="22">
        <v>428</v>
      </c>
      <c r="C914" s="23">
        <v>20</v>
      </c>
      <c r="D914" t="s" s="24">
        <v>104</v>
      </c>
      <c r="E914" s="25">
        <v>41.91</v>
      </c>
      <c r="F914" s="23">
        <v>20</v>
      </c>
      <c r="G914" s="152" cm="1">
        <f t="array" ref="G914">SUM(E914/F914)</f>
        <v>2.0955</v>
      </c>
      <c r="H914" s="15"/>
    </row>
    <row r="915" ht="13.65" customHeight="1">
      <c r="A915" s="21">
        <v>19</v>
      </c>
      <c r="B915" t="s" s="22">
        <v>414</v>
      </c>
      <c r="C915" s="23">
        <v>1</v>
      </c>
      <c r="D915" t="s" s="24">
        <v>116</v>
      </c>
      <c r="E915" s="25">
        <v>5.2</v>
      </c>
      <c r="F915" s="23">
        <v>10</v>
      </c>
      <c r="G915" s="152" cm="1">
        <f t="array" ref="G915">SUM(E915/F915)</f>
        <v>0.52</v>
      </c>
      <c r="H915" s="15"/>
    </row>
    <row r="916" ht="13.65" customHeight="1">
      <c r="A916" s="28"/>
      <c r="B916" s="28"/>
      <c r="C916" s="27"/>
      <c r="D916" s="24"/>
      <c r="E916" s="27"/>
      <c r="F916" t="s" s="29">
        <v>118</v>
      </c>
      <c r="G916" s="197" cm="1">
        <f t="array" ref="G916">SUM(G902:G915)</f>
        <v>9.190863636363639</v>
      </c>
      <c r="H916" s="15"/>
    </row>
    <row r="917" ht="13.65" customHeight="1">
      <c r="A917" s="129"/>
      <c r="B917" s="129"/>
      <c r="C917" s="129"/>
      <c r="D917" s="129"/>
      <c r="E917" s="129"/>
      <c r="F917" s="31"/>
      <c r="G917" s="31"/>
      <c r="H917" s="3"/>
    </row>
    <row r="918" ht="11.7" customHeight="1">
      <c r="A918" t="s" s="167">
        <v>136</v>
      </c>
      <c r="B918" t="s" s="167">
        <v>281</v>
      </c>
      <c r="C918" t="s" s="167">
        <v>282</v>
      </c>
      <c r="D918" t="s" s="168">
        <v>283</v>
      </c>
      <c r="E918" s="169"/>
      <c r="F918" s="170"/>
      <c r="G918" s="171"/>
      <c r="H918" s="171"/>
    </row>
    <row r="919" ht="13.65" customHeight="1">
      <c r="A919" s="23">
        <v>50</v>
      </c>
      <c r="B919" s="172" cm="1">
        <f t="array" ref="B919">SUM(H256)</f>
        <v>2.47496540404041</v>
      </c>
      <c r="C919" s="281" cm="1">
        <f t="array" ref="C919">SUM(G916)</f>
        <v>9.190863636363639</v>
      </c>
      <c r="D919" s="199" cm="1">
        <f t="array" ref="D919">SUM(A919*B919)+(C919)</f>
        <v>132.939133838384</v>
      </c>
      <c r="E919" s="200"/>
      <c r="F919" s="15"/>
      <c r="G919" s="3"/>
      <c r="H919" s="3"/>
    </row>
    <row r="920" ht="13.65" customHeight="1">
      <c r="A920" s="31"/>
      <c r="B920" s="31"/>
      <c r="C920" s="31"/>
      <c r="D920" s="31"/>
      <c r="E920" s="31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t="s" s="5">
        <v>429</v>
      </c>
      <c r="B922" s="3"/>
      <c r="C922" s="3"/>
      <c r="D922" s="3"/>
      <c r="E922" s="3"/>
      <c r="F922" s="3"/>
      <c r="G922" s="3"/>
      <c r="H922" s="3"/>
    </row>
    <row r="923" ht="13.65" customHeight="1">
      <c r="A923" s="11"/>
      <c r="B923" s="11"/>
      <c r="C923" s="11"/>
      <c r="D923" s="11"/>
      <c r="E923" s="11"/>
      <c r="F923" s="11"/>
      <c r="G923" s="11"/>
      <c r="H923" s="3"/>
    </row>
    <row r="924" ht="13.65" customHeight="1">
      <c r="A924" s="12"/>
      <c r="B924" s="12"/>
      <c r="C924" s="13"/>
      <c r="D924" s="14"/>
      <c r="E924" s="13"/>
      <c r="F924" s="13"/>
      <c r="G924" t="s" s="14">
        <v>252</v>
      </c>
      <c r="H924" s="150"/>
    </row>
    <row r="925" ht="13.65" customHeight="1">
      <c r="A925" t="s" s="16">
        <v>93</v>
      </c>
      <c r="B925" t="s" s="16">
        <v>94</v>
      </c>
      <c r="C925" t="s" s="16">
        <v>95</v>
      </c>
      <c r="D925" t="s" s="16">
        <v>96</v>
      </c>
      <c r="E925" t="s" s="16">
        <v>97</v>
      </c>
      <c r="F925" t="s" s="16">
        <v>98</v>
      </c>
      <c r="G925" t="s" s="16">
        <v>99</v>
      </c>
      <c r="H925" s="15"/>
    </row>
    <row r="926" ht="13.65" customHeight="1">
      <c r="A926" s="151"/>
      <c r="B926" s="151"/>
      <c r="C926" s="19"/>
      <c r="D926" s="20"/>
      <c r="E926" s="19"/>
      <c r="F926" s="19"/>
      <c r="G926" t="s" s="20">
        <v>100</v>
      </c>
      <c r="H926" s="15"/>
    </row>
    <row r="927" ht="13.65" customHeight="1">
      <c r="A927" s="21">
        <v>72</v>
      </c>
      <c r="B927" t="s" s="22">
        <v>101</v>
      </c>
      <c r="C927" s="23">
        <v>50</v>
      </c>
      <c r="D927" t="s" s="24">
        <v>102</v>
      </c>
      <c r="E927" s="25">
        <v>1.93</v>
      </c>
      <c r="F927" s="23">
        <v>25</v>
      </c>
      <c r="G927" s="152" cm="1">
        <f t="array" ref="G927">SUM(E927/F927)</f>
        <v>0.0772</v>
      </c>
      <c r="H927" s="15"/>
    </row>
    <row r="928" ht="13.65" customHeight="1">
      <c r="A928" s="21">
        <v>123</v>
      </c>
      <c r="B928" t="s" s="22">
        <v>103</v>
      </c>
      <c r="C928" s="23">
        <v>40</v>
      </c>
      <c r="D928" t="s" s="24">
        <v>104</v>
      </c>
      <c r="E928" s="25">
        <v>3.2</v>
      </c>
      <c r="F928" s="23">
        <v>40</v>
      </c>
      <c r="G928" s="152" cm="1">
        <f t="array" ref="G928">SUM(E928/F928)</f>
        <v>0.08</v>
      </c>
      <c r="H928" s="15"/>
    </row>
    <row r="929" ht="13.65" customHeight="1">
      <c r="A929" s="21">
        <v>57</v>
      </c>
      <c r="B929" t="s" s="22">
        <v>253</v>
      </c>
      <c r="C929" t="s" s="24">
        <v>254</v>
      </c>
      <c r="D929" t="s" s="24">
        <v>371</v>
      </c>
      <c r="E929" s="25">
        <v>4.5</v>
      </c>
      <c r="F929" s="23">
        <v>33</v>
      </c>
      <c r="G929" s="152" cm="1">
        <f t="array" ref="G929">SUM(E929/F929)</f>
        <v>0.136363636363636</v>
      </c>
      <c r="H929" s="15"/>
    </row>
    <row r="930" ht="13.65" customHeight="1">
      <c r="A930" s="21">
        <v>117</v>
      </c>
      <c r="B930" t="s" s="22">
        <v>105</v>
      </c>
      <c r="C930" s="23">
        <v>100</v>
      </c>
      <c r="D930" t="s" s="24">
        <v>261</v>
      </c>
      <c r="E930" s="25">
        <v>1.2</v>
      </c>
      <c r="F930" s="23">
        <v>5</v>
      </c>
      <c r="G930" s="152" cm="1">
        <f t="array" ref="G930">SUM(E930/F930)</f>
        <v>0.24</v>
      </c>
      <c r="H930" s="15"/>
    </row>
    <row r="931" ht="13.65" customHeight="1">
      <c r="A931" s="21">
        <v>86</v>
      </c>
      <c r="B931" t="s" s="22">
        <v>107</v>
      </c>
      <c r="C931" t="s" s="24">
        <v>108</v>
      </c>
      <c r="D931" t="s" s="24">
        <v>102</v>
      </c>
      <c r="E931" s="25">
        <v>0.32</v>
      </c>
      <c r="F931" t="s" s="24">
        <v>387</v>
      </c>
      <c r="G931" s="152" cm="1">
        <f t="array" ref="G931">SUM(E931*2)</f>
        <v>0.64</v>
      </c>
      <c r="H931" s="15"/>
    </row>
    <row r="932" ht="13.65" customHeight="1">
      <c r="A932" s="21">
        <v>71</v>
      </c>
      <c r="B932" t="s" s="22">
        <v>109</v>
      </c>
      <c r="C932" s="23">
        <v>10</v>
      </c>
      <c r="D932" t="s" s="24">
        <v>102</v>
      </c>
      <c r="E932" s="25">
        <v>5.92</v>
      </c>
      <c r="F932" s="23">
        <v>5</v>
      </c>
      <c r="G932" s="152" cm="1">
        <f t="array" ref="G932">SUM(E932/F932)</f>
        <v>1.184</v>
      </c>
      <c r="H932" s="15"/>
    </row>
    <row r="933" ht="13.65" customHeight="1">
      <c r="A933" s="21">
        <v>87</v>
      </c>
      <c r="B933" t="s" s="22">
        <v>110</v>
      </c>
      <c r="C933" s="23">
        <v>50</v>
      </c>
      <c r="D933" t="s" s="24">
        <v>102</v>
      </c>
      <c r="E933" s="25">
        <v>9</v>
      </c>
      <c r="F933" s="23">
        <v>25</v>
      </c>
      <c r="G933" s="152" cm="1">
        <f t="array" ref="G933">SUM(E933/F933)</f>
        <v>0.36</v>
      </c>
      <c r="H933" s="15"/>
    </row>
    <row r="934" ht="13.65" customHeight="1">
      <c r="A934" s="21">
        <v>55</v>
      </c>
      <c r="B934" t="s" s="22">
        <v>111</v>
      </c>
      <c r="C934" t="s" s="24">
        <v>112</v>
      </c>
      <c r="D934" t="s" s="24">
        <v>113</v>
      </c>
      <c r="E934" s="25">
        <v>2.71</v>
      </c>
      <c r="F934" s="23">
        <v>75</v>
      </c>
      <c r="G934" s="152" cm="1">
        <f t="array" ref="G934">SUM(E934/F934)</f>
        <v>0.0361333333333333</v>
      </c>
      <c r="H934" s="15"/>
    </row>
    <row r="935" ht="13.65" customHeight="1">
      <c r="A935" s="21">
        <v>88</v>
      </c>
      <c r="B935" t="s" s="22">
        <v>430</v>
      </c>
      <c r="C935" s="27"/>
      <c r="D935" t="s" s="24">
        <v>102</v>
      </c>
      <c r="E935" s="25">
        <v>0.75</v>
      </c>
      <c r="F935" t="s" s="24">
        <v>387</v>
      </c>
      <c r="G935" s="152" cm="1">
        <f t="array" ref="G935">SUM(E935*2)</f>
        <v>1.5</v>
      </c>
      <c r="H935" s="15"/>
    </row>
    <row r="936" ht="13.65" customHeight="1">
      <c r="A936" s="21">
        <v>124</v>
      </c>
      <c r="B936" t="s" s="22">
        <v>372</v>
      </c>
      <c r="C936" s="23">
        <v>1</v>
      </c>
      <c r="D936" t="s" s="24">
        <v>373</v>
      </c>
      <c r="E936" s="25">
        <v>2.2</v>
      </c>
      <c r="F936" s="23">
        <v>15</v>
      </c>
      <c r="G936" s="152" cm="1">
        <f t="array" ref="G936">SUM(E936/F936)</f>
        <v>0.146666666666667</v>
      </c>
      <c r="H936" s="15"/>
    </row>
    <row r="937" ht="13.65" customHeight="1">
      <c r="A937" s="21">
        <v>32</v>
      </c>
      <c r="B937" t="s" s="22">
        <v>431</v>
      </c>
      <c r="C937" t="s" s="24">
        <v>432</v>
      </c>
      <c r="D937" t="s" s="24">
        <v>433</v>
      </c>
      <c r="E937" s="25">
        <v>31</v>
      </c>
      <c r="F937" s="23">
        <v>9</v>
      </c>
      <c r="G937" s="152" cm="1">
        <f t="array" ref="G937">SUM(E937/F937)</f>
        <v>3.44444444444444</v>
      </c>
      <c r="H937" s="15"/>
    </row>
    <row r="938" ht="13.65" customHeight="1">
      <c r="A938" s="28"/>
      <c r="B938" s="28"/>
      <c r="C938" t="s" s="24">
        <v>390</v>
      </c>
      <c r="D938" t="s" s="24">
        <v>427</v>
      </c>
      <c r="E938" s="25">
        <v>14</v>
      </c>
      <c r="F938" s="23">
        <v>20</v>
      </c>
      <c r="G938" s="152" cm="1">
        <f t="array" ref="G938">SUM(E938/F938)</f>
        <v>0.7</v>
      </c>
      <c r="H938" s="15"/>
    </row>
    <row r="939" ht="13.65" customHeight="1">
      <c r="A939" s="21">
        <v>19</v>
      </c>
      <c r="B939" t="s" s="22">
        <v>414</v>
      </c>
      <c r="C939" s="23">
        <v>1</v>
      </c>
      <c r="D939" t="s" s="24">
        <v>116</v>
      </c>
      <c r="E939" s="25">
        <v>5.2</v>
      </c>
      <c r="F939" s="23">
        <v>10</v>
      </c>
      <c r="G939" s="152" cm="1">
        <f t="array" ref="G939">SUM(E939/F939)</f>
        <v>0.52</v>
      </c>
      <c r="H939" s="15"/>
    </row>
    <row r="940" ht="13.65" customHeight="1">
      <c r="A940" s="28"/>
      <c r="B940" s="28"/>
      <c r="C940" s="27"/>
      <c r="D940" s="24"/>
      <c r="E940" s="27"/>
      <c r="F940" t="s" s="29">
        <v>118</v>
      </c>
      <c r="G940" s="197" cm="1">
        <f t="array" ref="G940">SUM(G927:G939)</f>
        <v>9.06480808080808</v>
      </c>
      <c r="H940" s="15"/>
    </row>
    <row r="941" ht="13.65" customHeight="1">
      <c r="A941" s="129"/>
      <c r="B941" s="129"/>
      <c r="C941" s="129"/>
      <c r="D941" s="129"/>
      <c r="E941" s="129"/>
      <c r="F941" s="31"/>
      <c r="G941" s="31"/>
      <c r="H941" s="3"/>
    </row>
    <row r="942" ht="11.7" customHeight="1">
      <c r="A942" t="s" s="167">
        <v>136</v>
      </c>
      <c r="B942" t="s" s="167">
        <v>281</v>
      </c>
      <c r="C942" t="s" s="167">
        <v>282</v>
      </c>
      <c r="D942" t="s" s="168">
        <v>283</v>
      </c>
      <c r="E942" s="169"/>
      <c r="F942" s="170"/>
      <c r="G942" s="171"/>
      <c r="H942" s="171"/>
    </row>
    <row r="943" ht="13.65" customHeight="1">
      <c r="A943" s="23">
        <v>50</v>
      </c>
      <c r="B943" s="172" cm="1">
        <f t="array" ref="B943">SUM(H256)</f>
        <v>2.47496540404041</v>
      </c>
      <c r="C943" s="281" cm="1">
        <f t="array" ref="C943">SUM(G940)</f>
        <v>9.06480808080808</v>
      </c>
      <c r="D943" s="199" cm="1">
        <f t="array" ref="D943">SUM(A943*B943)+(C943)</f>
        <v>132.813078282829</v>
      </c>
      <c r="E943" s="200"/>
      <c r="F943" s="15"/>
      <c r="G943" s="3"/>
      <c r="H943" s="3"/>
    </row>
    <row r="944" ht="13.65" customHeight="1">
      <c r="A944" s="289"/>
      <c r="B944" s="289"/>
      <c r="C944" s="289"/>
      <c r="D944" s="289"/>
      <c r="E944" s="289"/>
      <c r="F944" s="203"/>
      <c r="G944" s="203"/>
      <c r="H944" s="203"/>
    </row>
    <row r="945" ht="13.65" customHeight="1">
      <c r="A945" t="s" s="274">
        <v>185</v>
      </c>
      <c r="B945" s="275"/>
      <c r="C945" s="275"/>
      <c r="D945" s="275"/>
      <c r="E945" s="280"/>
      <c r="F945" s="275"/>
      <c r="G945" s="275"/>
      <c r="H945" s="277"/>
    </row>
    <row r="946" ht="13.65" customHeight="1">
      <c r="A946" s="278"/>
      <c r="B946" s="278"/>
      <c r="C946" s="278"/>
      <c r="D946" s="278"/>
      <c r="E946" s="278"/>
      <c r="F946" s="278"/>
      <c r="G946" s="278"/>
      <c r="H946" s="278"/>
    </row>
    <row r="947" ht="13.65" customHeight="1">
      <c r="A947" t="s" s="5">
        <v>434</v>
      </c>
      <c r="B947" s="3"/>
      <c r="C947" s="3"/>
      <c r="D947" s="3"/>
      <c r="E947" s="3"/>
      <c r="F947" s="3"/>
      <c r="G947" s="3"/>
      <c r="H947" s="3"/>
    </row>
    <row r="948" ht="13.65" customHeight="1">
      <c r="A948" s="11"/>
      <c r="B948" s="11"/>
      <c r="C948" s="11"/>
      <c r="D948" s="11"/>
      <c r="E948" s="11"/>
      <c r="F948" s="11"/>
      <c r="G948" s="11"/>
      <c r="H948" s="3"/>
    </row>
    <row r="949" ht="13.65" customHeight="1">
      <c r="A949" s="12"/>
      <c r="B949" s="12"/>
      <c r="C949" s="13"/>
      <c r="D949" s="14"/>
      <c r="E949" s="13"/>
      <c r="F949" s="13"/>
      <c r="G949" t="s" s="14">
        <v>252</v>
      </c>
      <c r="H949" s="150"/>
    </row>
    <row r="950" ht="13.65" customHeight="1">
      <c r="A950" t="s" s="16">
        <v>93</v>
      </c>
      <c r="B950" t="s" s="16">
        <v>94</v>
      </c>
      <c r="C950" t="s" s="16">
        <v>95</v>
      </c>
      <c r="D950" t="s" s="16">
        <v>96</v>
      </c>
      <c r="E950" t="s" s="16">
        <v>97</v>
      </c>
      <c r="F950" t="s" s="16">
        <v>98</v>
      </c>
      <c r="G950" t="s" s="16">
        <v>99</v>
      </c>
      <c r="H950" s="15"/>
    </row>
    <row r="951" ht="13.65" customHeight="1">
      <c r="A951" s="151"/>
      <c r="B951" s="151"/>
      <c r="C951" s="19"/>
      <c r="D951" s="20"/>
      <c r="E951" s="19"/>
      <c r="F951" s="19"/>
      <c r="G951" t="s" s="20">
        <v>100</v>
      </c>
      <c r="H951" s="15"/>
    </row>
    <row r="952" ht="13.65" customHeight="1">
      <c r="A952" s="21">
        <v>72</v>
      </c>
      <c r="B952" t="s" s="22">
        <v>101</v>
      </c>
      <c r="C952" s="23">
        <v>50</v>
      </c>
      <c r="D952" t="s" s="24">
        <v>102</v>
      </c>
      <c r="E952" s="25">
        <v>1.93</v>
      </c>
      <c r="F952" s="23">
        <v>25</v>
      </c>
      <c r="G952" s="152" cm="1">
        <f t="array" ref="G952">SUM(E952/F952)</f>
        <v>0.0772</v>
      </c>
      <c r="H952" s="15"/>
    </row>
    <row r="953" ht="13.65" customHeight="1">
      <c r="A953" s="21">
        <v>123</v>
      </c>
      <c r="B953" t="s" s="22">
        <v>103</v>
      </c>
      <c r="C953" s="23">
        <v>40</v>
      </c>
      <c r="D953" t="s" s="24">
        <v>104</v>
      </c>
      <c r="E953" s="25">
        <v>3.2</v>
      </c>
      <c r="F953" s="23">
        <v>40</v>
      </c>
      <c r="G953" s="152" cm="1">
        <f t="array" ref="G953">SUM(E953/F953)</f>
        <v>0.08</v>
      </c>
      <c r="H953" s="15"/>
    </row>
    <row r="954" ht="13.65" customHeight="1">
      <c r="A954" s="21">
        <v>86</v>
      </c>
      <c r="B954" t="s" s="22">
        <v>107</v>
      </c>
      <c r="C954" t="s" s="24">
        <v>108</v>
      </c>
      <c r="D954" t="s" s="24">
        <v>102</v>
      </c>
      <c r="E954" s="25">
        <v>0.32</v>
      </c>
      <c r="F954" t="s" s="24">
        <v>387</v>
      </c>
      <c r="G954" s="152" cm="1">
        <f t="array" ref="G954">SUM(E954*2)</f>
        <v>0.64</v>
      </c>
      <c r="H954" s="15"/>
    </row>
    <row r="955" ht="13.65" customHeight="1">
      <c r="A955" s="21">
        <v>71</v>
      </c>
      <c r="B955" t="s" s="22">
        <v>109</v>
      </c>
      <c r="C955" s="23">
        <v>10</v>
      </c>
      <c r="D955" t="s" s="24">
        <v>102</v>
      </c>
      <c r="E955" s="25">
        <v>5.92</v>
      </c>
      <c r="F955" s="23">
        <v>5</v>
      </c>
      <c r="G955" s="152" cm="1">
        <f t="array" ref="G955">SUM(E955/F955)</f>
        <v>1.184</v>
      </c>
      <c r="H955" s="15"/>
    </row>
    <row r="956" ht="13.65" customHeight="1">
      <c r="A956" s="21">
        <v>87</v>
      </c>
      <c r="B956" t="s" s="22">
        <v>110</v>
      </c>
      <c r="C956" s="23">
        <v>50</v>
      </c>
      <c r="D956" t="s" s="24">
        <v>102</v>
      </c>
      <c r="E956" s="25">
        <v>9</v>
      </c>
      <c r="F956" s="23">
        <v>25</v>
      </c>
      <c r="G956" s="152" cm="1">
        <f t="array" ref="G956">SUM(E956/F956)</f>
        <v>0.36</v>
      </c>
      <c r="H956" s="15"/>
    </row>
    <row r="957" ht="13.65" customHeight="1">
      <c r="A957" s="21">
        <v>55</v>
      </c>
      <c r="B957" t="s" s="22">
        <v>111</v>
      </c>
      <c r="C957" t="s" s="24">
        <v>112</v>
      </c>
      <c r="D957" t="s" s="24">
        <v>113</v>
      </c>
      <c r="E957" s="25">
        <v>2.71</v>
      </c>
      <c r="F957" s="23">
        <v>75</v>
      </c>
      <c r="G957" s="152" cm="1">
        <f t="array" ref="G957">SUM(E957/F957)</f>
        <v>0.0361333333333333</v>
      </c>
      <c r="H957" s="15"/>
    </row>
    <row r="958" ht="13.65" customHeight="1">
      <c r="A958" s="21">
        <v>24</v>
      </c>
      <c r="B958" t="s" s="22">
        <v>406</v>
      </c>
      <c r="C958" s="23">
        <v>10</v>
      </c>
      <c r="D958" t="s" s="24">
        <v>116</v>
      </c>
      <c r="E958" s="25">
        <v>9.6</v>
      </c>
      <c r="F958" s="23">
        <v>10</v>
      </c>
      <c r="G958" s="152" cm="1">
        <f t="array" ref="G958">SUM(E958/F958)</f>
        <v>0.96</v>
      </c>
      <c r="H958" s="15"/>
    </row>
    <row r="959" ht="13.65" customHeight="1">
      <c r="A959" s="21">
        <v>88</v>
      </c>
      <c r="B959" t="s" s="22">
        <v>117</v>
      </c>
      <c r="C959" s="27"/>
      <c r="D959" t="s" s="24">
        <v>102</v>
      </c>
      <c r="E959" s="25">
        <v>0.75</v>
      </c>
      <c r="F959" t="s" s="24">
        <v>387</v>
      </c>
      <c r="G959" s="152" cm="1">
        <f t="array" ref="G959">SUM(E959*2)</f>
        <v>1.5</v>
      </c>
      <c r="H959" s="15"/>
    </row>
    <row r="960" ht="13.65" customHeight="1">
      <c r="A960" s="21">
        <v>10</v>
      </c>
      <c r="B960" t="s" s="22">
        <v>395</v>
      </c>
      <c r="C960" t="s" s="24">
        <v>396</v>
      </c>
      <c r="D960" t="s" s="24">
        <v>373</v>
      </c>
      <c r="E960" s="25">
        <v>3.92</v>
      </c>
      <c r="F960" s="23">
        <v>50</v>
      </c>
      <c r="G960" s="152" cm="1">
        <f t="array" ref="G960">SUM(E960/F960)</f>
        <v>0.0784</v>
      </c>
      <c r="H960" s="15"/>
    </row>
    <row r="961" ht="13.65" customHeight="1">
      <c r="A961" s="21">
        <v>9</v>
      </c>
      <c r="B961" t="s" s="22">
        <v>398</v>
      </c>
      <c r="C961" t="s" s="24">
        <v>435</v>
      </c>
      <c r="D961" t="s" s="24">
        <v>104</v>
      </c>
      <c r="E961" s="25">
        <v>14</v>
      </c>
      <c r="F961" s="23">
        <v>50</v>
      </c>
      <c r="G961" s="152" cm="1">
        <f t="array" ref="G961">SUM(E961/F961)</f>
        <v>0.28</v>
      </c>
      <c r="H961" s="15"/>
    </row>
    <row r="962" ht="13.65" customHeight="1">
      <c r="A962" s="21">
        <v>6</v>
      </c>
      <c r="B962" t="s" s="22">
        <v>399</v>
      </c>
      <c r="C962" t="s" s="24">
        <v>436</v>
      </c>
      <c r="D962" t="s" s="24">
        <v>104</v>
      </c>
      <c r="E962" s="25">
        <v>19</v>
      </c>
      <c r="F962" s="23">
        <v>100</v>
      </c>
      <c r="G962" s="152" cm="1">
        <f t="array" ref="G962">SUM(E962/F962)</f>
        <v>0.19</v>
      </c>
      <c r="H962" s="15"/>
    </row>
    <row r="963" ht="13.65" customHeight="1">
      <c r="A963" s="21">
        <v>124</v>
      </c>
      <c r="B963" t="s" s="22">
        <v>372</v>
      </c>
      <c r="C963" s="23">
        <v>1</v>
      </c>
      <c r="D963" t="s" s="24">
        <v>373</v>
      </c>
      <c r="E963" s="25">
        <v>2.2</v>
      </c>
      <c r="F963" s="23">
        <v>15</v>
      </c>
      <c r="G963" s="152" cm="1">
        <f t="array" ref="G963">SUM(E963/F963)</f>
        <v>0.146666666666667</v>
      </c>
      <c r="H963" s="15"/>
    </row>
    <row r="964" ht="13.65" customHeight="1">
      <c r="A964" s="21">
        <v>19</v>
      </c>
      <c r="B964" t="s" s="22">
        <v>437</v>
      </c>
      <c r="C964" s="23">
        <v>1</v>
      </c>
      <c r="D964" t="s" s="24">
        <v>116</v>
      </c>
      <c r="E964" s="25">
        <v>5.2</v>
      </c>
      <c r="F964" s="23">
        <v>10</v>
      </c>
      <c r="G964" s="152" cm="1">
        <f t="array" ref="G964">SUM(E964/F964)</f>
        <v>0.52</v>
      </c>
      <c r="H964" s="15"/>
    </row>
    <row r="965" ht="13.65" customHeight="1">
      <c r="A965" s="21">
        <v>108</v>
      </c>
      <c r="B965" t="s" s="22">
        <v>438</v>
      </c>
      <c r="C965" s="23">
        <v>1</v>
      </c>
      <c r="D965" t="s" s="24">
        <v>373</v>
      </c>
      <c r="E965" s="25">
        <v>12.53</v>
      </c>
      <c r="F965" s="23">
        <v>15</v>
      </c>
      <c r="G965" s="152" cm="1">
        <f t="array" ref="G965">SUM(E965/F965)</f>
        <v>0.835333333333333</v>
      </c>
      <c r="H965" s="15"/>
    </row>
    <row r="966" ht="13.65" customHeight="1">
      <c r="A966" s="21">
        <v>79</v>
      </c>
      <c r="B966" t="s" s="22">
        <v>439</v>
      </c>
      <c r="C966" s="23">
        <v>20</v>
      </c>
      <c r="D966" t="s" s="24">
        <v>104</v>
      </c>
      <c r="E966" s="25">
        <v>25</v>
      </c>
      <c r="F966" s="23">
        <v>20</v>
      </c>
      <c r="G966" s="152" cm="1">
        <f t="array" ref="G966">SUM(E966/F966)</f>
        <v>1.25</v>
      </c>
      <c r="H966" s="15"/>
    </row>
    <row r="967" ht="13.65" customHeight="1">
      <c r="A967" s="21">
        <v>11</v>
      </c>
      <c r="B967" t="s" s="22">
        <v>440</v>
      </c>
      <c r="C967" t="s" s="24">
        <v>441</v>
      </c>
      <c r="D967" t="s" s="24">
        <v>442</v>
      </c>
      <c r="E967" s="25">
        <v>49</v>
      </c>
      <c r="F967" s="23">
        <v>44</v>
      </c>
      <c r="G967" s="152" cm="1">
        <f t="array" ref="G967">SUM(E967/F967)</f>
        <v>1.11363636363636</v>
      </c>
      <c r="H967" s="15"/>
    </row>
    <row r="968" ht="13.65" customHeight="1">
      <c r="A968" s="21">
        <v>75</v>
      </c>
      <c r="B968" t="s" s="22">
        <v>425</v>
      </c>
      <c r="C968" t="s" s="24">
        <v>443</v>
      </c>
      <c r="D968" t="s" s="24">
        <v>444</v>
      </c>
      <c r="E968" s="25">
        <v>58.71</v>
      </c>
      <c r="F968" s="23">
        <v>60</v>
      </c>
      <c r="G968" s="152" cm="1">
        <f t="array" ref="G968">SUM(E968/F968)</f>
        <v>0.9785</v>
      </c>
      <c r="H968" s="15"/>
    </row>
    <row r="969" ht="13.65" customHeight="1">
      <c r="A969" s="21">
        <v>106</v>
      </c>
      <c r="B969" t="s" s="22">
        <v>428</v>
      </c>
      <c r="C969" s="23">
        <v>20</v>
      </c>
      <c r="D969" t="s" s="24">
        <v>104</v>
      </c>
      <c r="E969" s="25">
        <v>41.91</v>
      </c>
      <c r="F969" s="23">
        <v>20</v>
      </c>
      <c r="G969" s="152" cm="1">
        <f t="array" ref="G969">SUM(E969/F969)</f>
        <v>2.0955</v>
      </c>
      <c r="H969" s="15"/>
    </row>
    <row r="970" ht="13.65" customHeight="1">
      <c r="A970" s="21">
        <v>19</v>
      </c>
      <c r="B970" t="s" s="22">
        <v>445</v>
      </c>
      <c r="C970" s="23">
        <v>3</v>
      </c>
      <c r="D970" t="s" s="24">
        <v>401</v>
      </c>
      <c r="E970" s="25">
        <v>5.2</v>
      </c>
      <c r="F970" s="23">
        <v>30</v>
      </c>
      <c r="G970" s="152" cm="1">
        <f t="array" ref="G970">SUM(E970/F970)</f>
        <v>0.173333333333333</v>
      </c>
      <c r="H970" s="15"/>
    </row>
    <row r="971" ht="13.65" customHeight="1">
      <c r="A971" s="28"/>
      <c r="B971" s="28"/>
      <c r="C971" s="27"/>
      <c r="D971" s="24"/>
      <c r="E971" s="27"/>
      <c r="F971" t="s" s="29">
        <v>118</v>
      </c>
      <c r="G971" s="197" cm="1">
        <f t="array" ref="G971">SUM(G952:G970)</f>
        <v>12.498703030303</v>
      </c>
      <c r="H971" s="15"/>
    </row>
    <row r="972" ht="13.65" customHeight="1">
      <c r="A972" s="129"/>
      <c r="B972" s="129"/>
      <c r="C972" s="129"/>
      <c r="D972" s="129"/>
      <c r="E972" s="129"/>
      <c r="F972" s="31"/>
      <c r="G972" s="31"/>
      <c r="H972" s="3"/>
    </row>
    <row r="973" ht="11.7" customHeight="1">
      <c r="A973" t="s" s="167">
        <v>136</v>
      </c>
      <c r="B973" t="s" s="167">
        <v>281</v>
      </c>
      <c r="C973" t="s" s="167">
        <v>282</v>
      </c>
      <c r="D973" t="s" s="168">
        <v>283</v>
      </c>
      <c r="E973" s="169"/>
      <c r="F973" s="170"/>
      <c r="G973" s="171"/>
      <c r="H973" s="171"/>
    </row>
    <row r="974" ht="13.65" customHeight="1">
      <c r="A974" s="23">
        <v>40</v>
      </c>
      <c r="B974" s="172" cm="1">
        <f t="array" ref="B974">SUM(H256)</f>
        <v>2.47496540404041</v>
      </c>
      <c r="C974" s="281" cm="1">
        <f t="array" ref="C974">SUM(G971)</f>
        <v>12.498703030303</v>
      </c>
      <c r="D974" s="199" cm="1">
        <f t="array" ref="D974">SUM(A974*B974)+(C974)</f>
        <v>111.497319191919</v>
      </c>
      <c r="E974" s="200"/>
      <c r="F974" s="15"/>
      <c r="G974" s="3"/>
      <c r="H974" s="3"/>
    </row>
    <row r="975" ht="13.65" customHeight="1">
      <c r="A975" s="31"/>
      <c r="B975" s="31"/>
      <c r="C975" s="31"/>
      <c r="D975" s="31"/>
      <c r="E975" s="31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t="s" s="5">
        <v>446</v>
      </c>
      <c r="B977" s="3"/>
      <c r="C977" s="3"/>
      <c r="D977" s="3"/>
      <c r="E977" s="3"/>
      <c r="F977" s="3"/>
      <c r="G977" s="3"/>
      <c r="H977" s="3"/>
    </row>
    <row r="978" ht="13.65" customHeight="1">
      <c r="A978" s="11"/>
      <c r="B978" s="11"/>
      <c r="C978" s="11"/>
      <c r="D978" s="11"/>
      <c r="E978" s="11"/>
      <c r="F978" s="11"/>
      <c r="G978" s="11"/>
      <c r="H978" s="3"/>
    </row>
    <row r="979" ht="13.65" customHeight="1">
      <c r="A979" s="12"/>
      <c r="B979" s="12"/>
      <c r="C979" s="13"/>
      <c r="D979" s="14"/>
      <c r="E979" s="13"/>
      <c r="F979" s="13"/>
      <c r="G979" t="s" s="14">
        <v>252</v>
      </c>
      <c r="H979" s="150"/>
    </row>
    <row r="980" ht="13.65" customHeight="1">
      <c r="A980" t="s" s="16">
        <v>93</v>
      </c>
      <c r="B980" t="s" s="16">
        <v>94</v>
      </c>
      <c r="C980" t="s" s="16">
        <v>95</v>
      </c>
      <c r="D980" t="s" s="16">
        <v>96</v>
      </c>
      <c r="E980" t="s" s="16">
        <v>97</v>
      </c>
      <c r="F980" t="s" s="16">
        <v>98</v>
      </c>
      <c r="G980" t="s" s="16">
        <v>99</v>
      </c>
      <c r="H980" s="15"/>
    </row>
    <row r="981" ht="13.65" customHeight="1">
      <c r="A981" s="151"/>
      <c r="B981" s="151"/>
      <c r="C981" s="19"/>
      <c r="D981" s="20"/>
      <c r="E981" s="19"/>
      <c r="F981" s="19"/>
      <c r="G981" t="s" s="20">
        <v>100</v>
      </c>
      <c r="H981" s="15"/>
    </row>
    <row r="982" ht="13.65" customHeight="1">
      <c r="A982" s="21">
        <v>72</v>
      </c>
      <c r="B982" t="s" s="22">
        <v>101</v>
      </c>
      <c r="C982" s="23">
        <v>50</v>
      </c>
      <c r="D982" t="s" s="24">
        <v>102</v>
      </c>
      <c r="E982" s="25">
        <v>1.93</v>
      </c>
      <c r="F982" s="23">
        <v>25</v>
      </c>
      <c r="G982" s="152" cm="1">
        <f t="array" ref="G982">SUM(E982/F982)</f>
        <v>0.0772</v>
      </c>
      <c r="H982" s="15"/>
    </row>
    <row r="983" ht="13.65" customHeight="1">
      <c r="A983" s="21">
        <v>123</v>
      </c>
      <c r="B983" t="s" s="22">
        <v>103</v>
      </c>
      <c r="C983" s="23">
        <v>40</v>
      </c>
      <c r="D983" t="s" s="24">
        <v>104</v>
      </c>
      <c r="E983" s="25">
        <v>3.2</v>
      </c>
      <c r="F983" s="23">
        <v>40</v>
      </c>
      <c r="G983" s="152" cm="1">
        <f t="array" ref="G983">SUM(E983/F983)</f>
        <v>0.08</v>
      </c>
      <c r="H983" s="15"/>
    </row>
    <row r="984" ht="13.65" customHeight="1">
      <c r="A984" s="21">
        <v>86</v>
      </c>
      <c r="B984" t="s" s="22">
        <v>107</v>
      </c>
      <c r="C984" t="s" s="24">
        <v>108</v>
      </c>
      <c r="D984" t="s" s="24">
        <v>102</v>
      </c>
      <c r="E984" s="25">
        <v>0.32</v>
      </c>
      <c r="F984" t="s" s="24">
        <v>387</v>
      </c>
      <c r="G984" s="152" cm="1">
        <f t="array" ref="G984">SUM(E984*2)</f>
        <v>0.64</v>
      </c>
      <c r="H984" s="15"/>
    </row>
    <row r="985" ht="13.65" customHeight="1">
      <c r="A985" s="21">
        <v>71</v>
      </c>
      <c r="B985" t="s" s="22">
        <v>109</v>
      </c>
      <c r="C985" s="23">
        <v>10</v>
      </c>
      <c r="D985" t="s" s="24">
        <v>102</v>
      </c>
      <c r="E985" s="25">
        <v>5.92</v>
      </c>
      <c r="F985" s="23">
        <v>5</v>
      </c>
      <c r="G985" s="152" cm="1">
        <f t="array" ref="G985">SUM(E985/F985)</f>
        <v>1.184</v>
      </c>
      <c r="H985" s="15"/>
    </row>
    <row r="986" ht="13.65" customHeight="1">
      <c r="A986" s="21">
        <v>87</v>
      </c>
      <c r="B986" t="s" s="22">
        <v>110</v>
      </c>
      <c r="C986" s="23">
        <v>50</v>
      </c>
      <c r="D986" t="s" s="24">
        <v>102</v>
      </c>
      <c r="E986" s="25">
        <v>9</v>
      </c>
      <c r="F986" s="23">
        <v>25</v>
      </c>
      <c r="G986" s="152" cm="1">
        <f t="array" ref="G986">SUM(E986/F986)</f>
        <v>0.36</v>
      </c>
      <c r="H986" s="15"/>
    </row>
    <row r="987" ht="13.65" customHeight="1">
      <c r="A987" s="21">
        <v>55</v>
      </c>
      <c r="B987" t="s" s="22">
        <v>111</v>
      </c>
      <c r="C987" t="s" s="24">
        <v>112</v>
      </c>
      <c r="D987" t="s" s="24">
        <v>113</v>
      </c>
      <c r="E987" s="25">
        <v>2.71</v>
      </c>
      <c r="F987" s="23">
        <v>75</v>
      </c>
      <c r="G987" s="152" cm="1">
        <f t="array" ref="G987">SUM(E987/F987)</f>
        <v>0.0361333333333333</v>
      </c>
      <c r="H987" s="15"/>
    </row>
    <row r="988" ht="13.65" customHeight="1">
      <c r="A988" s="21">
        <v>24</v>
      </c>
      <c r="B988" t="s" s="22">
        <v>406</v>
      </c>
      <c r="C988" s="23">
        <v>10</v>
      </c>
      <c r="D988" t="s" s="24">
        <v>116</v>
      </c>
      <c r="E988" s="25">
        <v>9.6</v>
      </c>
      <c r="F988" s="23">
        <v>10</v>
      </c>
      <c r="G988" s="152" cm="1">
        <f t="array" ref="G988">SUM(E988/F988)</f>
        <v>0.96</v>
      </c>
      <c r="H988" s="15"/>
    </row>
    <row r="989" ht="13.65" customHeight="1">
      <c r="A989" s="21">
        <v>88</v>
      </c>
      <c r="B989" t="s" s="22">
        <v>117</v>
      </c>
      <c r="C989" s="27"/>
      <c r="D989" t="s" s="24">
        <v>102</v>
      </c>
      <c r="E989" s="25">
        <v>0.75</v>
      </c>
      <c r="F989" t="s" s="24">
        <v>387</v>
      </c>
      <c r="G989" s="152" cm="1">
        <f t="array" ref="G989">SUM(E989*2)</f>
        <v>1.5</v>
      </c>
      <c r="H989" s="15"/>
    </row>
    <row r="990" ht="13.65" customHeight="1">
      <c r="A990" s="21">
        <v>10</v>
      </c>
      <c r="B990" t="s" s="22">
        <v>395</v>
      </c>
      <c r="C990" t="s" s="24">
        <v>396</v>
      </c>
      <c r="D990" t="s" s="24">
        <v>397</v>
      </c>
      <c r="E990" s="25">
        <v>3.92</v>
      </c>
      <c r="F990" s="23">
        <v>50</v>
      </c>
      <c r="G990" s="152" cm="1">
        <f t="array" ref="G990">SUM(E990/F990)</f>
        <v>0.0784</v>
      </c>
      <c r="H990" s="15"/>
    </row>
    <row r="991" ht="13.65" customHeight="1">
      <c r="A991" s="21">
        <v>9</v>
      </c>
      <c r="B991" t="s" s="22">
        <v>398</v>
      </c>
      <c r="C991" t="s" s="24">
        <v>435</v>
      </c>
      <c r="D991" t="s" s="24">
        <v>104</v>
      </c>
      <c r="E991" s="25">
        <v>14</v>
      </c>
      <c r="F991" s="23">
        <v>50</v>
      </c>
      <c r="G991" s="152" cm="1">
        <f t="array" ref="G991">SUM(E991/F991)</f>
        <v>0.28</v>
      </c>
      <c r="H991" s="15"/>
    </row>
    <row r="992" ht="13.65" customHeight="1">
      <c r="A992" s="21">
        <v>6</v>
      </c>
      <c r="B992" t="s" s="22">
        <v>399</v>
      </c>
      <c r="C992" t="s" s="24">
        <v>436</v>
      </c>
      <c r="D992" t="s" s="24">
        <v>104</v>
      </c>
      <c r="E992" s="25">
        <v>19</v>
      </c>
      <c r="F992" s="23">
        <v>100</v>
      </c>
      <c r="G992" s="152" cm="1">
        <f t="array" ref="G992">SUM(E992/F992)</f>
        <v>0.19</v>
      </c>
      <c r="H992" s="15"/>
    </row>
    <row r="993" ht="13.65" customHeight="1">
      <c r="A993" s="21">
        <v>124</v>
      </c>
      <c r="B993" t="s" s="22">
        <v>372</v>
      </c>
      <c r="C993" s="23">
        <v>1</v>
      </c>
      <c r="D993" t="s" s="24">
        <v>373</v>
      </c>
      <c r="E993" s="25">
        <v>2.2</v>
      </c>
      <c r="F993" s="23">
        <v>15</v>
      </c>
      <c r="G993" s="152" cm="1">
        <f t="array" ref="G993">SUM(E993/F993)</f>
        <v>0.146666666666667</v>
      </c>
      <c r="H993" s="15"/>
    </row>
    <row r="994" ht="13.65" customHeight="1">
      <c r="A994" s="21">
        <v>19</v>
      </c>
      <c r="B994" t="s" s="22">
        <v>414</v>
      </c>
      <c r="C994" s="23">
        <v>1</v>
      </c>
      <c r="D994" t="s" s="24">
        <v>116</v>
      </c>
      <c r="E994" s="25">
        <v>5.2</v>
      </c>
      <c r="F994" s="23">
        <v>10</v>
      </c>
      <c r="G994" s="152" cm="1">
        <f t="array" ref="G994">SUM(E994/F994)</f>
        <v>0.52</v>
      </c>
      <c r="H994" s="15"/>
    </row>
    <row r="995" ht="13.65" customHeight="1">
      <c r="A995" s="21">
        <v>108</v>
      </c>
      <c r="B995" t="s" s="22">
        <v>438</v>
      </c>
      <c r="C995" s="23">
        <v>1</v>
      </c>
      <c r="D995" t="s" s="24">
        <v>373</v>
      </c>
      <c r="E995" s="25">
        <v>12.53</v>
      </c>
      <c r="F995" s="23">
        <v>15</v>
      </c>
      <c r="G995" s="152" cm="1">
        <f t="array" ref="G995">SUM(E995/F995)</f>
        <v>0.835333333333333</v>
      </c>
      <c r="H995" s="15"/>
    </row>
    <row r="996" ht="13.65" customHeight="1">
      <c r="A996" s="21">
        <v>79</v>
      </c>
      <c r="B996" t="s" s="22">
        <v>439</v>
      </c>
      <c r="C996" s="23">
        <v>20</v>
      </c>
      <c r="D996" t="s" s="24">
        <v>104</v>
      </c>
      <c r="E996" s="25">
        <v>25</v>
      </c>
      <c r="F996" s="23">
        <v>20</v>
      </c>
      <c r="G996" s="152" cm="1">
        <f t="array" ref="G996">SUM(E996/F996)</f>
        <v>1.25</v>
      </c>
      <c r="H996" s="15"/>
    </row>
    <row r="997" ht="13.65" customHeight="1">
      <c r="A997" s="21">
        <v>11</v>
      </c>
      <c r="B997" t="s" s="22">
        <v>440</v>
      </c>
      <c r="C997" t="s" s="24">
        <v>441</v>
      </c>
      <c r="D997" t="s" s="24">
        <v>442</v>
      </c>
      <c r="E997" s="25">
        <v>49</v>
      </c>
      <c r="F997" s="23">
        <v>44</v>
      </c>
      <c r="G997" s="152" cm="1">
        <f t="array" ref="G997">SUM(E997/F997)</f>
        <v>1.11363636363636</v>
      </c>
      <c r="H997" s="15"/>
    </row>
    <row r="998" ht="13.65" customHeight="1">
      <c r="A998" s="21">
        <v>75</v>
      </c>
      <c r="B998" t="s" s="22">
        <v>425</v>
      </c>
      <c r="C998" t="s" s="24">
        <v>443</v>
      </c>
      <c r="D998" t="s" s="24">
        <v>444</v>
      </c>
      <c r="E998" s="25">
        <v>58.71</v>
      </c>
      <c r="F998" s="23">
        <v>60</v>
      </c>
      <c r="G998" s="152" cm="1">
        <f t="array" ref="G998">SUM(E998/F998)</f>
        <v>0.9785</v>
      </c>
      <c r="H998" s="15"/>
    </row>
    <row r="999" ht="13.65" customHeight="1">
      <c r="A999" s="21">
        <v>106</v>
      </c>
      <c r="B999" t="s" s="22">
        <v>428</v>
      </c>
      <c r="C999" s="23">
        <v>20</v>
      </c>
      <c r="D999" t="s" s="24">
        <v>104</v>
      </c>
      <c r="E999" s="25">
        <v>41.91</v>
      </c>
      <c r="F999" s="23">
        <v>20</v>
      </c>
      <c r="G999" s="152" cm="1">
        <f t="array" ref="G999">SUM(E999/F999)</f>
        <v>2.0955</v>
      </c>
      <c r="H999" s="15"/>
    </row>
    <row r="1000" ht="13.65" customHeight="1">
      <c r="A1000" s="21">
        <v>118</v>
      </c>
      <c r="B1000" t="s" s="22">
        <v>409</v>
      </c>
      <c r="C1000" t="s" s="24">
        <v>426</v>
      </c>
      <c r="D1000" t="s" s="24">
        <v>397</v>
      </c>
      <c r="E1000" s="25">
        <v>47.43</v>
      </c>
      <c r="F1000" s="23">
        <v>50</v>
      </c>
      <c r="G1000" s="152" cm="1">
        <f t="array" ref="G1000">SUM(E1000/F1000)</f>
        <v>0.9486</v>
      </c>
      <c r="H1000" s="15"/>
    </row>
    <row r="1001" ht="13.65" customHeight="1">
      <c r="A1001" s="28"/>
      <c r="B1001" s="28"/>
      <c r="C1001" s="27"/>
      <c r="D1001" s="24"/>
      <c r="E1001" s="27"/>
      <c r="F1001" t="s" s="29">
        <v>118</v>
      </c>
      <c r="G1001" s="197" cm="1">
        <f t="array" ref="G1001">SUM(G982:G1000)</f>
        <v>13.2739696969697</v>
      </c>
      <c r="H1001" s="15"/>
    </row>
    <row r="1002" ht="13.65" customHeight="1">
      <c r="A1002" s="129"/>
      <c r="B1002" s="129"/>
      <c r="C1002" s="129"/>
      <c r="D1002" s="129"/>
      <c r="E1002" s="129"/>
      <c r="F1002" s="31"/>
      <c r="G1002" s="31"/>
      <c r="H1002" s="3"/>
    </row>
    <row r="1003" ht="11.7" customHeight="1">
      <c r="A1003" t="s" s="167">
        <v>136</v>
      </c>
      <c r="B1003" t="s" s="167">
        <v>281</v>
      </c>
      <c r="C1003" t="s" s="167">
        <v>282</v>
      </c>
      <c r="D1003" t="s" s="168">
        <v>283</v>
      </c>
      <c r="E1003" s="169"/>
      <c r="F1003" s="170"/>
      <c r="G1003" s="171"/>
      <c r="H1003" s="171"/>
    </row>
    <row r="1004" ht="13.65" customHeight="1">
      <c r="A1004" s="23">
        <v>40</v>
      </c>
      <c r="B1004" s="172" cm="1">
        <f t="array" ref="B1004">SUM(H256)</f>
        <v>2.47496540404041</v>
      </c>
      <c r="C1004" s="281" cm="1">
        <f t="array" ref="C1004">SUM(G1001)</f>
        <v>13.2739696969697</v>
      </c>
      <c r="D1004" s="199" cm="1">
        <f t="array" ref="D1004">SUM(A1004*B1004)+(C1004)</f>
        <v>112.272585858586</v>
      </c>
      <c r="E1004" s="200"/>
      <c r="F1004" s="282"/>
      <c r="G1004" s="203"/>
      <c r="H1004" s="203"/>
    </row>
    <row r="1005" ht="13.65" customHeight="1">
      <c r="A1005" t="s" s="283">
        <v>284</v>
      </c>
      <c r="B1005" s="284"/>
      <c r="C1005" s="284"/>
      <c r="D1005" s="284"/>
      <c r="E1005" s="291"/>
      <c r="F1005" s="275"/>
      <c r="G1005" s="275"/>
      <c r="H1005" s="277"/>
    </row>
    <row r="1006" ht="13.65" customHeight="1">
      <c r="A1006" s="278"/>
      <c r="B1006" s="278"/>
      <c r="C1006" s="278"/>
      <c r="D1006" s="278"/>
      <c r="E1006" s="278"/>
      <c r="F1006" s="278"/>
      <c r="G1006" s="278"/>
      <c r="H1006" s="278"/>
    </row>
    <row r="1007" ht="13.65" customHeight="1">
      <c r="A1007" s="3"/>
      <c r="B1007" s="3"/>
      <c r="C1007" s="3"/>
      <c r="D1007" s="3"/>
      <c r="E1007" s="3"/>
      <c r="F1007" s="3"/>
      <c r="G1007" s="3"/>
      <c r="H1007" s="3"/>
    </row>
    <row r="1008" ht="13.65" customHeight="1">
      <c r="A1008" t="s" s="5">
        <v>447</v>
      </c>
      <c r="B1008" s="3"/>
      <c r="C1008" s="3"/>
      <c r="D1008" s="3"/>
      <c r="E1008" s="3"/>
      <c r="F1008" s="3"/>
      <c r="G1008" s="3"/>
      <c r="H1008" s="3"/>
    </row>
    <row r="1009" ht="13.65" customHeight="1">
      <c r="A1009" s="11"/>
      <c r="B1009" s="11"/>
      <c r="C1009" s="11"/>
      <c r="D1009" s="11"/>
      <c r="E1009" s="11"/>
      <c r="F1009" s="11"/>
      <c r="G1009" s="11"/>
      <c r="H1009" s="3"/>
    </row>
    <row r="1010" ht="13.65" customHeight="1">
      <c r="A1010" s="12"/>
      <c r="B1010" s="12"/>
      <c r="C1010" s="13"/>
      <c r="D1010" s="14"/>
      <c r="E1010" s="13"/>
      <c r="F1010" s="13"/>
      <c r="G1010" t="s" s="14">
        <v>252</v>
      </c>
      <c r="H1010" s="150"/>
    </row>
    <row r="1011" ht="13.65" customHeight="1">
      <c r="A1011" t="s" s="16">
        <v>93</v>
      </c>
      <c r="B1011" t="s" s="16">
        <v>94</v>
      </c>
      <c r="C1011" t="s" s="16">
        <v>95</v>
      </c>
      <c r="D1011" t="s" s="16">
        <v>96</v>
      </c>
      <c r="E1011" t="s" s="16">
        <v>97</v>
      </c>
      <c r="F1011" t="s" s="16">
        <v>98</v>
      </c>
      <c r="G1011" t="s" s="16">
        <v>99</v>
      </c>
      <c r="H1011" s="15"/>
    </row>
    <row r="1012" ht="13.65" customHeight="1">
      <c r="A1012" s="151"/>
      <c r="B1012" s="151"/>
      <c r="C1012" s="19"/>
      <c r="D1012" s="20"/>
      <c r="E1012" s="19"/>
      <c r="F1012" s="19"/>
      <c r="G1012" t="s" s="20">
        <v>100</v>
      </c>
      <c r="H1012" s="15"/>
    </row>
    <row r="1013" ht="13.65" customHeight="1">
      <c r="A1013" s="21">
        <v>72</v>
      </c>
      <c r="B1013" t="s" s="22">
        <v>101</v>
      </c>
      <c r="C1013" s="23">
        <v>50</v>
      </c>
      <c r="D1013" t="s" s="24">
        <v>102</v>
      </c>
      <c r="E1013" s="25">
        <v>1.93</v>
      </c>
      <c r="F1013" s="23">
        <v>25</v>
      </c>
      <c r="G1013" s="152" cm="1">
        <f t="array" ref="G1013">SUM(E1013/F1013)</f>
        <v>0.0772</v>
      </c>
      <c r="H1013" s="15"/>
    </row>
    <row r="1014" ht="13.65" customHeight="1">
      <c r="A1014" s="21">
        <v>123</v>
      </c>
      <c r="B1014" t="s" s="22">
        <v>103</v>
      </c>
      <c r="C1014" s="23">
        <v>40</v>
      </c>
      <c r="D1014" t="s" s="24">
        <v>104</v>
      </c>
      <c r="E1014" s="25">
        <v>3.2</v>
      </c>
      <c r="F1014" s="23">
        <v>40</v>
      </c>
      <c r="G1014" s="152" cm="1">
        <f t="array" ref="G1014">SUM(E1014/F1014)</f>
        <v>0.08</v>
      </c>
      <c r="H1014" s="15"/>
    </row>
    <row r="1015" ht="13.65" customHeight="1">
      <c r="A1015" s="21">
        <v>57</v>
      </c>
      <c r="B1015" t="s" s="22">
        <v>253</v>
      </c>
      <c r="C1015" t="s" s="24">
        <v>254</v>
      </c>
      <c r="D1015" t="s" s="24">
        <v>371</v>
      </c>
      <c r="E1015" s="25">
        <v>4.5</v>
      </c>
      <c r="F1015" s="23">
        <v>33</v>
      </c>
      <c r="G1015" s="152" cm="1">
        <f t="array" ref="G1015">SUM(E1015/F1015)</f>
        <v>0.136363636363636</v>
      </c>
      <c r="H1015" s="15"/>
    </row>
    <row r="1016" ht="13.65" customHeight="1">
      <c r="A1016" s="21">
        <v>117</v>
      </c>
      <c r="B1016" t="s" s="22">
        <v>105</v>
      </c>
      <c r="C1016" s="23">
        <v>100</v>
      </c>
      <c r="D1016" t="s" s="24">
        <v>106</v>
      </c>
      <c r="E1016" s="25">
        <v>1.2</v>
      </c>
      <c r="F1016" s="23">
        <v>5</v>
      </c>
      <c r="G1016" s="152" cm="1">
        <f t="array" ref="G1016">SUM(E1016/F1016)</f>
        <v>0.24</v>
      </c>
      <c r="H1016" s="15"/>
    </row>
    <row r="1017" ht="13.65" customHeight="1">
      <c r="A1017" s="21">
        <v>86</v>
      </c>
      <c r="B1017" t="s" s="22">
        <v>107</v>
      </c>
      <c r="C1017" t="s" s="24">
        <v>108</v>
      </c>
      <c r="D1017" t="s" s="24">
        <v>102</v>
      </c>
      <c r="E1017" s="25">
        <v>0.32</v>
      </c>
      <c r="F1017" t="s" s="24">
        <v>387</v>
      </c>
      <c r="G1017" s="152" cm="1">
        <f t="array" ref="G1017">SUM(E1017*2)</f>
        <v>0.64</v>
      </c>
      <c r="H1017" s="15"/>
    </row>
    <row r="1018" ht="13.65" customHeight="1">
      <c r="A1018" s="21">
        <v>71</v>
      </c>
      <c r="B1018" t="s" s="22">
        <v>109</v>
      </c>
      <c r="C1018" s="23">
        <v>10</v>
      </c>
      <c r="D1018" t="s" s="24">
        <v>102</v>
      </c>
      <c r="E1018" s="25">
        <v>5.92</v>
      </c>
      <c r="F1018" s="23">
        <v>5</v>
      </c>
      <c r="G1018" s="152" cm="1">
        <f t="array" ref="G1018">SUM(E1018/F1018)</f>
        <v>1.184</v>
      </c>
      <c r="H1018" s="15"/>
    </row>
    <row r="1019" ht="13.65" customHeight="1">
      <c r="A1019" s="21">
        <v>87</v>
      </c>
      <c r="B1019" t="s" s="22">
        <v>110</v>
      </c>
      <c r="C1019" s="23">
        <v>50</v>
      </c>
      <c r="D1019" t="s" s="24">
        <v>102</v>
      </c>
      <c r="E1019" s="25">
        <v>9</v>
      </c>
      <c r="F1019" s="23">
        <v>25</v>
      </c>
      <c r="G1019" s="152" cm="1">
        <f t="array" ref="G1019">SUM(E1019/F1019)</f>
        <v>0.36</v>
      </c>
      <c r="H1019" s="15"/>
    </row>
    <row r="1020" ht="13.65" customHeight="1">
      <c r="A1020" s="21">
        <v>55</v>
      </c>
      <c r="B1020" t="s" s="22">
        <v>111</v>
      </c>
      <c r="C1020" t="s" s="24">
        <v>112</v>
      </c>
      <c r="D1020" t="s" s="24">
        <v>113</v>
      </c>
      <c r="E1020" s="25">
        <v>2.71</v>
      </c>
      <c r="F1020" s="23">
        <v>75</v>
      </c>
      <c r="G1020" s="152" cm="1">
        <f t="array" ref="G1020">SUM(E1020/F1020)</f>
        <v>0.0361333333333333</v>
      </c>
      <c r="H1020" s="15"/>
    </row>
    <row r="1021" ht="13.65" customHeight="1">
      <c r="A1021" s="21">
        <v>24</v>
      </c>
      <c r="B1021" t="s" s="22">
        <v>448</v>
      </c>
      <c r="C1021" s="23">
        <v>10</v>
      </c>
      <c r="D1021" t="s" s="24">
        <v>104</v>
      </c>
      <c r="E1021" s="25">
        <v>9.6</v>
      </c>
      <c r="F1021" s="23">
        <v>10</v>
      </c>
      <c r="G1021" s="152" cm="1">
        <f t="array" ref="G1021">SUM(E1021/F1021)</f>
        <v>0.96</v>
      </c>
      <c r="H1021" s="15"/>
    </row>
    <row r="1022" ht="13.65" customHeight="1">
      <c r="A1022" s="21">
        <v>88</v>
      </c>
      <c r="B1022" t="s" s="22">
        <v>449</v>
      </c>
      <c r="C1022" s="27"/>
      <c r="D1022" t="s" s="24">
        <v>102</v>
      </c>
      <c r="E1022" s="25">
        <v>0.75</v>
      </c>
      <c r="F1022" t="s" s="24">
        <v>387</v>
      </c>
      <c r="G1022" s="152" cm="1">
        <f t="array" ref="G1022">SUM(E1022*2)</f>
        <v>1.5</v>
      </c>
      <c r="H1022" s="15"/>
    </row>
    <row r="1023" ht="13.65" customHeight="1">
      <c r="A1023" s="21">
        <v>10</v>
      </c>
      <c r="B1023" t="s" s="22">
        <v>395</v>
      </c>
      <c r="C1023" t="s" s="24">
        <v>396</v>
      </c>
      <c r="D1023" t="s" s="24">
        <v>397</v>
      </c>
      <c r="E1023" s="25">
        <v>3.92</v>
      </c>
      <c r="F1023" s="23">
        <v>50</v>
      </c>
      <c r="G1023" s="152" cm="1">
        <f t="array" ref="G1023">SUM(E1023/F1023)</f>
        <v>0.0784</v>
      </c>
      <c r="H1023" s="15"/>
    </row>
    <row r="1024" ht="13.65" customHeight="1">
      <c r="A1024" s="21">
        <v>9</v>
      </c>
      <c r="B1024" t="s" s="22">
        <v>398</v>
      </c>
      <c r="C1024" s="23">
        <v>50</v>
      </c>
      <c r="D1024" t="s" s="24">
        <v>104</v>
      </c>
      <c r="E1024" s="25">
        <v>14</v>
      </c>
      <c r="F1024" s="23">
        <v>50</v>
      </c>
      <c r="G1024" s="152" cm="1">
        <f t="array" ref="G1024">SUM(E1024/F1024)</f>
        <v>0.28</v>
      </c>
      <c r="H1024" s="15"/>
    </row>
    <row r="1025" ht="13.65" customHeight="1">
      <c r="A1025" s="21">
        <v>6</v>
      </c>
      <c r="B1025" t="s" s="22">
        <v>399</v>
      </c>
      <c r="C1025" s="23">
        <v>100</v>
      </c>
      <c r="D1025" t="s" s="24">
        <v>104</v>
      </c>
      <c r="E1025" s="25">
        <v>19</v>
      </c>
      <c r="F1025" s="23">
        <v>100</v>
      </c>
      <c r="G1025" s="152" cm="1">
        <f t="array" ref="G1025">SUM(E1025/F1025)</f>
        <v>0.19</v>
      </c>
      <c r="H1025" s="15"/>
    </row>
    <row r="1026" ht="13.65" customHeight="1">
      <c r="A1026" s="21">
        <v>19</v>
      </c>
      <c r="B1026" t="s" s="22">
        <v>437</v>
      </c>
      <c r="C1026" s="23">
        <v>2</v>
      </c>
      <c r="D1026" t="s" s="24">
        <v>116</v>
      </c>
      <c r="E1026" s="25">
        <v>5.2</v>
      </c>
      <c r="F1026" s="23">
        <v>5</v>
      </c>
      <c r="G1026" s="152" cm="1">
        <f t="array" ref="G1026">SUM(E1026/F1026)</f>
        <v>1.04</v>
      </c>
      <c r="H1026" s="15"/>
    </row>
    <row r="1027" ht="13.65" customHeight="1">
      <c r="A1027" s="21">
        <v>40</v>
      </c>
      <c r="B1027" t="s" s="22">
        <v>450</v>
      </c>
      <c r="C1027" s="23">
        <v>1</v>
      </c>
      <c r="D1027" t="s" s="24">
        <v>104</v>
      </c>
      <c r="E1027" s="25">
        <v>12.29</v>
      </c>
      <c r="F1027" s="23">
        <v>1</v>
      </c>
      <c r="G1027" s="152" cm="1">
        <f t="array" ref="G1027">SUM(E1027/F1027)</f>
        <v>12.29</v>
      </c>
      <c r="H1027" s="15"/>
    </row>
    <row r="1028" ht="13.65" customHeight="1">
      <c r="A1028" s="21">
        <v>19</v>
      </c>
      <c r="B1028" t="s" s="22">
        <v>451</v>
      </c>
      <c r="C1028" s="23">
        <v>3</v>
      </c>
      <c r="D1028" t="s" s="24">
        <v>116</v>
      </c>
      <c r="E1028" s="25">
        <v>5.2</v>
      </c>
      <c r="F1028" s="23">
        <v>10</v>
      </c>
      <c r="G1028" s="152" cm="1">
        <f t="array" ref="G1028">SUM(E1028/F1028)</f>
        <v>0.52</v>
      </c>
      <c r="H1028" s="15"/>
    </row>
    <row r="1029" ht="13.65" customHeight="1">
      <c r="A1029" s="21">
        <v>75</v>
      </c>
      <c r="B1029" t="s" s="22">
        <v>425</v>
      </c>
      <c r="C1029" t="s" s="24">
        <v>452</v>
      </c>
      <c r="D1029" t="s" s="24">
        <v>427</v>
      </c>
      <c r="E1029" s="25">
        <v>58.71</v>
      </c>
      <c r="F1029" s="23">
        <v>30</v>
      </c>
      <c r="G1029" s="152" cm="1">
        <f t="array" ref="G1029">SUM(E1029/F1029)</f>
        <v>1.957</v>
      </c>
      <c r="H1029" s="15"/>
    </row>
    <row r="1030" ht="13.65" customHeight="1">
      <c r="A1030" s="28"/>
      <c r="B1030" s="28"/>
      <c r="C1030" s="27"/>
      <c r="D1030" s="24"/>
      <c r="E1030" s="27"/>
      <c r="F1030" t="s" s="29">
        <v>118</v>
      </c>
      <c r="G1030" s="197" cm="1">
        <f t="array" ref="G1030">SUM(G1013:G1029)</f>
        <v>21.569096969697</v>
      </c>
      <c r="H1030" s="15"/>
    </row>
    <row r="1031" ht="13.65" customHeight="1">
      <c r="A1031" s="129"/>
      <c r="B1031" s="129"/>
      <c r="C1031" s="129"/>
      <c r="D1031" s="129"/>
      <c r="E1031" s="129"/>
      <c r="F1031" s="31"/>
      <c r="G1031" s="31"/>
      <c r="H1031" s="3"/>
    </row>
    <row r="1032" ht="11.7" customHeight="1">
      <c r="A1032" t="s" s="167">
        <v>136</v>
      </c>
      <c r="B1032" t="s" s="167">
        <v>281</v>
      </c>
      <c r="C1032" t="s" s="167">
        <v>282</v>
      </c>
      <c r="D1032" t="s" s="168">
        <v>283</v>
      </c>
      <c r="E1032" s="169"/>
      <c r="F1032" s="170"/>
      <c r="G1032" s="171"/>
      <c r="H1032" s="171"/>
    </row>
    <row r="1033" ht="13.65" customHeight="1">
      <c r="A1033" s="23">
        <v>90</v>
      </c>
      <c r="B1033" s="172" cm="1">
        <f t="array" ref="B1033">SUM(H256)</f>
        <v>2.47496540404041</v>
      </c>
      <c r="C1033" s="198" cm="1">
        <f t="array" ref="C1033">SUM(G1030)</f>
        <v>21.569096969697</v>
      </c>
      <c r="D1033" s="199" cm="1">
        <f t="array" ref="D1033">SUM(A1033*B1033)+(C1033)</f>
        <v>244.315983333334</v>
      </c>
      <c r="E1033" s="200"/>
      <c r="F1033" s="15"/>
      <c r="G1033" s="3"/>
      <c r="H1033" s="3"/>
    </row>
    <row r="1034" ht="13.65" customHeight="1">
      <c r="A1034" s="176"/>
      <c r="B1034" s="176"/>
      <c r="C1034" s="176"/>
      <c r="D1034" s="176"/>
      <c r="E1034" s="290"/>
      <c r="F1034" s="3"/>
      <c r="G1034" s="3"/>
      <c r="H1034" s="3"/>
    </row>
    <row r="1035" ht="13.65" customHeight="1">
      <c r="A1035" s="3"/>
      <c r="B1035" s="3"/>
      <c r="C1035" s="3"/>
      <c r="D1035" s="3"/>
      <c r="E1035" s="3"/>
      <c r="F1035" s="3"/>
      <c r="G1035" s="3"/>
      <c r="H1035" s="3"/>
    </row>
    <row r="1036" ht="13.65" customHeight="1">
      <c r="A1036" t="s" s="5">
        <v>453</v>
      </c>
      <c r="B1036" s="3"/>
      <c r="C1036" s="3"/>
      <c r="D1036" s="3"/>
      <c r="E1036" s="3"/>
      <c r="F1036" s="3"/>
      <c r="G1036" s="3"/>
      <c r="H1036" s="3"/>
    </row>
    <row r="1037" ht="13.65" customHeight="1">
      <c r="A1037" s="11"/>
      <c r="B1037" s="11"/>
      <c r="C1037" s="11"/>
      <c r="D1037" s="11"/>
      <c r="E1037" s="11"/>
      <c r="F1037" s="11"/>
      <c r="G1037" s="11"/>
      <c r="H1037" s="3"/>
    </row>
    <row r="1038" ht="13.65" customHeight="1">
      <c r="A1038" s="12"/>
      <c r="B1038" s="12"/>
      <c r="C1038" s="13"/>
      <c r="D1038" s="14"/>
      <c r="E1038" s="13"/>
      <c r="F1038" s="13"/>
      <c r="G1038" t="s" s="14">
        <v>252</v>
      </c>
      <c r="H1038" s="150"/>
    </row>
    <row r="1039" ht="13.65" customHeight="1">
      <c r="A1039" t="s" s="16">
        <v>93</v>
      </c>
      <c r="B1039" t="s" s="16">
        <v>94</v>
      </c>
      <c r="C1039" t="s" s="16">
        <v>95</v>
      </c>
      <c r="D1039" t="s" s="16">
        <v>96</v>
      </c>
      <c r="E1039" t="s" s="16">
        <v>97</v>
      </c>
      <c r="F1039" t="s" s="16">
        <v>98</v>
      </c>
      <c r="G1039" t="s" s="16">
        <v>99</v>
      </c>
      <c r="H1039" s="15"/>
    </row>
    <row r="1040" ht="13.65" customHeight="1">
      <c r="A1040" s="151"/>
      <c r="B1040" s="151"/>
      <c r="C1040" s="19"/>
      <c r="D1040" s="20"/>
      <c r="E1040" s="19"/>
      <c r="F1040" s="19"/>
      <c r="G1040" t="s" s="20">
        <v>100</v>
      </c>
      <c r="H1040" s="15"/>
    </row>
    <row r="1041" ht="13.65" customHeight="1">
      <c r="A1041" s="21">
        <v>72</v>
      </c>
      <c r="B1041" t="s" s="22">
        <v>101</v>
      </c>
      <c r="C1041" s="23">
        <v>50</v>
      </c>
      <c r="D1041" t="s" s="24">
        <v>102</v>
      </c>
      <c r="E1041" s="25">
        <v>1.93</v>
      </c>
      <c r="F1041" s="23">
        <v>25</v>
      </c>
      <c r="G1041" s="152" cm="1">
        <f t="array" ref="G1041">SUM(E1041/F1041)</f>
        <v>0.0772</v>
      </c>
      <c r="H1041" s="15"/>
    </row>
    <row r="1042" ht="13.65" customHeight="1">
      <c r="A1042" s="21">
        <v>123</v>
      </c>
      <c r="B1042" t="s" s="22">
        <v>103</v>
      </c>
      <c r="C1042" s="23">
        <v>40</v>
      </c>
      <c r="D1042" t="s" s="24">
        <v>104</v>
      </c>
      <c r="E1042" s="25">
        <v>3.2</v>
      </c>
      <c r="F1042" s="23">
        <v>40</v>
      </c>
      <c r="G1042" s="152" cm="1">
        <f t="array" ref="G1042">SUM(E1042/F1042)</f>
        <v>0.08</v>
      </c>
      <c r="H1042" s="15"/>
    </row>
    <row r="1043" ht="13.65" customHeight="1">
      <c r="A1043" s="21">
        <v>57</v>
      </c>
      <c r="B1043" t="s" s="22">
        <v>253</v>
      </c>
      <c r="C1043" t="s" s="24">
        <v>254</v>
      </c>
      <c r="D1043" t="s" s="24">
        <v>371</v>
      </c>
      <c r="E1043" s="25">
        <v>4.5</v>
      </c>
      <c r="F1043" s="23">
        <v>33</v>
      </c>
      <c r="G1043" s="152" cm="1">
        <f t="array" ref="G1043">SUM(E1043/F1043)</f>
        <v>0.136363636363636</v>
      </c>
      <c r="H1043" s="15"/>
    </row>
    <row r="1044" ht="13.65" customHeight="1">
      <c r="A1044" s="21">
        <v>65</v>
      </c>
      <c r="B1044" t="s" s="22">
        <v>394</v>
      </c>
      <c r="C1044" s="23">
        <v>500</v>
      </c>
      <c r="D1044" t="s" s="24">
        <v>405</v>
      </c>
      <c r="E1044" s="25">
        <v>26</v>
      </c>
      <c r="F1044" s="23">
        <v>83</v>
      </c>
      <c r="G1044" s="152" cm="1">
        <f t="array" ref="G1044">SUM(E1044/F1044)</f>
        <v>0.313253012048193</v>
      </c>
      <c r="H1044" s="15"/>
    </row>
    <row r="1045" ht="13.65" customHeight="1">
      <c r="A1045" s="21">
        <v>86</v>
      </c>
      <c r="B1045" t="s" s="22">
        <v>107</v>
      </c>
      <c r="C1045" t="s" s="24">
        <v>108</v>
      </c>
      <c r="D1045" t="s" s="24">
        <v>102</v>
      </c>
      <c r="E1045" s="25">
        <v>0.32</v>
      </c>
      <c r="F1045" t="s" s="24">
        <v>387</v>
      </c>
      <c r="G1045" s="152" cm="1">
        <f t="array" ref="G1045">SUM(E1045*2)</f>
        <v>0.64</v>
      </c>
      <c r="H1045" s="15"/>
    </row>
    <row r="1046" ht="13.65" customHeight="1">
      <c r="A1046" s="21">
        <v>71</v>
      </c>
      <c r="B1046" t="s" s="22">
        <v>109</v>
      </c>
      <c r="C1046" s="23">
        <v>10</v>
      </c>
      <c r="D1046" t="s" s="24">
        <v>102</v>
      </c>
      <c r="E1046" s="25">
        <v>5.92</v>
      </c>
      <c r="F1046" s="23">
        <v>5</v>
      </c>
      <c r="G1046" s="152" cm="1">
        <f t="array" ref="G1046">SUM(E1046/F1046)</f>
        <v>1.184</v>
      </c>
      <c r="H1046" s="15"/>
    </row>
    <row r="1047" ht="13.65" customHeight="1">
      <c r="A1047" s="21">
        <v>87</v>
      </c>
      <c r="B1047" t="s" s="22">
        <v>110</v>
      </c>
      <c r="C1047" s="23">
        <v>50</v>
      </c>
      <c r="D1047" t="s" s="24">
        <v>102</v>
      </c>
      <c r="E1047" s="25">
        <v>9</v>
      </c>
      <c r="F1047" s="23">
        <v>25</v>
      </c>
      <c r="G1047" s="152" cm="1">
        <f t="array" ref="G1047">SUM(E1047/F1047)</f>
        <v>0.36</v>
      </c>
      <c r="H1047" s="15"/>
    </row>
    <row r="1048" ht="13.65" customHeight="1">
      <c r="A1048" s="21">
        <v>55</v>
      </c>
      <c r="B1048" t="s" s="22">
        <v>111</v>
      </c>
      <c r="C1048" t="s" s="24">
        <v>112</v>
      </c>
      <c r="D1048" t="s" s="24">
        <v>113</v>
      </c>
      <c r="E1048" s="25">
        <v>2.71</v>
      </c>
      <c r="F1048" s="23">
        <v>75</v>
      </c>
      <c r="G1048" s="152" cm="1">
        <f t="array" ref="G1048">SUM(E1048/F1048)</f>
        <v>0.0361333333333333</v>
      </c>
      <c r="H1048" s="15"/>
    </row>
    <row r="1049" ht="13.65" customHeight="1">
      <c r="A1049" s="21">
        <v>88</v>
      </c>
      <c r="B1049" t="s" s="22">
        <v>117</v>
      </c>
      <c r="C1049" s="27"/>
      <c r="D1049" t="s" s="24">
        <v>102</v>
      </c>
      <c r="E1049" s="25">
        <v>0.75</v>
      </c>
      <c r="F1049" t="s" s="24">
        <v>387</v>
      </c>
      <c r="G1049" s="152" cm="1">
        <f t="array" ref="G1049">SUM(E1049*2)</f>
        <v>1.5</v>
      </c>
      <c r="H1049" s="15"/>
    </row>
    <row r="1050" ht="13.65" customHeight="1">
      <c r="A1050" s="21">
        <v>10</v>
      </c>
      <c r="B1050" t="s" s="22">
        <v>395</v>
      </c>
      <c r="C1050" t="s" s="24">
        <v>396</v>
      </c>
      <c r="D1050" t="s" s="24">
        <v>397</v>
      </c>
      <c r="E1050" s="25">
        <v>3.92</v>
      </c>
      <c r="F1050" s="23">
        <v>50</v>
      </c>
      <c r="G1050" s="152" cm="1">
        <f t="array" ref="G1050">SUM(E1050/F1050)</f>
        <v>0.0784</v>
      </c>
      <c r="H1050" s="15"/>
    </row>
    <row r="1051" ht="13.65" customHeight="1">
      <c r="A1051" s="21">
        <v>9</v>
      </c>
      <c r="B1051" t="s" s="22">
        <v>398</v>
      </c>
      <c r="C1051" s="23">
        <v>50</v>
      </c>
      <c r="D1051" t="s" s="24">
        <v>104</v>
      </c>
      <c r="E1051" s="25">
        <v>14</v>
      </c>
      <c r="F1051" s="23">
        <v>50</v>
      </c>
      <c r="G1051" s="152" cm="1">
        <f t="array" ref="G1051">SUM(E1051/F1051)</f>
        <v>0.28</v>
      </c>
      <c r="H1051" s="15"/>
    </row>
    <row r="1052" ht="13.65" customHeight="1">
      <c r="A1052" s="21">
        <v>6</v>
      </c>
      <c r="B1052" t="s" s="22">
        <v>399</v>
      </c>
      <c r="C1052" s="23">
        <v>100</v>
      </c>
      <c r="D1052" t="s" s="24">
        <v>104</v>
      </c>
      <c r="E1052" s="25">
        <v>19</v>
      </c>
      <c r="F1052" s="23">
        <v>100</v>
      </c>
      <c r="G1052" s="152" cm="1">
        <f t="array" ref="G1052">SUM(E1052/F1052)</f>
        <v>0.19</v>
      </c>
      <c r="H1052" s="15"/>
    </row>
    <row r="1053" ht="13.65" customHeight="1">
      <c r="A1053" s="21">
        <v>79</v>
      </c>
      <c r="B1053" t="s" s="22">
        <v>439</v>
      </c>
      <c r="C1053" s="23">
        <v>20</v>
      </c>
      <c r="D1053" t="s" s="24">
        <v>104</v>
      </c>
      <c r="E1053" s="25">
        <v>25</v>
      </c>
      <c r="F1053" s="23">
        <v>20</v>
      </c>
      <c r="G1053" s="152" cm="1">
        <f t="array" ref="G1053">SUM(E1053/F1053)</f>
        <v>1.25</v>
      </c>
      <c r="H1053" s="15"/>
    </row>
    <row r="1054" ht="13.65" customHeight="1">
      <c r="A1054" s="21">
        <v>99</v>
      </c>
      <c r="B1054" t="s" s="22">
        <v>454</v>
      </c>
      <c r="C1054" t="s" s="24">
        <v>455</v>
      </c>
      <c r="D1054" t="s" s="24">
        <v>424</v>
      </c>
      <c r="E1054" s="25">
        <v>16.19</v>
      </c>
      <c r="F1054" s="23">
        <v>50</v>
      </c>
      <c r="G1054" s="152" cm="1">
        <f t="array" ref="G1054">SUM(E1054/F1054)</f>
        <v>0.3238</v>
      </c>
      <c r="H1054" s="15"/>
    </row>
    <row r="1055" ht="13.65" customHeight="1">
      <c r="A1055" s="21">
        <v>34</v>
      </c>
      <c r="B1055" t="s" s="22">
        <v>456</v>
      </c>
      <c r="C1055" t="s" s="24">
        <v>432</v>
      </c>
      <c r="D1055" t="s" s="24">
        <v>408</v>
      </c>
      <c r="E1055" s="25">
        <v>31</v>
      </c>
      <c r="F1055" s="23">
        <v>14</v>
      </c>
      <c r="G1055" s="152" cm="1">
        <f t="array" ref="G1055">SUM(E1055/F1055)</f>
        <v>2.21428571428571</v>
      </c>
      <c r="H1055" s="15"/>
    </row>
    <row r="1056" ht="13.65" customHeight="1">
      <c r="A1056" s="28"/>
      <c r="B1056" s="28"/>
      <c r="C1056" t="s" s="24">
        <v>390</v>
      </c>
      <c r="D1056" t="s" s="24">
        <v>457</v>
      </c>
      <c r="E1056" s="25">
        <v>14</v>
      </c>
      <c r="F1056" s="23">
        <v>20</v>
      </c>
      <c r="G1056" s="152" cm="1">
        <f t="array" ref="G1056">SUM(E1056/F1056)</f>
        <v>0.7</v>
      </c>
      <c r="H1056" s="15"/>
    </row>
    <row r="1057" ht="13.65" customHeight="1">
      <c r="A1057" s="21">
        <v>19</v>
      </c>
      <c r="B1057" t="s" s="22">
        <v>414</v>
      </c>
      <c r="C1057" s="23">
        <v>1</v>
      </c>
      <c r="D1057" t="s" s="24">
        <v>116</v>
      </c>
      <c r="E1057" s="25">
        <v>5.2</v>
      </c>
      <c r="F1057" s="23">
        <v>10</v>
      </c>
      <c r="G1057" s="152" cm="1">
        <f t="array" ref="G1057">SUM(E1057/F1057)</f>
        <v>0.52</v>
      </c>
      <c r="H1057" s="15"/>
    </row>
    <row r="1058" ht="13.65" customHeight="1">
      <c r="A1058" s="21">
        <v>63</v>
      </c>
      <c r="B1058" t="s" s="22">
        <v>458</v>
      </c>
      <c r="C1058" t="s" s="24">
        <v>390</v>
      </c>
      <c r="D1058" t="s" s="24">
        <v>457</v>
      </c>
      <c r="E1058" s="25">
        <v>4.8</v>
      </c>
      <c r="F1058" s="23">
        <v>20</v>
      </c>
      <c r="G1058" s="152" cm="1">
        <f t="array" ref="G1058">SUM(E1058/F1058)</f>
        <v>0.24</v>
      </c>
      <c r="H1058" s="15"/>
    </row>
    <row r="1059" ht="13.65" customHeight="1">
      <c r="A1059" s="28"/>
      <c r="B1059" s="28"/>
      <c r="C1059" s="27"/>
      <c r="D1059" s="24"/>
      <c r="E1059" s="27"/>
      <c r="F1059" t="s" s="29">
        <v>118</v>
      </c>
      <c r="G1059" s="197" cm="1">
        <f t="array" ref="G1059">SUM(G1041:G1058)</f>
        <v>10.1234356960309</v>
      </c>
      <c r="H1059" s="15"/>
    </row>
    <row r="1060" ht="13.65" customHeight="1">
      <c r="A1060" s="129"/>
      <c r="B1060" s="129"/>
      <c r="C1060" s="129"/>
      <c r="D1060" s="129"/>
      <c r="E1060" s="129"/>
      <c r="F1060" s="31"/>
      <c r="G1060" s="31"/>
      <c r="H1060" s="3"/>
    </row>
    <row r="1061" ht="11.7" customHeight="1">
      <c r="A1061" t="s" s="167">
        <v>136</v>
      </c>
      <c r="B1061" t="s" s="167">
        <v>281</v>
      </c>
      <c r="C1061" t="s" s="167">
        <v>282</v>
      </c>
      <c r="D1061" t="s" s="168">
        <v>283</v>
      </c>
      <c r="E1061" s="169"/>
      <c r="F1061" s="170"/>
      <c r="G1061" s="171"/>
      <c r="H1061" s="171"/>
    </row>
    <row r="1062" ht="13.65" customHeight="1">
      <c r="A1062" s="23">
        <v>60</v>
      </c>
      <c r="B1062" s="172" cm="1">
        <f t="array" ref="B1062">SUM(H256)</f>
        <v>2.47496540404041</v>
      </c>
      <c r="C1062" s="198" cm="1">
        <f t="array" ref="C1062">SUM(G1059)</f>
        <v>10.1234356960309</v>
      </c>
      <c r="D1062" s="199" cm="1">
        <f t="array" ref="D1062">SUM(A1062*B1062)+(C1062)</f>
        <v>158.621359938456</v>
      </c>
      <c r="E1062" s="200"/>
      <c r="F1062" s="15"/>
      <c r="G1062" s="3"/>
      <c r="H1062" s="3"/>
    </row>
    <row r="1063" ht="13.65" customHeight="1">
      <c r="A1063" s="176"/>
      <c r="B1063" s="176"/>
      <c r="C1063" s="176"/>
      <c r="D1063" s="176"/>
      <c r="E1063" s="290"/>
      <c r="F1063" s="3"/>
      <c r="G1063" s="3"/>
      <c r="H1063" s="3"/>
    </row>
    <row r="1064" ht="13.65" customHeight="1">
      <c r="A1064" s="203"/>
      <c r="B1064" s="203"/>
      <c r="C1064" s="203"/>
      <c r="D1064" s="203"/>
      <c r="E1064" s="203"/>
      <c r="F1064" s="203"/>
      <c r="G1064" s="203"/>
      <c r="H1064" s="203"/>
    </row>
    <row r="1065" ht="13.65" customHeight="1">
      <c r="A1065" t="s" s="274">
        <v>284</v>
      </c>
      <c r="B1065" s="275"/>
      <c r="C1065" s="275"/>
      <c r="D1065" s="275"/>
      <c r="E1065" s="280"/>
      <c r="F1065" s="275"/>
      <c r="G1065" s="275"/>
      <c r="H1065" s="277"/>
    </row>
    <row r="1066" ht="13.65" customHeight="1">
      <c r="A1066" s="278"/>
      <c r="B1066" s="278"/>
      <c r="C1066" s="278"/>
      <c r="D1066" s="278"/>
      <c r="E1066" s="278"/>
      <c r="F1066" s="278"/>
      <c r="G1066" s="278"/>
      <c r="H1066" s="278"/>
    </row>
    <row r="1067" ht="13.65" customHeight="1">
      <c r="A1067" s="3"/>
      <c r="B1067" s="3"/>
      <c r="C1067" s="3"/>
      <c r="D1067" s="3"/>
      <c r="E1067" s="3"/>
      <c r="F1067" s="3"/>
      <c r="G1067" s="3"/>
      <c r="H1067" s="3"/>
    </row>
    <row r="1068" ht="13.65" customHeight="1">
      <c r="A1068" t="s" s="5">
        <v>459</v>
      </c>
      <c r="B1068" s="3"/>
      <c r="C1068" s="3"/>
      <c r="D1068" s="3"/>
      <c r="E1068" s="3"/>
      <c r="F1068" s="3"/>
      <c r="G1068" s="3"/>
      <c r="H1068" s="3"/>
    </row>
    <row r="1069" ht="13.65" customHeight="1">
      <c r="A1069" s="11"/>
      <c r="B1069" s="11"/>
      <c r="C1069" s="11"/>
      <c r="D1069" s="11"/>
      <c r="E1069" s="11"/>
      <c r="F1069" s="11"/>
      <c r="G1069" s="11"/>
      <c r="H1069" s="3"/>
    </row>
    <row r="1070" ht="13.65" customHeight="1">
      <c r="A1070" s="12"/>
      <c r="B1070" s="12"/>
      <c r="C1070" s="13"/>
      <c r="D1070" s="14"/>
      <c r="E1070" s="13"/>
      <c r="F1070" s="13"/>
      <c r="G1070" t="s" s="14">
        <v>252</v>
      </c>
      <c r="H1070" s="150"/>
    </row>
    <row r="1071" ht="13.65" customHeight="1">
      <c r="A1071" t="s" s="16">
        <v>93</v>
      </c>
      <c r="B1071" t="s" s="16">
        <v>94</v>
      </c>
      <c r="C1071" t="s" s="16">
        <v>95</v>
      </c>
      <c r="D1071" t="s" s="16">
        <v>96</v>
      </c>
      <c r="E1071" t="s" s="16">
        <v>97</v>
      </c>
      <c r="F1071" t="s" s="16">
        <v>98</v>
      </c>
      <c r="G1071" t="s" s="16">
        <v>99</v>
      </c>
      <c r="H1071" s="15"/>
    </row>
    <row r="1072" ht="13.65" customHeight="1">
      <c r="A1072" s="151"/>
      <c r="B1072" s="151"/>
      <c r="C1072" s="19"/>
      <c r="D1072" s="20"/>
      <c r="E1072" s="19"/>
      <c r="F1072" s="19"/>
      <c r="G1072" t="s" s="20">
        <v>100</v>
      </c>
      <c r="H1072" s="15"/>
    </row>
    <row r="1073" ht="13.65" customHeight="1">
      <c r="A1073" s="21">
        <v>72</v>
      </c>
      <c r="B1073" t="s" s="22">
        <v>101</v>
      </c>
      <c r="C1073" s="23">
        <v>50</v>
      </c>
      <c r="D1073" t="s" s="24">
        <v>274</v>
      </c>
      <c r="E1073" s="25">
        <v>1.93</v>
      </c>
      <c r="F1073" s="23">
        <v>12.5</v>
      </c>
      <c r="G1073" s="152" cm="1">
        <f t="array" ref="G1073">SUM(E1073/F1073)</f>
        <v>0.1544</v>
      </c>
      <c r="H1073" s="15"/>
    </row>
    <row r="1074" ht="13.65" customHeight="1">
      <c r="A1074" s="21">
        <v>123</v>
      </c>
      <c r="B1074" t="s" s="22">
        <v>103</v>
      </c>
      <c r="C1074" s="23">
        <v>40</v>
      </c>
      <c r="D1074" t="s" s="24">
        <v>102</v>
      </c>
      <c r="E1074" s="25">
        <v>3.2</v>
      </c>
      <c r="F1074" s="23">
        <v>20</v>
      </c>
      <c r="G1074" s="152" cm="1">
        <f t="array" ref="G1074">SUM(E1074/F1074)</f>
        <v>0.16</v>
      </c>
      <c r="H1074" s="15"/>
    </row>
    <row r="1075" ht="13.65" customHeight="1">
      <c r="A1075" s="21">
        <v>57</v>
      </c>
      <c r="B1075" t="s" s="22">
        <v>253</v>
      </c>
      <c r="C1075" t="s" s="24">
        <v>254</v>
      </c>
      <c r="D1075" t="s" s="24">
        <v>371</v>
      </c>
      <c r="E1075" s="25">
        <v>4.5</v>
      </c>
      <c r="F1075" s="23">
        <v>33</v>
      </c>
      <c r="G1075" s="152" cm="1">
        <f t="array" ref="G1075">SUM(E1075/F1075)</f>
        <v>0.136363636363636</v>
      </c>
      <c r="H1075" s="15"/>
    </row>
    <row r="1076" ht="13.65" customHeight="1">
      <c r="A1076" s="21">
        <v>65</v>
      </c>
      <c r="B1076" t="s" s="22">
        <v>394</v>
      </c>
      <c r="C1076" s="23">
        <v>500</v>
      </c>
      <c r="D1076" t="s" s="24">
        <v>460</v>
      </c>
      <c r="E1076" s="25">
        <v>26</v>
      </c>
      <c r="F1076" s="23">
        <v>100</v>
      </c>
      <c r="G1076" s="152" cm="1">
        <f t="array" ref="G1076">SUM(E1076/F1076)</f>
        <v>0.26</v>
      </c>
      <c r="H1076" s="15"/>
    </row>
    <row r="1077" ht="13.65" customHeight="1">
      <c r="A1077" s="21">
        <v>86</v>
      </c>
      <c r="B1077" t="s" s="22">
        <v>107</v>
      </c>
      <c r="C1077" t="s" s="24">
        <v>108</v>
      </c>
      <c r="D1077" t="s" s="24">
        <v>274</v>
      </c>
      <c r="E1077" s="25">
        <v>0.32</v>
      </c>
      <c r="F1077" t="s" s="24">
        <v>301</v>
      </c>
      <c r="G1077" s="152" cm="1">
        <f t="array" ref="G1077">SUM(E1077*4)</f>
        <v>1.28</v>
      </c>
      <c r="H1077" s="15"/>
    </row>
    <row r="1078" ht="13.65" customHeight="1">
      <c r="A1078" s="21">
        <v>71</v>
      </c>
      <c r="B1078" t="s" s="22">
        <v>109</v>
      </c>
      <c r="C1078" s="23">
        <v>10</v>
      </c>
      <c r="D1078" t="s" s="24">
        <v>274</v>
      </c>
      <c r="E1078" s="25">
        <v>5.92</v>
      </c>
      <c r="F1078" s="23">
        <v>2.5</v>
      </c>
      <c r="G1078" s="152" cm="1">
        <f t="array" ref="G1078">SUM(E1078/F1078)</f>
        <v>2.368</v>
      </c>
      <c r="H1078" s="15"/>
    </row>
    <row r="1079" ht="13.65" customHeight="1">
      <c r="A1079" s="21">
        <v>87</v>
      </c>
      <c r="B1079" t="s" s="22">
        <v>110</v>
      </c>
      <c r="C1079" s="23">
        <v>50</v>
      </c>
      <c r="D1079" t="s" s="24">
        <v>274</v>
      </c>
      <c r="E1079" s="25">
        <v>9</v>
      </c>
      <c r="F1079" s="23">
        <v>12.5</v>
      </c>
      <c r="G1079" s="152" cm="1">
        <f t="array" ref="G1079">SUM(E1079/F1079)</f>
        <v>0.72</v>
      </c>
      <c r="H1079" s="15"/>
    </row>
    <row r="1080" ht="13.65" customHeight="1">
      <c r="A1080" s="21">
        <v>55</v>
      </c>
      <c r="B1080" t="s" s="22">
        <v>111</v>
      </c>
      <c r="C1080" t="s" s="24">
        <v>112</v>
      </c>
      <c r="D1080" t="s" s="24">
        <v>461</v>
      </c>
      <c r="E1080" s="25">
        <v>2.71</v>
      </c>
      <c r="F1080" s="23">
        <v>37.5</v>
      </c>
      <c r="G1080" s="152" cm="1">
        <f t="array" ref="G1080">SUM(E1080/F1080)</f>
        <v>0.0722666666666667</v>
      </c>
      <c r="H1080" s="15"/>
    </row>
    <row r="1081" ht="13.65" customHeight="1">
      <c r="A1081" s="21">
        <v>88</v>
      </c>
      <c r="B1081" t="s" s="22">
        <v>117</v>
      </c>
      <c r="C1081" s="27"/>
      <c r="D1081" t="s" s="24">
        <v>102</v>
      </c>
      <c r="E1081" s="25">
        <v>0.75</v>
      </c>
      <c r="F1081" t="s" s="24">
        <v>387</v>
      </c>
      <c r="G1081" s="152" cm="1">
        <f t="array" ref="G1081">SUM(E1081*2)</f>
        <v>1.5</v>
      </c>
      <c r="H1081" s="15"/>
    </row>
    <row r="1082" ht="13.65" customHeight="1">
      <c r="A1082" s="21">
        <v>10</v>
      </c>
      <c r="B1082" t="s" s="22">
        <v>395</v>
      </c>
      <c r="C1082" t="s" s="24">
        <v>396</v>
      </c>
      <c r="D1082" t="s" s="24">
        <v>462</v>
      </c>
      <c r="E1082" s="25">
        <v>3.92</v>
      </c>
      <c r="F1082" s="23">
        <v>25</v>
      </c>
      <c r="G1082" s="152" cm="1">
        <f t="array" ref="G1082">SUM(E1082/F1082)</f>
        <v>0.1568</v>
      </c>
      <c r="H1082" s="15"/>
    </row>
    <row r="1083" ht="13.65" customHeight="1">
      <c r="A1083" s="21">
        <v>9</v>
      </c>
      <c r="B1083" t="s" s="22">
        <v>398</v>
      </c>
      <c r="C1083" s="23">
        <v>50</v>
      </c>
      <c r="D1083" t="s" s="24">
        <v>256</v>
      </c>
      <c r="E1083" s="25">
        <v>14</v>
      </c>
      <c r="F1083" s="23">
        <v>16.7</v>
      </c>
      <c r="G1083" s="152" cm="1">
        <f t="array" ref="G1083">SUM(E1083/F1083)</f>
        <v>0.838323353293413</v>
      </c>
      <c r="H1083" s="15"/>
    </row>
    <row r="1084" ht="13.65" customHeight="1">
      <c r="A1084" s="21">
        <v>6</v>
      </c>
      <c r="B1084" t="s" s="22">
        <v>399</v>
      </c>
      <c r="C1084" s="23">
        <v>100</v>
      </c>
      <c r="D1084" t="s" s="24">
        <v>102</v>
      </c>
      <c r="E1084" s="25">
        <v>19</v>
      </c>
      <c r="F1084" s="23">
        <v>50</v>
      </c>
      <c r="G1084" s="152" cm="1">
        <f t="array" ref="G1084">SUM(E1084/F1084)</f>
        <v>0.38</v>
      </c>
      <c r="H1084" s="15"/>
    </row>
    <row r="1085" ht="13.65" customHeight="1">
      <c r="A1085" s="21">
        <v>79</v>
      </c>
      <c r="B1085" t="s" s="22">
        <v>439</v>
      </c>
      <c r="C1085" s="23">
        <v>20</v>
      </c>
      <c r="D1085" t="s" s="24">
        <v>104</v>
      </c>
      <c r="E1085" s="25">
        <v>25</v>
      </c>
      <c r="F1085" s="23">
        <v>20</v>
      </c>
      <c r="G1085" s="152" cm="1">
        <f t="array" ref="G1085">SUM(E1085/F1085)</f>
        <v>1.25</v>
      </c>
      <c r="H1085" s="15"/>
    </row>
    <row r="1086" ht="13.65" customHeight="1">
      <c r="A1086" s="21">
        <v>85</v>
      </c>
      <c r="B1086" t="s" s="22">
        <v>463</v>
      </c>
      <c r="C1086" t="s" s="24">
        <v>464</v>
      </c>
      <c r="D1086" t="s" s="24">
        <v>384</v>
      </c>
      <c r="E1086" s="25">
        <v>4.82</v>
      </c>
      <c r="F1086" s="23">
        <v>50</v>
      </c>
      <c r="G1086" s="152" cm="1">
        <f t="array" ref="G1086">SUM(E1086/F1086)</f>
        <v>0.0964</v>
      </c>
      <c r="H1086" s="15"/>
    </row>
    <row r="1087" ht="13.65" customHeight="1">
      <c r="A1087" s="21">
        <v>97</v>
      </c>
      <c r="B1087" t="s" s="22">
        <v>465</v>
      </c>
      <c r="C1087" s="23">
        <v>120</v>
      </c>
      <c r="D1087" t="s" s="24">
        <v>261</v>
      </c>
      <c r="E1087" s="25">
        <v>10.5</v>
      </c>
      <c r="F1087" s="23">
        <v>6</v>
      </c>
      <c r="G1087" s="152" cm="1">
        <f t="array" ref="G1087">SUM(E1087/F1087)</f>
        <v>1.75</v>
      </c>
      <c r="H1087" s="15"/>
    </row>
    <row r="1088" ht="13.65" customHeight="1">
      <c r="A1088" s="21">
        <v>99</v>
      </c>
      <c r="B1088" t="s" s="22">
        <v>454</v>
      </c>
      <c r="C1088" t="s" s="24">
        <v>455</v>
      </c>
      <c r="D1088" t="s" s="24">
        <v>424</v>
      </c>
      <c r="E1088" s="25">
        <v>25</v>
      </c>
      <c r="F1088" s="23">
        <v>50</v>
      </c>
      <c r="G1088" s="152" cm="1">
        <f t="array" ref="G1088">SUM(E1088/F1088)</f>
        <v>0.5</v>
      </c>
      <c r="H1088" s="15"/>
    </row>
    <row r="1089" ht="13.65" customHeight="1">
      <c r="A1089" s="21">
        <v>34</v>
      </c>
      <c r="B1089" t="s" s="22">
        <v>456</v>
      </c>
      <c r="C1089" t="s" s="24">
        <v>432</v>
      </c>
      <c r="D1089" t="s" s="24">
        <v>408</v>
      </c>
      <c r="E1089" s="25">
        <v>31</v>
      </c>
      <c r="F1089" s="23">
        <v>14</v>
      </c>
      <c r="G1089" s="152" cm="1">
        <f t="array" ref="G1089">SUM(E1089/F1089)</f>
        <v>2.21428571428571</v>
      </c>
      <c r="H1089" s="15"/>
    </row>
    <row r="1090" ht="13.65" customHeight="1">
      <c r="A1090" s="28"/>
      <c r="B1090" s="28"/>
      <c r="C1090" t="s" s="24">
        <v>390</v>
      </c>
      <c r="D1090" t="s" s="24">
        <v>457</v>
      </c>
      <c r="E1090" s="25">
        <v>14</v>
      </c>
      <c r="F1090" s="23">
        <v>20</v>
      </c>
      <c r="G1090" s="152" cm="1">
        <f t="array" ref="G1090">SUM(E1090/F1090)</f>
        <v>0.7</v>
      </c>
      <c r="H1090" s="15"/>
    </row>
    <row r="1091" ht="13.65" customHeight="1">
      <c r="A1091" s="21">
        <v>82</v>
      </c>
      <c r="B1091" t="s" s="22">
        <v>466</v>
      </c>
      <c r="C1091" s="23">
        <v>6</v>
      </c>
      <c r="D1091" t="s" s="24">
        <v>256</v>
      </c>
      <c r="E1091" s="25">
        <v>41</v>
      </c>
      <c r="F1091" s="23">
        <v>2</v>
      </c>
      <c r="G1091" s="152" cm="1">
        <f t="array" ref="G1091">SUM(E1091/F1091)</f>
        <v>20.5</v>
      </c>
      <c r="H1091" s="15"/>
    </row>
    <row r="1092" ht="13.65" customHeight="1">
      <c r="A1092" s="21">
        <v>119</v>
      </c>
      <c r="B1092" t="s" s="22">
        <v>467</v>
      </c>
      <c r="C1092" s="23">
        <v>1</v>
      </c>
      <c r="D1092" t="s" s="24">
        <v>468</v>
      </c>
      <c r="E1092" s="25">
        <v>0.45</v>
      </c>
      <c r="F1092" s="23">
        <v>1</v>
      </c>
      <c r="G1092" s="152" cm="1">
        <f t="array" ref="G1092">SUM(E1092/F1092)</f>
        <v>0.45</v>
      </c>
      <c r="H1092" s="15"/>
    </row>
    <row r="1093" ht="13.65" customHeight="1">
      <c r="A1093" s="21">
        <v>19</v>
      </c>
      <c r="B1093" t="s" s="22">
        <v>414</v>
      </c>
      <c r="C1093" s="23">
        <v>1</v>
      </c>
      <c r="D1093" t="s" s="24">
        <v>116</v>
      </c>
      <c r="E1093" s="25">
        <v>5.2</v>
      </c>
      <c r="F1093" s="23">
        <v>10</v>
      </c>
      <c r="G1093" s="152" cm="1">
        <f t="array" ref="G1093">SUM(E1093/F1093)</f>
        <v>0.52</v>
      </c>
      <c r="H1093" s="15"/>
    </row>
    <row r="1094" ht="13.65" customHeight="1">
      <c r="A1094" s="28"/>
      <c r="B1094" s="28"/>
      <c r="C1094" s="27"/>
      <c r="D1094" s="24"/>
      <c r="E1094" s="27"/>
      <c r="F1094" t="s" s="29">
        <v>118</v>
      </c>
      <c r="G1094" s="197" cm="1">
        <f t="array" ref="G1094">SUM(G1073:G1093)</f>
        <v>36.0068393706094</v>
      </c>
      <c r="H1094" s="15"/>
    </row>
    <row r="1095" ht="13.65" customHeight="1">
      <c r="A1095" s="129"/>
      <c r="B1095" s="129"/>
      <c r="C1095" s="129"/>
      <c r="D1095" s="129"/>
      <c r="E1095" s="129"/>
      <c r="F1095" s="31"/>
      <c r="G1095" s="31"/>
      <c r="H1095" s="3"/>
    </row>
    <row r="1096" ht="11.7" customHeight="1">
      <c r="A1096" t="s" s="167">
        <v>136</v>
      </c>
      <c r="B1096" t="s" s="167">
        <v>281</v>
      </c>
      <c r="C1096" t="s" s="167">
        <v>282</v>
      </c>
      <c r="D1096" t="s" s="168">
        <v>283</v>
      </c>
      <c r="E1096" s="169"/>
      <c r="F1096" s="170"/>
      <c r="G1096" s="171"/>
      <c r="H1096" s="171"/>
    </row>
    <row r="1097" ht="13.65" customHeight="1">
      <c r="A1097" s="23">
        <v>90</v>
      </c>
      <c r="B1097" s="172" cm="1">
        <f t="array" ref="B1097">SUM(H256)</f>
        <v>2.47496540404041</v>
      </c>
      <c r="C1097" s="172" cm="1">
        <f t="array" ref="C1097">SUM(G1094)</f>
        <v>36.0068393706094</v>
      </c>
      <c r="D1097" s="199" cm="1">
        <f t="array" ref="D1097">SUM(A1097*B1097)+(C1097)</f>
        <v>258.753725734246</v>
      </c>
      <c r="E1097" s="200"/>
      <c r="F1097" s="15"/>
      <c r="G1097" s="3"/>
      <c r="H1097" s="3"/>
    </row>
    <row r="1098" ht="13.65" customHeight="1">
      <c r="A1098" s="31"/>
      <c r="B1098" s="31"/>
      <c r="C1098" s="31"/>
      <c r="D1098" s="31"/>
      <c r="E1098" s="31"/>
      <c r="F1098" s="3"/>
      <c r="G1098" s="3"/>
      <c r="H1098" s="3"/>
    </row>
    <row r="1099" ht="13.65" customHeight="1">
      <c r="A1099" s="3"/>
      <c r="B1099" s="3"/>
      <c r="C1099" s="3"/>
      <c r="D1099" s="3"/>
      <c r="E1099" s="3"/>
      <c r="F1099" s="3"/>
      <c r="G1099" s="3"/>
      <c r="H1099" s="3"/>
    </row>
    <row r="1100" ht="13.65" customHeight="1">
      <c r="A1100" t="s" s="5">
        <v>469</v>
      </c>
      <c r="B1100" s="3"/>
      <c r="C1100" s="3"/>
      <c r="D1100" s="3"/>
      <c r="E1100" s="3"/>
      <c r="F1100" s="3"/>
      <c r="G1100" s="3"/>
      <c r="H1100" s="3"/>
    </row>
    <row r="1101" ht="13.65" customHeight="1">
      <c r="A1101" s="11"/>
      <c r="B1101" s="11"/>
      <c r="C1101" s="11"/>
      <c r="D1101" s="11"/>
      <c r="E1101" s="11"/>
      <c r="F1101" s="11"/>
      <c r="G1101" s="11"/>
      <c r="H1101" s="3"/>
    </row>
    <row r="1102" ht="13.65" customHeight="1">
      <c r="A1102" s="12"/>
      <c r="B1102" s="12"/>
      <c r="C1102" s="13"/>
      <c r="D1102" s="14"/>
      <c r="E1102" s="13"/>
      <c r="F1102" s="13"/>
      <c r="G1102" t="s" s="14">
        <v>252</v>
      </c>
      <c r="H1102" s="150"/>
    </row>
    <row r="1103" ht="13.65" customHeight="1">
      <c r="A1103" t="s" s="16">
        <v>93</v>
      </c>
      <c r="B1103" t="s" s="16">
        <v>94</v>
      </c>
      <c r="C1103" t="s" s="16">
        <v>95</v>
      </c>
      <c r="D1103" t="s" s="16">
        <v>96</v>
      </c>
      <c r="E1103" t="s" s="16">
        <v>97</v>
      </c>
      <c r="F1103" t="s" s="16">
        <v>98</v>
      </c>
      <c r="G1103" t="s" s="16">
        <v>99</v>
      </c>
      <c r="H1103" s="15"/>
    </row>
    <row r="1104" ht="13.65" customHeight="1">
      <c r="A1104" s="151"/>
      <c r="B1104" s="151"/>
      <c r="C1104" s="19"/>
      <c r="D1104" s="20"/>
      <c r="E1104" s="19"/>
      <c r="F1104" s="19"/>
      <c r="G1104" t="s" s="20">
        <v>100</v>
      </c>
      <c r="H1104" s="15"/>
    </row>
    <row r="1105" ht="13.65" customHeight="1">
      <c r="A1105" s="21">
        <v>72</v>
      </c>
      <c r="B1105" t="s" s="22">
        <v>101</v>
      </c>
      <c r="C1105" s="23">
        <v>50</v>
      </c>
      <c r="D1105" t="s" s="24">
        <v>102</v>
      </c>
      <c r="E1105" s="25">
        <v>1.93</v>
      </c>
      <c r="F1105" s="23">
        <v>25</v>
      </c>
      <c r="G1105" s="152" cm="1">
        <f t="array" ref="G1105">SUM(E1105/F1105)</f>
        <v>0.0772</v>
      </c>
      <c r="H1105" s="15"/>
    </row>
    <row r="1106" ht="13.65" customHeight="1">
      <c r="A1106" s="21">
        <v>123</v>
      </c>
      <c r="B1106" t="s" s="22">
        <v>103</v>
      </c>
      <c r="C1106" s="23">
        <v>40</v>
      </c>
      <c r="D1106" t="s" s="24">
        <v>104</v>
      </c>
      <c r="E1106" s="25">
        <v>3.2</v>
      </c>
      <c r="F1106" s="23">
        <v>40</v>
      </c>
      <c r="G1106" s="152" cm="1">
        <f t="array" ref="G1106">SUM(E1106/F1106)</f>
        <v>0.08</v>
      </c>
      <c r="H1106" s="15"/>
    </row>
    <row r="1107" ht="13.65" customHeight="1">
      <c r="A1107" s="21">
        <v>65</v>
      </c>
      <c r="B1107" t="s" s="22">
        <v>394</v>
      </c>
      <c r="C1107" s="23">
        <v>500</v>
      </c>
      <c r="D1107" t="s" s="24">
        <v>274</v>
      </c>
      <c r="E1107" s="25">
        <v>26</v>
      </c>
      <c r="F1107" s="23">
        <v>125</v>
      </c>
      <c r="G1107" s="152" cm="1">
        <f t="array" ref="G1107">SUM(E1107/F1107)</f>
        <v>0.208</v>
      </c>
      <c r="H1107" s="15"/>
    </row>
    <row r="1108" ht="13.65" customHeight="1">
      <c r="A1108" s="21">
        <v>140</v>
      </c>
      <c r="B1108" t="s" s="22">
        <v>470</v>
      </c>
      <c r="C1108" t="s" s="24">
        <v>108</v>
      </c>
      <c r="D1108" t="s" s="24">
        <v>102</v>
      </c>
      <c r="E1108" s="25">
        <v>1.12</v>
      </c>
      <c r="F1108" t="s" s="24">
        <v>387</v>
      </c>
      <c r="G1108" s="152" cm="1">
        <f t="array" ref="G1108">SUM(E1108*2)</f>
        <v>2.24</v>
      </c>
      <c r="H1108" s="15"/>
    </row>
    <row r="1109" ht="13.65" customHeight="1">
      <c r="A1109" s="21">
        <v>71</v>
      </c>
      <c r="B1109" t="s" s="22">
        <v>109</v>
      </c>
      <c r="C1109" s="23">
        <v>10</v>
      </c>
      <c r="D1109" t="s" s="24">
        <v>102</v>
      </c>
      <c r="E1109" s="25">
        <v>5.92</v>
      </c>
      <c r="F1109" s="23">
        <v>5</v>
      </c>
      <c r="G1109" s="152" cm="1">
        <f t="array" ref="G1109">SUM(E1109/F1109)</f>
        <v>1.184</v>
      </c>
      <c r="H1109" s="15"/>
    </row>
    <row r="1110" ht="13.65" customHeight="1">
      <c r="A1110" s="21">
        <v>87</v>
      </c>
      <c r="B1110" t="s" s="22">
        <v>110</v>
      </c>
      <c r="C1110" s="23">
        <v>50</v>
      </c>
      <c r="D1110" t="s" s="24">
        <v>102</v>
      </c>
      <c r="E1110" s="25">
        <v>9</v>
      </c>
      <c r="F1110" s="23">
        <v>25</v>
      </c>
      <c r="G1110" s="152" cm="1">
        <f t="array" ref="G1110">SUM(E1110/F1110)</f>
        <v>0.36</v>
      </c>
      <c r="H1110" s="15"/>
    </row>
    <row r="1111" ht="13.65" customHeight="1">
      <c r="A1111" s="21">
        <v>55</v>
      </c>
      <c r="B1111" t="s" s="22">
        <v>111</v>
      </c>
      <c r="C1111" t="s" s="24">
        <v>112</v>
      </c>
      <c r="D1111" t="s" s="24">
        <v>113</v>
      </c>
      <c r="E1111" s="25">
        <v>2.71</v>
      </c>
      <c r="F1111" s="23">
        <v>75</v>
      </c>
      <c r="G1111" s="152" cm="1">
        <f t="array" ref="G1111">SUM(E1111/F1111)</f>
        <v>0.0361333333333333</v>
      </c>
      <c r="H1111" s="15"/>
    </row>
    <row r="1112" ht="13.65" customHeight="1">
      <c r="A1112" s="21">
        <v>88</v>
      </c>
      <c r="B1112" t="s" s="22">
        <v>430</v>
      </c>
      <c r="C1112" s="27"/>
      <c r="D1112" t="s" s="24">
        <v>102</v>
      </c>
      <c r="E1112" s="25">
        <v>0.75</v>
      </c>
      <c r="F1112" t="s" s="24">
        <v>387</v>
      </c>
      <c r="G1112" s="152" cm="1">
        <f t="array" ref="G1112">SUM(E1112*2)</f>
        <v>1.5</v>
      </c>
      <c r="H1112" s="15"/>
    </row>
    <row r="1113" ht="13.65" customHeight="1">
      <c r="A1113" s="21">
        <v>10</v>
      </c>
      <c r="B1113" t="s" s="22">
        <v>395</v>
      </c>
      <c r="C1113" t="s" s="24">
        <v>396</v>
      </c>
      <c r="D1113" t="s" s="24">
        <v>397</v>
      </c>
      <c r="E1113" s="25">
        <v>3.92</v>
      </c>
      <c r="F1113" s="23">
        <v>50</v>
      </c>
      <c r="G1113" s="152" cm="1">
        <f t="array" ref="G1113">SUM(E1113/F1113)</f>
        <v>0.0784</v>
      </c>
      <c r="H1113" s="15"/>
    </row>
    <row r="1114" ht="13.65" customHeight="1">
      <c r="A1114" s="21">
        <v>9</v>
      </c>
      <c r="B1114" t="s" s="22">
        <v>398</v>
      </c>
      <c r="C1114" s="23">
        <v>50</v>
      </c>
      <c r="D1114" t="s" s="24">
        <v>104</v>
      </c>
      <c r="E1114" s="25">
        <v>14</v>
      </c>
      <c r="F1114" s="23">
        <v>50</v>
      </c>
      <c r="G1114" s="152" cm="1">
        <f t="array" ref="G1114">SUM(E1114/F1114)</f>
        <v>0.28</v>
      </c>
      <c r="H1114" s="15"/>
    </row>
    <row r="1115" ht="13.65" customHeight="1">
      <c r="A1115" s="21">
        <v>6</v>
      </c>
      <c r="B1115" t="s" s="22">
        <v>399</v>
      </c>
      <c r="C1115" s="23">
        <v>100</v>
      </c>
      <c r="D1115" t="s" s="24">
        <v>104</v>
      </c>
      <c r="E1115" s="25">
        <v>19</v>
      </c>
      <c r="F1115" s="23">
        <v>100</v>
      </c>
      <c r="G1115" s="152" cm="1">
        <f t="array" ref="G1115">SUM(E1115/F1115)</f>
        <v>0.19</v>
      </c>
      <c r="H1115" s="15"/>
    </row>
    <row r="1116" ht="13.65" customHeight="1">
      <c r="A1116" s="21">
        <v>56</v>
      </c>
      <c r="B1116" t="s" s="22">
        <v>471</v>
      </c>
      <c r="C1116" s="23">
        <v>1</v>
      </c>
      <c r="D1116" t="s" s="24">
        <v>104</v>
      </c>
      <c r="E1116" s="25">
        <v>3.5</v>
      </c>
      <c r="F1116" s="23">
        <v>1</v>
      </c>
      <c r="G1116" s="152" cm="1">
        <f t="array" ref="G1116">SUM(E1116/F1116)</f>
        <v>3.5</v>
      </c>
      <c r="H1116" s="15"/>
    </row>
    <row r="1117" ht="13.65" customHeight="1">
      <c r="A1117" s="28"/>
      <c r="B1117" s="28"/>
      <c r="C1117" s="27"/>
      <c r="D1117" s="24"/>
      <c r="E1117" s="27"/>
      <c r="F1117" t="s" s="29">
        <v>118</v>
      </c>
      <c r="G1117" s="197" cm="1">
        <f t="array" ref="G1117">SUM(G1105:G1116)</f>
        <v>9.73373333333333</v>
      </c>
      <c r="H1117" s="15"/>
    </row>
    <row r="1118" ht="13.65" customHeight="1">
      <c r="A1118" s="129"/>
      <c r="B1118" s="129"/>
      <c r="C1118" s="129"/>
      <c r="D1118" s="129"/>
      <c r="E1118" s="129"/>
      <c r="F1118" s="31"/>
      <c r="G1118" s="31"/>
      <c r="H1118" s="3"/>
    </row>
    <row r="1119" ht="11.7" customHeight="1">
      <c r="A1119" t="s" s="167">
        <v>136</v>
      </c>
      <c r="B1119" t="s" s="167">
        <v>281</v>
      </c>
      <c r="C1119" t="s" s="167">
        <v>282</v>
      </c>
      <c r="D1119" t="s" s="168">
        <v>283</v>
      </c>
      <c r="E1119" s="169"/>
      <c r="F1119" s="170"/>
      <c r="G1119" s="171"/>
      <c r="H1119" s="171"/>
    </row>
    <row r="1120" ht="13.65" customHeight="1">
      <c r="A1120" s="23">
        <v>30</v>
      </c>
      <c r="B1120" s="172" cm="1">
        <f t="array" ref="B1120">SUM(H256)</f>
        <v>2.47496540404041</v>
      </c>
      <c r="C1120" s="198" cm="1">
        <f t="array" ref="C1120">SUM(G1117)</f>
        <v>9.73373333333333</v>
      </c>
      <c r="D1120" s="199" cm="1">
        <f t="array" ref="D1120">SUM(A1120*B1120)+(C1120)</f>
        <v>83.98269545454561</v>
      </c>
      <c r="E1120" s="200"/>
      <c r="F1120" s="15"/>
      <c r="G1120" s="3"/>
      <c r="H1120" s="3"/>
    </row>
    <row r="1121" ht="13.65" customHeight="1">
      <c r="A1121" s="31"/>
      <c r="B1121" s="31"/>
      <c r="C1121" s="31"/>
      <c r="D1121" s="31"/>
      <c r="E1121" s="31"/>
      <c r="F1121" s="3"/>
      <c r="G1121" s="3"/>
      <c r="H1121" s="3"/>
    </row>
    <row r="1122" ht="13.65" customHeight="1">
      <c r="A1122" s="203"/>
      <c r="B1122" s="203"/>
      <c r="C1122" s="203"/>
      <c r="D1122" s="203"/>
      <c r="E1122" s="203"/>
      <c r="F1122" s="203"/>
      <c r="G1122" s="203"/>
      <c r="H1122" s="203"/>
    </row>
    <row r="1123" ht="13.65" customHeight="1">
      <c r="A1123" t="s" s="274">
        <v>185</v>
      </c>
      <c r="B1123" s="275"/>
      <c r="C1123" s="275"/>
      <c r="D1123" s="275"/>
      <c r="E1123" s="280"/>
      <c r="F1123" s="275"/>
      <c r="G1123" s="275"/>
      <c r="H1123" s="277"/>
    </row>
    <row r="1124" ht="13.65" customHeight="1">
      <c r="A1124" s="278"/>
      <c r="B1124" s="278"/>
      <c r="C1124" s="278"/>
      <c r="D1124" s="278"/>
      <c r="E1124" s="278"/>
      <c r="F1124" s="278"/>
      <c r="G1124" s="278"/>
      <c r="H1124" s="278"/>
    </row>
    <row r="1125" ht="13.65" customHeight="1">
      <c r="A1125" s="3"/>
      <c r="B1125" s="3"/>
      <c r="C1125" s="3"/>
      <c r="D1125" s="3"/>
      <c r="E1125" s="3"/>
      <c r="F1125" s="3"/>
      <c r="G1125" s="3"/>
      <c r="H1125" s="3"/>
    </row>
    <row r="1126" ht="13.65" customHeight="1">
      <c r="A1126" t="s" s="5">
        <v>472</v>
      </c>
      <c r="B1126" s="3"/>
      <c r="C1126" s="3"/>
      <c r="D1126" s="3"/>
      <c r="E1126" s="3"/>
      <c r="F1126" s="3"/>
      <c r="G1126" s="3"/>
      <c r="H1126" s="3"/>
    </row>
    <row r="1127" ht="13.65" customHeight="1">
      <c r="A1127" s="11"/>
      <c r="B1127" s="11"/>
      <c r="C1127" s="11"/>
      <c r="D1127" s="11"/>
      <c r="E1127" s="11"/>
      <c r="F1127" s="11"/>
      <c r="G1127" s="11"/>
      <c r="H1127" s="3"/>
    </row>
    <row r="1128" ht="13.65" customHeight="1">
      <c r="A1128" s="12"/>
      <c r="B1128" s="12"/>
      <c r="C1128" s="13"/>
      <c r="D1128" s="14"/>
      <c r="E1128" s="13"/>
      <c r="F1128" s="13"/>
      <c r="G1128" t="s" s="14">
        <v>252</v>
      </c>
      <c r="H1128" s="150"/>
    </row>
    <row r="1129" ht="13.65" customHeight="1">
      <c r="A1129" t="s" s="16">
        <v>93</v>
      </c>
      <c r="B1129" t="s" s="16">
        <v>94</v>
      </c>
      <c r="C1129" t="s" s="16">
        <v>95</v>
      </c>
      <c r="D1129" t="s" s="16">
        <v>96</v>
      </c>
      <c r="E1129" t="s" s="16">
        <v>97</v>
      </c>
      <c r="F1129" t="s" s="16">
        <v>98</v>
      </c>
      <c r="G1129" t="s" s="16">
        <v>99</v>
      </c>
      <c r="H1129" s="15"/>
    </row>
    <row r="1130" ht="13.65" customHeight="1">
      <c r="A1130" s="151"/>
      <c r="B1130" s="151"/>
      <c r="C1130" s="19"/>
      <c r="D1130" s="20"/>
      <c r="E1130" s="19"/>
      <c r="F1130" s="19"/>
      <c r="G1130" t="s" s="20">
        <v>100</v>
      </c>
      <c r="H1130" s="15"/>
    </row>
    <row r="1131" ht="13.65" customHeight="1">
      <c r="A1131" s="21">
        <v>72</v>
      </c>
      <c r="B1131" t="s" s="22">
        <v>101</v>
      </c>
      <c r="C1131" s="23">
        <v>50</v>
      </c>
      <c r="D1131" t="s" s="24">
        <v>274</v>
      </c>
      <c r="E1131" s="25">
        <v>1.93</v>
      </c>
      <c r="F1131" s="23">
        <v>12.5</v>
      </c>
      <c r="G1131" s="152" cm="1">
        <f t="array" ref="G1131">SUM(E1131/F1131)</f>
        <v>0.1544</v>
      </c>
      <c r="H1131" s="15"/>
    </row>
    <row r="1132" ht="13.65" customHeight="1">
      <c r="A1132" s="21">
        <v>123</v>
      </c>
      <c r="B1132" t="s" s="22">
        <v>103</v>
      </c>
      <c r="C1132" s="23">
        <v>40</v>
      </c>
      <c r="D1132" t="s" s="24">
        <v>104</v>
      </c>
      <c r="E1132" s="25">
        <v>3.2</v>
      </c>
      <c r="F1132" s="23">
        <v>40</v>
      </c>
      <c r="G1132" s="152" cm="1">
        <f t="array" ref="G1132">SUM(E1132/F1132)</f>
        <v>0.08</v>
      </c>
      <c r="H1132" s="15"/>
    </row>
    <row r="1133" ht="13.65" customHeight="1">
      <c r="A1133" s="21">
        <v>86</v>
      </c>
      <c r="B1133" t="s" s="22">
        <v>107</v>
      </c>
      <c r="C1133" t="s" s="24">
        <v>108</v>
      </c>
      <c r="D1133" t="s" s="24">
        <v>274</v>
      </c>
      <c r="E1133" s="25">
        <v>0.32</v>
      </c>
      <c r="F1133" t="s" s="24">
        <v>301</v>
      </c>
      <c r="G1133" s="152" cm="1">
        <f t="array" ref="G1133">SUM(E1133*4)</f>
        <v>1.28</v>
      </c>
      <c r="H1133" s="15"/>
    </row>
    <row r="1134" ht="13.65" customHeight="1">
      <c r="A1134" s="21">
        <v>71</v>
      </c>
      <c r="B1134" t="s" s="22">
        <v>109</v>
      </c>
      <c r="C1134" s="23">
        <v>10</v>
      </c>
      <c r="D1134" t="s" s="24">
        <v>274</v>
      </c>
      <c r="E1134" s="25">
        <v>5.92</v>
      </c>
      <c r="F1134" s="23">
        <v>2.5</v>
      </c>
      <c r="G1134" s="152" cm="1">
        <f t="array" ref="G1134">SUM(E1134/F1134)</f>
        <v>2.368</v>
      </c>
      <c r="H1134" s="15"/>
    </row>
    <row r="1135" ht="13.65" customHeight="1">
      <c r="A1135" s="21">
        <v>87</v>
      </c>
      <c r="B1135" t="s" s="22">
        <v>110</v>
      </c>
      <c r="C1135" s="23">
        <v>50</v>
      </c>
      <c r="D1135" t="s" s="24">
        <v>274</v>
      </c>
      <c r="E1135" s="25">
        <v>9</v>
      </c>
      <c r="F1135" s="23">
        <v>12.5</v>
      </c>
      <c r="G1135" s="152" cm="1">
        <f t="array" ref="G1135">SUM(E1135/F1135)</f>
        <v>0.72</v>
      </c>
      <c r="H1135" s="15"/>
    </row>
    <row r="1136" ht="13.65" customHeight="1">
      <c r="A1136" s="21">
        <v>55</v>
      </c>
      <c r="B1136" t="s" s="22">
        <v>111</v>
      </c>
      <c r="C1136" t="s" s="24">
        <v>112</v>
      </c>
      <c r="D1136" t="s" s="24">
        <v>461</v>
      </c>
      <c r="E1136" s="25">
        <v>2.71</v>
      </c>
      <c r="F1136" s="23">
        <v>37</v>
      </c>
      <c r="G1136" s="152" cm="1">
        <f t="array" ref="G1136">SUM(E1136/F1136)</f>
        <v>0.0732432432432432</v>
      </c>
      <c r="H1136" s="15"/>
    </row>
    <row r="1137" ht="13.65" customHeight="1">
      <c r="A1137" s="21">
        <v>24</v>
      </c>
      <c r="B1137" t="s" s="22">
        <v>473</v>
      </c>
      <c r="C1137" s="23">
        <v>10</v>
      </c>
      <c r="D1137" t="s" s="24">
        <v>104</v>
      </c>
      <c r="E1137" s="25">
        <v>9.6</v>
      </c>
      <c r="F1137" s="23">
        <v>10</v>
      </c>
      <c r="G1137" s="152" cm="1">
        <f t="array" ref="G1137">SUM(E1137/F1137)</f>
        <v>0.96</v>
      </c>
      <c r="H1137" s="15"/>
    </row>
    <row r="1138" ht="13.65" customHeight="1">
      <c r="A1138" s="21">
        <v>27</v>
      </c>
      <c r="B1138" t="s" s="22">
        <v>474</v>
      </c>
      <c r="C1138" s="23">
        <v>18</v>
      </c>
      <c r="D1138" t="s" s="24">
        <v>104</v>
      </c>
      <c r="E1138" s="25">
        <v>6.5</v>
      </c>
      <c r="F1138" s="23">
        <v>18</v>
      </c>
      <c r="G1138" s="152" cm="1">
        <f t="array" ref="G1138">SUM(E1138/F1138)</f>
        <v>0.361111111111111</v>
      </c>
      <c r="H1138" s="15"/>
    </row>
    <row r="1139" ht="13.65" customHeight="1">
      <c r="A1139" s="21">
        <v>28</v>
      </c>
      <c r="B1139" t="s" s="22">
        <v>475</v>
      </c>
      <c r="C1139" s="23">
        <v>6</v>
      </c>
      <c r="D1139" t="s" s="24">
        <v>277</v>
      </c>
      <c r="E1139" s="25">
        <v>8</v>
      </c>
      <c r="F1139" s="23">
        <v>12</v>
      </c>
      <c r="G1139" s="152" cm="1">
        <f t="array" ref="G1139">SUM(E1139/F1139)</f>
        <v>0.666666666666667</v>
      </c>
      <c r="H1139" s="15"/>
    </row>
    <row r="1140" ht="13.65" customHeight="1">
      <c r="A1140" s="21">
        <v>111</v>
      </c>
      <c r="B1140" t="s" s="22">
        <v>476</v>
      </c>
      <c r="C1140" s="23">
        <v>1</v>
      </c>
      <c r="D1140" t="s" s="24">
        <v>462</v>
      </c>
      <c r="E1140" s="25">
        <v>2.7</v>
      </c>
      <c r="F1140" s="23">
        <v>25</v>
      </c>
      <c r="G1140" s="152" cm="1">
        <f t="array" ref="G1140">SUM(E1140/F1140)</f>
        <v>0.108</v>
      </c>
      <c r="H1140" s="15"/>
    </row>
    <row r="1141" ht="13.65" customHeight="1">
      <c r="A1141" s="21">
        <v>7</v>
      </c>
      <c r="B1141" t="s" s="22">
        <v>477</v>
      </c>
      <c r="C1141" t="s" s="24">
        <v>478</v>
      </c>
      <c r="D1141" t="s" s="24">
        <v>479</v>
      </c>
      <c r="E1141" s="25">
        <v>14</v>
      </c>
      <c r="F1141" s="23">
        <v>10</v>
      </c>
      <c r="G1141" s="152" cm="1">
        <f t="array" ref="G1141">SUM(E1141/F1141)</f>
        <v>1.4</v>
      </c>
      <c r="H1141" s="15"/>
    </row>
    <row r="1142" ht="13.65" customHeight="1">
      <c r="A1142" s="21">
        <v>68</v>
      </c>
      <c r="B1142" t="s" s="22">
        <v>480</v>
      </c>
      <c r="C1142" t="s" s="24">
        <v>481</v>
      </c>
      <c r="D1142" t="s" s="24">
        <v>380</v>
      </c>
      <c r="E1142" s="25">
        <v>16</v>
      </c>
      <c r="F1142" s="23">
        <v>10</v>
      </c>
      <c r="G1142" s="152" cm="1">
        <f t="array" ref="G1142">SUM(E1142/F1142)</f>
        <v>1.6</v>
      </c>
      <c r="H1142" s="15"/>
    </row>
    <row r="1143" ht="13.65" customHeight="1">
      <c r="A1143" s="21">
        <v>131</v>
      </c>
      <c r="B1143" t="s" s="22">
        <v>482</v>
      </c>
      <c r="C1143" s="27"/>
      <c r="D1143" s="24"/>
      <c r="E1143" s="27"/>
      <c r="F1143" s="27"/>
      <c r="G1143" s="152">
        <v>25</v>
      </c>
      <c r="H1143" s="15"/>
    </row>
    <row r="1144" ht="13.65" customHeight="1">
      <c r="A1144" s="28"/>
      <c r="B1144" s="28"/>
      <c r="C1144" s="27"/>
      <c r="D1144" s="24"/>
      <c r="E1144" s="27"/>
      <c r="F1144" t="s" s="29">
        <v>118</v>
      </c>
      <c r="G1144" s="197" cm="1">
        <f t="array" ref="G1144">SUM(G1131:G1143)</f>
        <v>34.771421021021</v>
      </c>
      <c r="H1144" s="15"/>
    </row>
    <row r="1145" ht="13.65" customHeight="1">
      <c r="A1145" s="129"/>
      <c r="B1145" s="129"/>
      <c r="C1145" s="129"/>
      <c r="D1145" s="129"/>
      <c r="E1145" s="129"/>
      <c r="F1145" s="31"/>
      <c r="G1145" s="31"/>
      <c r="H1145" s="3"/>
    </row>
    <row r="1146" ht="11.7" customHeight="1">
      <c r="A1146" t="s" s="167">
        <v>136</v>
      </c>
      <c r="B1146" t="s" s="167">
        <v>281</v>
      </c>
      <c r="C1146" t="s" s="167">
        <v>282</v>
      </c>
      <c r="D1146" t="s" s="168">
        <v>283</v>
      </c>
      <c r="E1146" s="169"/>
      <c r="F1146" s="170"/>
      <c r="G1146" s="171"/>
      <c r="H1146" s="171"/>
    </row>
    <row r="1147" ht="13.65" customHeight="1">
      <c r="A1147" s="23">
        <v>90</v>
      </c>
      <c r="B1147" s="172" cm="1">
        <f t="array" ref="B1147">SUM(H256)</f>
        <v>2.47496540404041</v>
      </c>
      <c r="C1147" s="152" cm="1">
        <f t="array" ref="C1147">SUM(G1144)</f>
        <v>34.771421021021</v>
      </c>
      <c r="D1147" s="199" cm="1">
        <f t="array" ref="D1147">SUM(A1147*B1147)+(C1147)</f>
        <v>257.518307384658</v>
      </c>
      <c r="E1147" s="200"/>
      <c r="F1147" s="15"/>
      <c r="G1147" s="3"/>
      <c r="H1147" s="3"/>
    </row>
    <row r="1148" ht="13.65" customHeight="1">
      <c r="A1148" s="31"/>
      <c r="B1148" s="31"/>
      <c r="C1148" s="31"/>
      <c r="D1148" s="31"/>
      <c r="E1148" s="31"/>
      <c r="F1148" s="3"/>
      <c r="G1148" s="3"/>
      <c r="H1148" s="3"/>
    </row>
    <row r="1149" ht="13.65" customHeight="1">
      <c r="A1149" s="3"/>
      <c r="B1149" s="3"/>
      <c r="C1149" s="3"/>
      <c r="D1149" s="3"/>
      <c r="E1149" s="3"/>
      <c r="F1149" s="3"/>
      <c r="G1149" s="3"/>
      <c r="H1149" s="3"/>
    </row>
    <row r="1150" ht="13.65" customHeight="1">
      <c r="A1150" t="s" s="5">
        <v>483</v>
      </c>
      <c r="B1150" s="3"/>
      <c r="C1150" s="3"/>
      <c r="D1150" s="3"/>
      <c r="E1150" s="3"/>
      <c r="F1150" s="3"/>
      <c r="G1150" s="3"/>
      <c r="H1150" s="3"/>
    </row>
    <row r="1151" ht="13.65" customHeight="1">
      <c r="A1151" s="11"/>
      <c r="B1151" s="11"/>
      <c r="C1151" s="11"/>
      <c r="D1151" s="11"/>
      <c r="E1151" s="11"/>
      <c r="F1151" s="11"/>
      <c r="G1151" s="11"/>
      <c r="H1151" s="3"/>
    </row>
    <row r="1152" ht="13.65" customHeight="1">
      <c r="A1152" s="12"/>
      <c r="B1152" s="12"/>
      <c r="C1152" s="13"/>
      <c r="D1152" s="14"/>
      <c r="E1152" s="13"/>
      <c r="F1152" s="13"/>
      <c r="G1152" t="s" s="14">
        <v>252</v>
      </c>
      <c r="H1152" s="150"/>
    </row>
    <row r="1153" ht="13.65" customHeight="1">
      <c r="A1153" t="s" s="16">
        <v>93</v>
      </c>
      <c r="B1153" t="s" s="16">
        <v>94</v>
      </c>
      <c r="C1153" t="s" s="16">
        <v>95</v>
      </c>
      <c r="D1153" t="s" s="16">
        <v>96</v>
      </c>
      <c r="E1153" t="s" s="16">
        <v>97</v>
      </c>
      <c r="F1153" t="s" s="16">
        <v>98</v>
      </c>
      <c r="G1153" t="s" s="16">
        <v>99</v>
      </c>
      <c r="H1153" s="15"/>
    </row>
    <row r="1154" ht="13.65" customHeight="1">
      <c r="A1154" s="151"/>
      <c r="B1154" s="151"/>
      <c r="C1154" s="19"/>
      <c r="D1154" s="20"/>
      <c r="E1154" s="19"/>
      <c r="F1154" s="19"/>
      <c r="G1154" t="s" s="20">
        <v>100</v>
      </c>
      <c r="H1154" s="15"/>
    </row>
    <row r="1155" ht="13.65" customHeight="1">
      <c r="A1155" s="21">
        <v>72</v>
      </c>
      <c r="B1155" t="s" s="22">
        <v>101</v>
      </c>
      <c r="C1155" s="23">
        <v>50</v>
      </c>
      <c r="D1155" t="s" s="24">
        <v>274</v>
      </c>
      <c r="E1155" s="25">
        <v>1.93</v>
      </c>
      <c r="F1155" s="23">
        <v>12.5</v>
      </c>
      <c r="G1155" s="152" cm="1">
        <f t="array" ref="G1155">SUM(E1155/F1155)</f>
        <v>0.1544</v>
      </c>
      <c r="H1155" s="15"/>
    </row>
    <row r="1156" ht="13.65" customHeight="1">
      <c r="A1156" s="21">
        <v>123</v>
      </c>
      <c r="B1156" t="s" s="22">
        <v>103</v>
      </c>
      <c r="C1156" s="23">
        <v>40</v>
      </c>
      <c r="D1156" t="s" s="24">
        <v>102</v>
      </c>
      <c r="E1156" s="25">
        <v>3.2</v>
      </c>
      <c r="F1156" s="23">
        <v>40</v>
      </c>
      <c r="G1156" s="152" cm="1">
        <f t="array" ref="G1156">SUM(E1156/F1156)</f>
        <v>0.08</v>
      </c>
      <c r="H1156" s="15"/>
    </row>
    <row r="1157" ht="13.65" customHeight="1">
      <c r="A1157" s="21">
        <v>86</v>
      </c>
      <c r="B1157" t="s" s="22">
        <v>107</v>
      </c>
      <c r="C1157" t="s" s="24">
        <v>108</v>
      </c>
      <c r="D1157" t="s" s="24">
        <v>274</v>
      </c>
      <c r="E1157" s="25">
        <v>0.32</v>
      </c>
      <c r="F1157" t="s" s="24">
        <v>301</v>
      </c>
      <c r="G1157" s="152" cm="1">
        <f t="array" ref="G1157">SUM(E1157*4)</f>
        <v>1.28</v>
      </c>
      <c r="H1157" s="15"/>
    </row>
    <row r="1158" ht="13.65" customHeight="1">
      <c r="A1158" s="21">
        <v>71</v>
      </c>
      <c r="B1158" t="s" s="22">
        <v>109</v>
      </c>
      <c r="C1158" s="23">
        <v>10</v>
      </c>
      <c r="D1158" t="s" s="24">
        <v>274</v>
      </c>
      <c r="E1158" s="25">
        <v>5.92</v>
      </c>
      <c r="F1158" s="23">
        <v>2.5</v>
      </c>
      <c r="G1158" s="152" cm="1">
        <f t="array" ref="G1158">SUM(E1158/F1158)</f>
        <v>2.368</v>
      </c>
      <c r="H1158" s="15"/>
    </row>
    <row r="1159" ht="13.65" customHeight="1">
      <c r="A1159" s="21">
        <v>87</v>
      </c>
      <c r="B1159" t="s" s="22">
        <v>110</v>
      </c>
      <c r="C1159" s="23">
        <v>50</v>
      </c>
      <c r="D1159" t="s" s="24">
        <v>274</v>
      </c>
      <c r="E1159" s="25">
        <v>9</v>
      </c>
      <c r="F1159" s="23">
        <v>12.5</v>
      </c>
      <c r="G1159" s="152" cm="1">
        <f t="array" ref="G1159">SUM(E1159/F1159)</f>
        <v>0.72</v>
      </c>
      <c r="H1159" s="15"/>
    </row>
    <row r="1160" ht="13.65" customHeight="1">
      <c r="A1160" s="21">
        <v>55</v>
      </c>
      <c r="B1160" t="s" s="22">
        <v>111</v>
      </c>
      <c r="C1160" t="s" s="24">
        <v>112</v>
      </c>
      <c r="D1160" t="s" s="24">
        <v>461</v>
      </c>
      <c r="E1160" s="25">
        <v>2.71</v>
      </c>
      <c r="F1160" s="23">
        <v>37</v>
      </c>
      <c r="G1160" s="152" cm="1">
        <f t="array" ref="G1160">SUM(E1160/F1160)</f>
        <v>0.0732432432432432</v>
      </c>
      <c r="H1160" s="15"/>
    </row>
    <row r="1161" ht="13.65" customHeight="1">
      <c r="A1161" s="21">
        <v>24</v>
      </c>
      <c r="B1161" t="s" s="22">
        <v>473</v>
      </c>
      <c r="C1161" s="23">
        <v>10</v>
      </c>
      <c r="D1161" t="s" s="24">
        <v>104</v>
      </c>
      <c r="E1161" s="25">
        <v>9.6</v>
      </c>
      <c r="F1161" s="23">
        <v>10</v>
      </c>
      <c r="G1161" s="152" cm="1">
        <f t="array" ref="G1161">SUM(E1161/F1161)</f>
        <v>0.96</v>
      </c>
      <c r="H1161" s="15"/>
    </row>
    <row r="1162" ht="13.65" customHeight="1">
      <c r="A1162" s="21">
        <v>7</v>
      </c>
      <c r="B1162" t="s" s="22">
        <v>477</v>
      </c>
      <c r="C1162" t="s" s="24">
        <v>478</v>
      </c>
      <c r="D1162" t="s" s="24">
        <v>479</v>
      </c>
      <c r="E1162" s="25">
        <v>14</v>
      </c>
      <c r="F1162" s="23">
        <v>10</v>
      </c>
      <c r="G1162" s="152" cm="1">
        <f t="array" ref="G1162">SUM(E1162/F1162)</f>
        <v>1.4</v>
      </c>
      <c r="H1162" s="15"/>
    </row>
    <row r="1163" ht="13.65" customHeight="1">
      <c r="A1163" s="21">
        <v>68</v>
      </c>
      <c r="B1163" t="s" s="22">
        <v>480</v>
      </c>
      <c r="C1163" t="s" s="24">
        <v>481</v>
      </c>
      <c r="D1163" t="s" s="24">
        <v>380</v>
      </c>
      <c r="E1163" s="25">
        <v>16</v>
      </c>
      <c r="F1163" s="23">
        <v>10</v>
      </c>
      <c r="G1163" s="152" cm="1">
        <f t="array" ref="G1163">SUM(E1163/F1163)</f>
        <v>1.6</v>
      </c>
      <c r="H1163" s="15"/>
    </row>
    <row r="1164" ht="13.65" customHeight="1">
      <c r="A1164" s="21">
        <v>27</v>
      </c>
      <c r="B1164" t="s" s="22">
        <v>474</v>
      </c>
      <c r="C1164" s="23">
        <v>18</v>
      </c>
      <c r="D1164" t="s" s="24">
        <v>104</v>
      </c>
      <c r="E1164" s="25">
        <v>6.5</v>
      </c>
      <c r="F1164" s="23">
        <v>18</v>
      </c>
      <c r="G1164" s="152" cm="1">
        <f t="array" ref="G1164">SUM(E1164/F1164)</f>
        <v>0.361111111111111</v>
      </c>
      <c r="H1164" s="15"/>
    </row>
    <row r="1165" ht="13.65" customHeight="1">
      <c r="A1165" s="21">
        <v>28</v>
      </c>
      <c r="B1165" t="s" s="22">
        <v>475</v>
      </c>
      <c r="C1165" s="23">
        <v>6</v>
      </c>
      <c r="D1165" t="s" s="24">
        <v>484</v>
      </c>
      <c r="E1165" s="25">
        <v>8</v>
      </c>
      <c r="F1165" s="23">
        <v>12</v>
      </c>
      <c r="G1165" s="152" cm="1">
        <f t="array" ref="G1165">SUM(E1165/F1165)</f>
        <v>0.666666666666667</v>
      </c>
      <c r="H1165" s="15"/>
    </row>
    <row r="1166" ht="13.65" customHeight="1">
      <c r="A1166" s="21">
        <v>111</v>
      </c>
      <c r="B1166" t="s" s="22">
        <v>476</v>
      </c>
      <c r="C1166" s="23">
        <v>1</v>
      </c>
      <c r="D1166" t="s" s="24">
        <v>462</v>
      </c>
      <c r="E1166" s="25">
        <v>2.7</v>
      </c>
      <c r="F1166" s="23">
        <v>25</v>
      </c>
      <c r="G1166" s="152" cm="1">
        <f t="array" ref="G1166">SUM(E1166/F1166)</f>
        <v>0.108</v>
      </c>
      <c r="H1166" s="15"/>
    </row>
    <row r="1167" ht="13.65" customHeight="1">
      <c r="A1167" s="21">
        <v>131</v>
      </c>
      <c r="B1167" t="s" s="22">
        <v>482</v>
      </c>
      <c r="C1167" s="27"/>
      <c r="D1167" s="24"/>
      <c r="E1167" s="25"/>
      <c r="F1167" s="27"/>
      <c r="G1167" s="152">
        <v>40</v>
      </c>
      <c r="H1167" s="15"/>
    </row>
    <row r="1168" ht="13.65" customHeight="1">
      <c r="A1168" s="28"/>
      <c r="B1168" s="28"/>
      <c r="C1168" s="27"/>
      <c r="D1168" s="24"/>
      <c r="E1168" s="27"/>
      <c r="F1168" t="s" s="29">
        <v>118</v>
      </c>
      <c r="G1168" s="197" cm="1">
        <f t="array" ref="G1168">SUM(G1155:G1167)</f>
        <v>49.771421021021</v>
      </c>
      <c r="H1168" s="15"/>
    </row>
    <row r="1169" ht="13.65" customHeight="1">
      <c r="A1169" s="129"/>
      <c r="B1169" s="129"/>
      <c r="C1169" s="129"/>
      <c r="D1169" s="129"/>
      <c r="E1169" s="129"/>
      <c r="F1169" s="31"/>
      <c r="G1169" s="31"/>
      <c r="H1169" s="3"/>
    </row>
    <row r="1170" ht="11.7" customHeight="1">
      <c r="A1170" t="s" s="167">
        <v>136</v>
      </c>
      <c r="B1170" t="s" s="167">
        <v>281</v>
      </c>
      <c r="C1170" t="s" s="167">
        <v>282</v>
      </c>
      <c r="D1170" t="s" s="168">
        <v>283</v>
      </c>
      <c r="E1170" s="169"/>
      <c r="F1170" s="170"/>
      <c r="G1170" s="171"/>
      <c r="H1170" s="171"/>
    </row>
    <row r="1171" ht="13.65" customHeight="1">
      <c r="A1171" s="23">
        <v>90</v>
      </c>
      <c r="B1171" s="172" cm="1">
        <f t="array" ref="B1171">SUM(H256)</f>
        <v>2.47496540404041</v>
      </c>
      <c r="C1171" s="172" cm="1">
        <f t="array" ref="C1171">SUM(G1168)</f>
        <v>49.771421021021</v>
      </c>
      <c r="D1171" s="199" cm="1">
        <f t="array" ref="D1171">SUM(A1171*B1171)+(C1171)</f>
        <v>272.518307384658</v>
      </c>
      <c r="E1171" s="200"/>
      <c r="F1171" s="15"/>
      <c r="G1171" s="3"/>
      <c r="H1171" s="3"/>
    </row>
    <row r="1172" ht="13.65" customHeight="1">
      <c r="A1172" s="31"/>
      <c r="B1172" s="31"/>
      <c r="C1172" s="31"/>
      <c r="D1172" s="31"/>
      <c r="E1172" s="31"/>
      <c r="F1172" s="3"/>
      <c r="G1172" s="3"/>
      <c r="H1172" s="3"/>
    </row>
    <row r="1173" ht="13.65" customHeight="1">
      <c r="A1173" s="203"/>
      <c r="B1173" s="203"/>
      <c r="C1173" s="203"/>
      <c r="D1173" s="203"/>
      <c r="E1173" s="203"/>
      <c r="F1173" s="203"/>
      <c r="G1173" s="203"/>
      <c r="H1173" s="203"/>
    </row>
    <row r="1174" ht="13.65" customHeight="1">
      <c r="A1174" t="s" s="274">
        <v>185</v>
      </c>
      <c r="B1174" s="275"/>
      <c r="C1174" s="275"/>
      <c r="D1174" s="275"/>
      <c r="E1174" s="280"/>
      <c r="F1174" s="275"/>
      <c r="G1174" s="275"/>
      <c r="H1174" s="277"/>
    </row>
    <row r="1175" ht="13.65" customHeight="1">
      <c r="A1175" s="278"/>
      <c r="B1175" s="278"/>
      <c r="C1175" s="278"/>
      <c r="D1175" s="278"/>
      <c r="E1175" s="278"/>
      <c r="F1175" s="278"/>
      <c r="G1175" s="278"/>
      <c r="H1175" s="278"/>
    </row>
    <row r="1176" ht="13.65" customHeight="1">
      <c r="A1176" s="3"/>
      <c r="B1176" s="3"/>
      <c r="C1176" s="3"/>
      <c r="D1176" s="3"/>
      <c r="E1176" s="3"/>
      <c r="F1176" s="3"/>
      <c r="G1176" s="3"/>
      <c r="H1176" s="3"/>
    </row>
    <row r="1177" ht="13.65" customHeight="1">
      <c r="A1177" t="s" s="5">
        <v>485</v>
      </c>
      <c r="B1177" s="3"/>
      <c r="C1177" s="3"/>
      <c r="D1177" s="3"/>
      <c r="E1177" s="3"/>
      <c r="F1177" s="3"/>
      <c r="G1177" s="3"/>
      <c r="H1177" s="3"/>
    </row>
    <row r="1178" ht="13.65" customHeight="1">
      <c r="A1178" s="11"/>
      <c r="B1178" s="11"/>
      <c r="C1178" s="11"/>
      <c r="D1178" s="11"/>
      <c r="E1178" s="11"/>
      <c r="F1178" s="11"/>
      <c r="G1178" s="11"/>
      <c r="H1178" s="3"/>
    </row>
    <row r="1179" ht="13.65" customHeight="1">
      <c r="A1179" s="12"/>
      <c r="B1179" s="12"/>
      <c r="C1179" s="13"/>
      <c r="D1179" s="14"/>
      <c r="E1179" s="13"/>
      <c r="F1179" s="13"/>
      <c r="G1179" t="s" s="14">
        <v>252</v>
      </c>
      <c r="H1179" s="150"/>
    </row>
    <row r="1180" ht="13.65" customHeight="1">
      <c r="A1180" t="s" s="16">
        <v>93</v>
      </c>
      <c r="B1180" t="s" s="16">
        <v>94</v>
      </c>
      <c r="C1180" t="s" s="16">
        <v>95</v>
      </c>
      <c r="D1180" t="s" s="16">
        <v>96</v>
      </c>
      <c r="E1180" t="s" s="16">
        <v>97</v>
      </c>
      <c r="F1180" t="s" s="16">
        <v>98</v>
      </c>
      <c r="G1180" t="s" s="16">
        <v>99</v>
      </c>
      <c r="H1180" s="15"/>
    </row>
    <row r="1181" ht="13.65" customHeight="1">
      <c r="A1181" s="151"/>
      <c r="B1181" s="151"/>
      <c r="C1181" s="19"/>
      <c r="D1181" s="20"/>
      <c r="E1181" s="19"/>
      <c r="F1181" s="19"/>
      <c r="G1181" t="s" s="20">
        <v>100</v>
      </c>
      <c r="H1181" s="15"/>
    </row>
    <row r="1182" ht="13.65" customHeight="1">
      <c r="A1182" s="21">
        <v>72</v>
      </c>
      <c r="B1182" t="s" s="22">
        <v>101</v>
      </c>
      <c r="C1182" s="23">
        <v>50</v>
      </c>
      <c r="D1182" t="s" s="24">
        <v>274</v>
      </c>
      <c r="E1182" s="25">
        <v>1.93</v>
      </c>
      <c r="F1182" s="23">
        <v>12.5</v>
      </c>
      <c r="G1182" s="152" cm="1">
        <f t="array" ref="G1182">SUM(E1182/F1182)</f>
        <v>0.1544</v>
      </c>
      <c r="H1182" s="15"/>
    </row>
    <row r="1183" ht="13.65" customHeight="1">
      <c r="A1183" s="21">
        <v>123</v>
      </c>
      <c r="B1183" t="s" s="22">
        <v>103</v>
      </c>
      <c r="C1183" s="23">
        <v>40</v>
      </c>
      <c r="D1183" t="s" s="24">
        <v>104</v>
      </c>
      <c r="E1183" s="25">
        <v>3.2</v>
      </c>
      <c r="F1183" s="23">
        <v>40</v>
      </c>
      <c r="G1183" s="152" cm="1">
        <f t="array" ref="G1183">SUM(E1183/F1183)</f>
        <v>0.08</v>
      </c>
      <c r="H1183" s="15"/>
    </row>
    <row r="1184" ht="13.65" customHeight="1">
      <c r="A1184" s="21">
        <v>86</v>
      </c>
      <c r="B1184" t="s" s="22">
        <v>107</v>
      </c>
      <c r="C1184" t="s" s="24">
        <v>108</v>
      </c>
      <c r="D1184" t="s" s="24">
        <v>274</v>
      </c>
      <c r="E1184" s="25">
        <v>0.32</v>
      </c>
      <c r="F1184" t="s" s="24">
        <v>301</v>
      </c>
      <c r="G1184" s="152" cm="1">
        <f t="array" ref="G1184">SUM(E1184*4)</f>
        <v>1.28</v>
      </c>
      <c r="H1184" s="15"/>
    </row>
    <row r="1185" ht="13.65" customHeight="1">
      <c r="A1185" s="21">
        <v>71</v>
      </c>
      <c r="B1185" t="s" s="22">
        <v>109</v>
      </c>
      <c r="C1185" s="23">
        <v>10</v>
      </c>
      <c r="D1185" t="s" s="24">
        <v>274</v>
      </c>
      <c r="E1185" s="25">
        <v>5.92</v>
      </c>
      <c r="F1185" s="23">
        <v>2.5</v>
      </c>
      <c r="G1185" s="152" cm="1">
        <f t="array" ref="G1185">SUM(E1185/F1185)</f>
        <v>2.368</v>
      </c>
      <c r="H1185" s="15"/>
    </row>
    <row r="1186" ht="13.65" customHeight="1">
      <c r="A1186" s="21">
        <v>87</v>
      </c>
      <c r="B1186" t="s" s="22">
        <v>110</v>
      </c>
      <c r="C1186" s="23">
        <v>50</v>
      </c>
      <c r="D1186" t="s" s="24">
        <v>274</v>
      </c>
      <c r="E1186" s="25">
        <v>9</v>
      </c>
      <c r="F1186" s="23">
        <v>12.5</v>
      </c>
      <c r="G1186" s="152" cm="1">
        <f t="array" ref="G1186">SUM(E1186/F1186)</f>
        <v>0.72</v>
      </c>
      <c r="H1186" s="15"/>
    </row>
    <row r="1187" ht="13.65" customHeight="1">
      <c r="A1187" s="21">
        <v>55</v>
      </c>
      <c r="B1187" t="s" s="22">
        <v>111</v>
      </c>
      <c r="C1187" t="s" s="24">
        <v>112</v>
      </c>
      <c r="D1187" t="s" s="24">
        <v>461</v>
      </c>
      <c r="E1187" s="25">
        <v>2.71</v>
      </c>
      <c r="F1187" s="23">
        <v>37</v>
      </c>
      <c r="G1187" s="152" cm="1">
        <f t="array" ref="G1187">SUM(E1187/F1187)</f>
        <v>0.0732432432432432</v>
      </c>
      <c r="H1187" s="15"/>
    </row>
    <row r="1188" ht="13.65" customHeight="1">
      <c r="A1188" s="21">
        <v>24</v>
      </c>
      <c r="B1188" t="s" s="22">
        <v>473</v>
      </c>
      <c r="C1188" s="23">
        <v>10</v>
      </c>
      <c r="D1188" t="s" s="24">
        <v>104</v>
      </c>
      <c r="E1188" s="25">
        <v>9.6</v>
      </c>
      <c r="F1188" s="23">
        <v>10</v>
      </c>
      <c r="G1188" s="152" cm="1">
        <f t="array" ref="G1188">SUM(E1188/F1188)</f>
        <v>0.96</v>
      </c>
      <c r="H1188" s="15"/>
    </row>
    <row r="1189" ht="13.65" customHeight="1">
      <c r="A1189" s="21">
        <v>27</v>
      </c>
      <c r="B1189" t="s" s="22">
        <v>474</v>
      </c>
      <c r="C1189" s="23">
        <v>18</v>
      </c>
      <c r="D1189" t="s" s="24">
        <v>375</v>
      </c>
      <c r="E1189" s="25">
        <v>6.5</v>
      </c>
      <c r="F1189" s="23">
        <v>30</v>
      </c>
      <c r="G1189" s="152" cm="1">
        <f t="array" ref="G1189">SUM(E1189/F1189)</f>
        <v>0.216666666666667</v>
      </c>
      <c r="H1189" s="15"/>
    </row>
    <row r="1190" ht="13.65" customHeight="1">
      <c r="A1190" s="21">
        <v>28</v>
      </c>
      <c r="B1190" t="s" s="22">
        <v>475</v>
      </c>
      <c r="C1190" s="23">
        <v>6</v>
      </c>
      <c r="D1190" t="s" s="24">
        <v>484</v>
      </c>
      <c r="E1190" s="25">
        <v>8</v>
      </c>
      <c r="F1190" s="23">
        <v>12</v>
      </c>
      <c r="G1190" s="152" cm="1">
        <f t="array" ref="G1190">SUM(E1190/F1190)</f>
        <v>0.666666666666667</v>
      </c>
      <c r="H1190" s="15"/>
    </row>
    <row r="1191" ht="13.65" customHeight="1">
      <c r="A1191" s="21">
        <v>111</v>
      </c>
      <c r="B1191" t="s" s="22">
        <v>476</v>
      </c>
      <c r="C1191" s="23">
        <v>1</v>
      </c>
      <c r="D1191" t="s" s="24">
        <v>462</v>
      </c>
      <c r="E1191" s="25">
        <v>2.7</v>
      </c>
      <c r="F1191" s="23">
        <v>25</v>
      </c>
      <c r="G1191" s="152" cm="1">
        <f t="array" ref="G1191">SUM(E1191/F1191)</f>
        <v>0.108</v>
      </c>
      <c r="H1191" s="15"/>
    </row>
    <row r="1192" ht="13.65" customHeight="1">
      <c r="A1192" s="21">
        <v>7</v>
      </c>
      <c r="B1192" t="s" s="22">
        <v>477</v>
      </c>
      <c r="C1192" t="s" s="24">
        <v>478</v>
      </c>
      <c r="D1192" t="s" s="24">
        <v>479</v>
      </c>
      <c r="E1192" s="25">
        <v>14</v>
      </c>
      <c r="F1192" s="23">
        <v>10</v>
      </c>
      <c r="G1192" s="152" cm="1">
        <f t="array" ref="G1192">SUM(E1192/F1192)</f>
        <v>1.4</v>
      </c>
      <c r="H1192" s="15"/>
    </row>
    <row r="1193" ht="13.65" customHeight="1">
      <c r="A1193" s="21">
        <v>68</v>
      </c>
      <c r="B1193" t="s" s="22">
        <v>480</v>
      </c>
      <c r="C1193" t="s" s="24">
        <v>481</v>
      </c>
      <c r="D1193" t="s" s="24">
        <v>380</v>
      </c>
      <c r="E1193" s="25">
        <v>16</v>
      </c>
      <c r="F1193" s="23">
        <v>10</v>
      </c>
      <c r="G1193" s="152" cm="1">
        <f t="array" ref="G1193">SUM(E1193/F1193)</f>
        <v>1.6</v>
      </c>
      <c r="H1193" s="15"/>
    </row>
    <row r="1194" ht="13.65" customHeight="1">
      <c r="A1194" s="21">
        <v>131</v>
      </c>
      <c r="B1194" t="s" s="22">
        <v>482</v>
      </c>
      <c r="C1194" s="27"/>
      <c r="D1194" s="24"/>
      <c r="E1194" s="27"/>
      <c r="F1194" s="27"/>
      <c r="G1194" s="152">
        <v>35</v>
      </c>
      <c r="H1194" s="15"/>
    </row>
    <row r="1195" ht="13.65" customHeight="1">
      <c r="A1195" s="28"/>
      <c r="B1195" s="28"/>
      <c r="C1195" s="27"/>
      <c r="D1195" s="24"/>
      <c r="E1195" s="27"/>
      <c r="F1195" t="s" s="29">
        <v>118</v>
      </c>
      <c r="G1195" s="197" cm="1">
        <f t="array" ref="G1195">SUM(G1182:G1194)</f>
        <v>44.6269765765766</v>
      </c>
      <c r="H1195" s="15"/>
    </row>
    <row r="1196" ht="13.65" customHeight="1">
      <c r="A1196" s="129"/>
      <c r="B1196" s="129"/>
      <c r="C1196" s="129"/>
      <c r="D1196" s="129"/>
      <c r="E1196" s="129"/>
      <c r="F1196" s="31"/>
      <c r="G1196" s="31"/>
      <c r="H1196" s="3"/>
    </row>
    <row r="1197" ht="11.7" customHeight="1">
      <c r="A1197" t="s" s="167">
        <v>136</v>
      </c>
      <c r="B1197" t="s" s="167">
        <v>281</v>
      </c>
      <c r="C1197" t="s" s="167">
        <v>282</v>
      </c>
      <c r="D1197" t="s" s="168">
        <v>283</v>
      </c>
      <c r="E1197" s="169"/>
      <c r="F1197" s="170"/>
      <c r="G1197" s="171"/>
      <c r="H1197" s="171"/>
    </row>
    <row r="1198" ht="13.65" customHeight="1">
      <c r="A1198" s="23">
        <v>90</v>
      </c>
      <c r="B1198" s="172" cm="1">
        <f t="array" ref="B1198">SUM(H256)</f>
        <v>2.47496540404041</v>
      </c>
      <c r="C1198" s="172" cm="1">
        <f t="array" ref="C1198">SUM(G1195)</f>
        <v>44.6269765765766</v>
      </c>
      <c r="D1198" s="199" cm="1">
        <f t="array" ref="D1198">SUM(A1198*B1198)+(C1198)</f>
        <v>267.373862940214</v>
      </c>
      <c r="E1198" s="200"/>
      <c r="F1198" s="15"/>
      <c r="G1198" s="3"/>
      <c r="H1198" s="3"/>
    </row>
    <row r="1199" ht="13.65" customHeight="1">
      <c r="A1199" s="176"/>
      <c r="B1199" s="176"/>
      <c r="C1199" s="292"/>
      <c r="D1199" s="176"/>
      <c r="E1199" s="290"/>
      <c r="F1199" s="3"/>
      <c r="G1199" s="3"/>
      <c r="H1199" s="3"/>
    </row>
    <row r="1200" ht="13.65" customHeight="1">
      <c r="A1200" s="3"/>
      <c r="B1200" s="3"/>
      <c r="C1200" s="3"/>
      <c r="D1200" s="3"/>
      <c r="E1200" s="3"/>
      <c r="F1200" s="3"/>
      <c r="G1200" s="3"/>
      <c r="H1200" s="3"/>
    </row>
    <row r="1201" ht="13.65" customHeight="1">
      <c r="A1201" t="s" s="5">
        <v>486</v>
      </c>
      <c r="B1201" s="3"/>
      <c r="C1201" s="3"/>
      <c r="D1201" s="3"/>
      <c r="E1201" s="3"/>
      <c r="F1201" s="3"/>
      <c r="G1201" s="3"/>
      <c r="H1201" s="3"/>
    </row>
    <row r="1202" ht="13.65" customHeight="1">
      <c r="A1202" s="11"/>
      <c r="B1202" s="11"/>
      <c r="C1202" s="11"/>
      <c r="D1202" s="11"/>
      <c r="E1202" s="11"/>
      <c r="F1202" s="11"/>
      <c r="G1202" s="11"/>
      <c r="H1202" s="3"/>
    </row>
    <row r="1203" ht="13.65" customHeight="1">
      <c r="A1203" s="12"/>
      <c r="B1203" s="12"/>
      <c r="C1203" s="13"/>
      <c r="D1203" s="14"/>
      <c r="E1203" s="13"/>
      <c r="F1203" s="13"/>
      <c r="G1203" t="s" s="14">
        <v>252</v>
      </c>
      <c r="H1203" s="150"/>
    </row>
    <row r="1204" ht="13.65" customHeight="1">
      <c r="A1204" t="s" s="16">
        <v>93</v>
      </c>
      <c r="B1204" t="s" s="16">
        <v>94</v>
      </c>
      <c r="C1204" t="s" s="16">
        <v>95</v>
      </c>
      <c r="D1204" t="s" s="16">
        <v>96</v>
      </c>
      <c r="E1204" t="s" s="16">
        <v>97</v>
      </c>
      <c r="F1204" t="s" s="16">
        <v>98</v>
      </c>
      <c r="G1204" t="s" s="16">
        <v>99</v>
      </c>
      <c r="H1204" s="15"/>
    </row>
    <row r="1205" ht="13.65" customHeight="1">
      <c r="A1205" s="151"/>
      <c r="B1205" s="151"/>
      <c r="C1205" s="19"/>
      <c r="D1205" s="20"/>
      <c r="E1205" s="19"/>
      <c r="F1205" s="19"/>
      <c r="G1205" t="s" s="20">
        <v>100</v>
      </c>
      <c r="H1205" s="15"/>
    </row>
    <row r="1206" ht="13.65" customHeight="1">
      <c r="A1206" s="21">
        <v>72</v>
      </c>
      <c r="B1206" t="s" s="22">
        <v>101</v>
      </c>
      <c r="C1206" s="23">
        <v>50</v>
      </c>
      <c r="D1206" t="s" s="24">
        <v>102</v>
      </c>
      <c r="E1206" s="25">
        <v>1.93</v>
      </c>
      <c r="F1206" s="23">
        <v>25</v>
      </c>
      <c r="G1206" s="152" cm="1">
        <f t="array" ref="G1206">SUM(E1206/F1206)</f>
        <v>0.0772</v>
      </c>
      <c r="H1206" s="15"/>
    </row>
    <row r="1207" ht="13.65" customHeight="1">
      <c r="A1207" s="21">
        <v>123</v>
      </c>
      <c r="B1207" t="s" s="22">
        <v>103</v>
      </c>
      <c r="C1207" s="23">
        <v>40</v>
      </c>
      <c r="D1207" t="s" s="24">
        <v>104</v>
      </c>
      <c r="E1207" s="25">
        <v>3.2</v>
      </c>
      <c r="F1207" s="23">
        <v>40</v>
      </c>
      <c r="G1207" s="152" cm="1">
        <f t="array" ref="G1207">SUM(E1207/F1207)</f>
        <v>0.08</v>
      </c>
      <c r="H1207" s="15"/>
    </row>
    <row r="1208" ht="13.65" customHeight="1">
      <c r="A1208" s="21">
        <v>88</v>
      </c>
      <c r="B1208" t="s" s="22">
        <v>117</v>
      </c>
      <c r="C1208" s="27"/>
      <c r="D1208" t="s" s="24">
        <v>102</v>
      </c>
      <c r="E1208" s="25">
        <v>0.75</v>
      </c>
      <c r="F1208" s="23">
        <v>2</v>
      </c>
      <c r="G1208" s="152" cm="1">
        <f t="array" ref="G1208">SUM(E1208/F1208)</f>
        <v>0.375</v>
      </c>
      <c r="H1208" s="15"/>
    </row>
    <row r="1209" ht="13.65" customHeight="1">
      <c r="A1209" s="21">
        <v>86</v>
      </c>
      <c r="B1209" t="s" s="22">
        <v>107</v>
      </c>
      <c r="C1209" t="s" s="24">
        <v>108</v>
      </c>
      <c r="D1209" t="s" s="24">
        <v>102</v>
      </c>
      <c r="E1209" s="25">
        <v>0.32</v>
      </c>
      <c r="F1209" t="s" s="24">
        <v>387</v>
      </c>
      <c r="G1209" s="152" cm="1">
        <f t="array" ref="G1209">SUM(E1209*2)</f>
        <v>0.64</v>
      </c>
      <c r="H1209" s="15"/>
    </row>
    <row r="1210" ht="13.65" customHeight="1">
      <c r="A1210" s="21">
        <v>71</v>
      </c>
      <c r="B1210" t="s" s="22">
        <v>109</v>
      </c>
      <c r="C1210" s="23">
        <v>10</v>
      </c>
      <c r="D1210" t="s" s="24">
        <v>102</v>
      </c>
      <c r="E1210" s="25">
        <v>5.92</v>
      </c>
      <c r="F1210" s="23">
        <v>5</v>
      </c>
      <c r="G1210" s="152" cm="1">
        <f t="array" ref="G1210">SUM(E1210/F1210)</f>
        <v>1.184</v>
      </c>
      <c r="H1210" s="15"/>
    </row>
    <row r="1211" ht="13.65" customHeight="1">
      <c r="A1211" s="21">
        <v>87</v>
      </c>
      <c r="B1211" t="s" s="22">
        <v>110</v>
      </c>
      <c r="C1211" s="23">
        <v>50</v>
      </c>
      <c r="D1211" t="s" s="24">
        <v>102</v>
      </c>
      <c r="E1211" s="25">
        <v>9.6</v>
      </c>
      <c r="F1211" s="23">
        <v>25</v>
      </c>
      <c r="G1211" s="152" cm="1">
        <f t="array" ref="G1211">SUM(E1211/F1211)</f>
        <v>0.384</v>
      </c>
      <c r="H1211" s="15"/>
    </row>
    <row r="1212" ht="13.65" customHeight="1">
      <c r="A1212" s="21">
        <v>55</v>
      </c>
      <c r="B1212" t="s" s="22">
        <v>111</v>
      </c>
      <c r="C1212" t="s" s="24">
        <v>112</v>
      </c>
      <c r="D1212" t="s" s="24">
        <v>113</v>
      </c>
      <c r="E1212" s="25">
        <v>2.71</v>
      </c>
      <c r="F1212" s="23">
        <v>75</v>
      </c>
      <c r="G1212" s="152" cm="1">
        <f t="array" ref="G1212">SUM(E1212/F1212)</f>
        <v>0.0361333333333333</v>
      </c>
      <c r="H1212" s="15"/>
    </row>
    <row r="1213" ht="13.65" customHeight="1">
      <c r="A1213" s="28"/>
      <c r="B1213" s="28"/>
      <c r="C1213" s="27"/>
      <c r="D1213" s="24"/>
      <c r="E1213" s="27"/>
      <c r="F1213" t="s" s="29">
        <v>118</v>
      </c>
      <c r="G1213" s="197" cm="1">
        <f t="array" ref="G1213">SUM(G1206:G1212)</f>
        <v>2.77633333333333</v>
      </c>
      <c r="H1213" s="15"/>
    </row>
    <row r="1214" ht="13.65" customHeight="1">
      <c r="A1214" s="129"/>
      <c r="B1214" s="129"/>
      <c r="C1214" s="129"/>
      <c r="D1214" s="129"/>
      <c r="E1214" s="129"/>
      <c r="F1214" s="31"/>
      <c r="G1214" s="31"/>
      <c r="H1214" s="3"/>
    </row>
    <row r="1215" ht="11.7" customHeight="1">
      <c r="A1215" t="s" s="167">
        <v>136</v>
      </c>
      <c r="B1215" t="s" s="167">
        <v>281</v>
      </c>
      <c r="C1215" t="s" s="167">
        <v>282</v>
      </c>
      <c r="D1215" t="s" s="168">
        <v>283</v>
      </c>
      <c r="E1215" s="169"/>
      <c r="F1215" s="170"/>
      <c r="G1215" s="171"/>
      <c r="H1215" s="171"/>
    </row>
    <row r="1216" ht="13.65" customHeight="1">
      <c r="A1216" s="23">
        <v>40</v>
      </c>
      <c r="B1216" s="172" cm="1">
        <f t="array" ref="B1216">SUM(H256)</f>
        <v>2.47496540404041</v>
      </c>
      <c r="C1216" s="172" cm="1">
        <f t="array" ref="C1216">SUM(G1213)</f>
        <v>2.77633333333333</v>
      </c>
      <c r="D1216" s="199" cm="1">
        <f t="array" ref="D1216">SUM(A1216*B1216)+(C1216)</f>
        <v>101.774949494950</v>
      </c>
      <c r="E1216" s="200"/>
      <c r="F1216" s="15"/>
      <c r="G1216" s="3"/>
      <c r="H1216" s="3"/>
    </row>
    <row r="1217" ht="13.65" customHeight="1">
      <c r="A1217" s="289"/>
      <c r="B1217" s="289"/>
      <c r="C1217" s="289"/>
      <c r="D1217" s="289"/>
      <c r="E1217" s="289"/>
      <c r="F1217" s="203"/>
      <c r="G1217" s="203"/>
      <c r="H1217" s="203"/>
    </row>
    <row r="1218" ht="13.65" customHeight="1">
      <c r="A1218" t="s" s="274">
        <v>284</v>
      </c>
      <c r="B1218" s="275"/>
      <c r="C1218" s="275"/>
      <c r="D1218" s="275"/>
      <c r="E1218" s="280"/>
      <c r="F1218" s="275"/>
      <c r="G1218" s="275"/>
      <c r="H1218" s="277"/>
    </row>
    <row r="1219" ht="13.65" customHeight="1">
      <c r="A1219" s="278"/>
      <c r="B1219" s="278"/>
      <c r="C1219" s="278"/>
      <c r="D1219" s="278"/>
      <c r="E1219" s="278"/>
      <c r="F1219" s="278"/>
      <c r="G1219" s="278"/>
      <c r="H1219" s="278"/>
    </row>
    <row r="1220" ht="13.65" customHeight="1">
      <c r="A1220" s="3"/>
      <c r="B1220" s="3"/>
      <c r="C1220" s="3"/>
      <c r="D1220" s="3"/>
      <c r="E1220" s="3"/>
      <c r="F1220" s="3"/>
      <c r="G1220" s="3"/>
      <c r="H1220" s="3"/>
    </row>
    <row r="1221" ht="13.65" customHeight="1">
      <c r="A1221" t="s" s="5">
        <v>487</v>
      </c>
      <c r="B1221" s="3"/>
      <c r="C1221" s="3"/>
      <c r="D1221" s="3"/>
      <c r="E1221" s="3"/>
      <c r="F1221" s="3"/>
      <c r="G1221" s="3"/>
      <c r="H1221" s="3"/>
    </row>
    <row r="1222" ht="13.65" customHeight="1">
      <c r="A1222" s="11"/>
      <c r="B1222" s="11"/>
      <c r="C1222" s="11"/>
      <c r="D1222" s="11"/>
      <c r="E1222" s="11"/>
      <c r="F1222" s="11"/>
      <c r="G1222" s="11"/>
      <c r="H1222" s="3"/>
    </row>
    <row r="1223" ht="13.65" customHeight="1">
      <c r="A1223" s="12"/>
      <c r="B1223" s="12"/>
      <c r="C1223" s="13"/>
      <c r="D1223" s="14"/>
      <c r="E1223" s="13"/>
      <c r="F1223" s="13"/>
      <c r="G1223" t="s" s="14">
        <v>252</v>
      </c>
      <c r="H1223" s="150"/>
    </row>
    <row r="1224" ht="13.65" customHeight="1">
      <c r="A1224" t="s" s="16">
        <v>93</v>
      </c>
      <c r="B1224" t="s" s="16">
        <v>94</v>
      </c>
      <c r="C1224" t="s" s="16">
        <v>95</v>
      </c>
      <c r="D1224" t="s" s="16">
        <v>96</v>
      </c>
      <c r="E1224" t="s" s="16">
        <v>97</v>
      </c>
      <c r="F1224" t="s" s="16">
        <v>98</v>
      </c>
      <c r="G1224" t="s" s="16">
        <v>99</v>
      </c>
      <c r="H1224" s="15"/>
    </row>
    <row r="1225" ht="13.65" customHeight="1">
      <c r="A1225" s="151"/>
      <c r="B1225" s="151"/>
      <c r="C1225" s="19"/>
      <c r="D1225" s="20"/>
      <c r="E1225" s="19"/>
      <c r="F1225" s="19"/>
      <c r="G1225" t="s" s="20">
        <v>100</v>
      </c>
      <c r="H1225" s="15"/>
    </row>
    <row r="1226" ht="13.65" customHeight="1">
      <c r="A1226" s="21">
        <v>72</v>
      </c>
      <c r="B1226" t="s" s="22">
        <v>101</v>
      </c>
      <c r="C1226" s="23">
        <v>50</v>
      </c>
      <c r="D1226" t="s" s="24">
        <v>274</v>
      </c>
      <c r="E1226" s="25">
        <v>1.93</v>
      </c>
      <c r="F1226" s="23">
        <v>12.5</v>
      </c>
      <c r="G1226" s="152" cm="1">
        <f t="array" ref="G1226">SUM(E1226/F1226)</f>
        <v>0.1544</v>
      </c>
      <c r="H1226" s="15"/>
    </row>
    <row r="1227" ht="13.65" customHeight="1">
      <c r="A1227" s="21">
        <v>123</v>
      </c>
      <c r="B1227" t="s" s="22">
        <v>103</v>
      </c>
      <c r="C1227" s="23">
        <v>40</v>
      </c>
      <c r="D1227" t="s" s="24">
        <v>104</v>
      </c>
      <c r="E1227" s="25">
        <v>3.2</v>
      </c>
      <c r="F1227" s="23">
        <v>40</v>
      </c>
      <c r="G1227" s="152" cm="1">
        <f t="array" ref="G1227">SUM(E1227/F1227)</f>
        <v>0.08</v>
      </c>
      <c r="H1227" s="15"/>
    </row>
    <row r="1228" ht="13.65" customHeight="1">
      <c r="A1228" s="21">
        <v>65</v>
      </c>
      <c r="B1228" t="s" s="22">
        <v>394</v>
      </c>
      <c r="C1228" s="23">
        <v>500</v>
      </c>
      <c r="D1228" t="s" s="24">
        <v>106</v>
      </c>
      <c r="E1228" s="25">
        <v>26</v>
      </c>
      <c r="F1228" s="23">
        <v>50</v>
      </c>
      <c r="G1228" s="152" cm="1">
        <f t="array" ref="G1228">SUM(E1228/F1228)</f>
        <v>0.52</v>
      </c>
      <c r="H1228" s="15"/>
    </row>
    <row r="1229" ht="13.65" customHeight="1">
      <c r="A1229" s="21">
        <v>14</v>
      </c>
      <c r="B1229" t="s" s="22">
        <v>470</v>
      </c>
      <c r="C1229" t="s" s="24">
        <v>108</v>
      </c>
      <c r="D1229" t="s" s="24">
        <v>102</v>
      </c>
      <c r="E1229" s="25">
        <v>1.12</v>
      </c>
      <c r="F1229" t="s" s="24">
        <v>387</v>
      </c>
      <c r="G1229" s="152" cm="1">
        <f t="array" ref="G1229">SUM(E1229*2)</f>
        <v>2.24</v>
      </c>
      <c r="H1229" s="15"/>
    </row>
    <row r="1230" ht="13.65" customHeight="1">
      <c r="A1230" s="21">
        <v>71</v>
      </c>
      <c r="B1230" t="s" s="22">
        <v>109</v>
      </c>
      <c r="C1230" s="23">
        <v>10</v>
      </c>
      <c r="D1230" t="s" s="24">
        <v>274</v>
      </c>
      <c r="E1230" s="25">
        <v>5.92</v>
      </c>
      <c r="F1230" s="23">
        <v>2.5</v>
      </c>
      <c r="G1230" s="152" cm="1">
        <f t="array" ref="G1230">SUM(E1230/F1230)</f>
        <v>2.368</v>
      </c>
      <c r="H1230" s="15"/>
    </row>
    <row r="1231" ht="13.65" customHeight="1">
      <c r="A1231" s="21">
        <v>87</v>
      </c>
      <c r="B1231" t="s" s="22">
        <v>110</v>
      </c>
      <c r="C1231" s="23">
        <v>50</v>
      </c>
      <c r="D1231" t="s" s="24">
        <v>274</v>
      </c>
      <c r="E1231" s="25">
        <v>9</v>
      </c>
      <c r="F1231" s="23">
        <v>12.5</v>
      </c>
      <c r="G1231" s="152" cm="1">
        <f t="array" ref="G1231">SUM(E1231/F1231)</f>
        <v>0.72</v>
      </c>
      <c r="H1231" s="15"/>
    </row>
    <row r="1232" ht="13.65" customHeight="1">
      <c r="A1232" s="21">
        <v>55</v>
      </c>
      <c r="B1232" t="s" s="22">
        <v>111</v>
      </c>
      <c r="C1232" t="s" s="24">
        <v>112</v>
      </c>
      <c r="D1232" t="s" s="24">
        <v>461</v>
      </c>
      <c r="E1232" s="25">
        <v>2.71</v>
      </c>
      <c r="F1232" s="23">
        <v>37</v>
      </c>
      <c r="G1232" s="152" cm="1">
        <f t="array" ref="G1232">SUM(E1232/F1232)</f>
        <v>0.0732432432432432</v>
      </c>
      <c r="H1232" s="15"/>
    </row>
    <row r="1233" ht="13.65" customHeight="1">
      <c r="A1233" s="21">
        <v>10</v>
      </c>
      <c r="B1233" t="s" s="22">
        <v>395</v>
      </c>
      <c r="C1233" t="s" s="24">
        <v>396</v>
      </c>
      <c r="D1233" t="s" s="24">
        <v>397</v>
      </c>
      <c r="E1233" s="25">
        <v>3.92</v>
      </c>
      <c r="F1233" s="23">
        <v>50</v>
      </c>
      <c r="G1233" s="152" cm="1">
        <f t="array" ref="G1233">SUM(E1233/F1233)</f>
        <v>0.0784</v>
      </c>
      <c r="H1233" s="15"/>
    </row>
    <row r="1234" ht="13.65" customHeight="1">
      <c r="A1234" s="21">
        <v>9</v>
      </c>
      <c r="B1234" t="s" s="22">
        <v>398</v>
      </c>
      <c r="C1234" s="23">
        <v>50</v>
      </c>
      <c r="D1234" t="s" s="24">
        <v>102</v>
      </c>
      <c r="E1234" s="25">
        <v>14</v>
      </c>
      <c r="F1234" s="23">
        <v>25</v>
      </c>
      <c r="G1234" s="152" cm="1">
        <f t="array" ref="G1234">SUM(E1234/F1234)</f>
        <v>0.5600000000000001</v>
      </c>
      <c r="H1234" s="15"/>
    </row>
    <row r="1235" ht="13.65" customHeight="1">
      <c r="A1235" s="21">
        <v>6</v>
      </c>
      <c r="B1235" t="s" s="22">
        <v>399</v>
      </c>
      <c r="C1235" s="23">
        <v>100</v>
      </c>
      <c r="D1235" t="s" s="24">
        <v>104</v>
      </c>
      <c r="E1235" s="25">
        <v>19</v>
      </c>
      <c r="F1235" s="23">
        <v>100</v>
      </c>
      <c r="G1235" s="152" cm="1">
        <f t="array" ref="G1235">SUM(E1235/F1235)</f>
        <v>0.19</v>
      </c>
      <c r="H1235" s="15"/>
    </row>
    <row r="1236" ht="13.65" customHeight="1">
      <c r="A1236" s="21">
        <v>23</v>
      </c>
      <c r="B1236" t="s" s="22">
        <v>488</v>
      </c>
      <c r="C1236" s="23">
        <v>1</v>
      </c>
      <c r="D1236" t="s" s="24">
        <v>104</v>
      </c>
      <c r="E1236" s="25">
        <v>11</v>
      </c>
      <c r="F1236" s="23">
        <v>1</v>
      </c>
      <c r="G1236" s="152" cm="1">
        <f t="array" ref="G1236">SUM(E1236/F1236)</f>
        <v>11</v>
      </c>
      <c r="H1236" s="15"/>
    </row>
    <row r="1237" ht="13.65" customHeight="1">
      <c r="A1237" s="21">
        <v>122</v>
      </c>
      <c r="B1237" t="s" s="22">
        <v>489</v>
      </c>
      <c r="C1237" t="s" s="24">
        <v>490</v>
      </c>
      <c r="D1237" t="s" s="24">
        <v>491</v>
      </c>
      <c r="E1237" s="25">
        <v>1.7</v>
      </c>
      <c r="F1237" s="23">
        <v>10</v>
      </c>
      <c r="G1237" s="152" cm="1">
        <f t="array" ref="G1237">SUM(E1237/F1237)</f>
        <v>0.17</v>
      </c>
      <c r="H1237" s="15"/>
    </row>
    <row r="1238" ht="13.65" customHeight="1">
      <c r="A1238" s="21">
        <v>78</v>
      </c>
      <c r="B1238" t="s" s="22">
        <v>492</v>
      </c>
      <c r="C1238" s="23">
        <v>1</v>
      </c>
      <c r="D1238" t="s" s="24">
        <v>104</v>
      </c>
      <c r="E1238" s="25">
        <v>1</v>
      </c>
      <c r="F1238" s="23">
        <v>1</v>
      </c>
      <c r="G1238" s="152" cm="1">
        <f t="array" ref="G1238">SUM(E1238/F1238)</f>
        <v>1</v>
      </c>
      <c r="H1238" s="15"/>
    </row>
    <row r="1239" ht="13.65" customHeight="1">
      <c r="A1239" s="21">
        <v>29</v>
      </c>
      <c r="B1239" t="s" s="22">
        <v>493</v>
      </c>
      <c r="C1239" t="s" s="24">
        <v>494</v>
      </c>
      <c r="D1239" t="s" s="24">
        <v>495</v>
      </c>
      <c r="E1239" s="25">
        <v>74</v>
      </c>
      <c r="F1239" s="23">
        <v>20</v>
      </c>
      <c r="G1239" s="152" cm="1">
        <f t="array" ref="G1239">SUM(E1239/F1239)</f>
        <v>3.7</v>
      </c>
      <c r="H1239" s="15"/>
    </row>
    <row r="1240" ht="13.65" customHeight="1">
      <c r="A1240" s="21">
        <v>36</v>
      </c>
      <c r="B1240" t="s" s="22">
        <v>496</v>
      </c>
      <c r="C1240" t="s" s="24">
        <v>497</v>
      </c>
      <c r="D1240" t="s" s="24">
        <v>498</v>
      </c>
      <c r="E1240" s="25">
        <v>13</v>
      </c>
      <c r="F1240" s="23">
        <v>16</v>
      </c>
      <c r="G1240" s="152" cm="1">
        <f t="array" ref="G1240">SUM(E1240/F1240)</f>
        <v>0.8125</v>
      </c>
      <c r="H1240" s="15"/>
    </row>
    <row r="1241" ht="13.65" customHeight="1">
      <c r="A1241" s="28"/>
      <c r="B1241" s="28"/>
      <c r="C1241" s="27"/>
      <c r="D1241" s="24"/>
      <c r="E1241" s="27"/>
      <c r="F1241" t="s" s="29">
        <v>118</v>
      </c>
      <c r="G1241" s="197" cm="1">
        <f t="array" ref="G1241">SUM(G1226:G1240)</f>
        <v>23.6665432432432</v>
      </c>
      <c r="H1241" s="15"/>
    </row>
    <row r="1242" ht="13.65" customHeight="1">
      <c r="A1242" s="129"/>
      <c r="B1242" s="129"/>
      <c r="C1242" s="129"/>
      <c r="D1242" s="129"/>
      <c r="E1242" s="129"/>
      <c r="F1242" s="31"/>
      <c r="G1242" s="31"/>
      <c r="H1242" s="3"/>
    </row>
    <row r="1243" ht="11.7" customHeight="1">
      <c r="A1243" t="s" s="167">
        <v>136</v>
      </c>
      <c r="B1243" t="s" s="167">
        <v>281</v>
      </c>
      <c r="C1243" t="s" s="167">
        <v>282</v>
      </c>
      <c r="D1243" t="s" s="168">
        <v>283</v>
      </c>
      <c r="E1243" s="169"/>
      <c r="F1243" s="170"/>
      <c r="G1243" s="171"/>
      <c r="H1243" s="171"/>
    </row>
    <row r="1244" ht="13.65" customHeight="1">
      <c r="A1244" s="23">
        <v>40</v>
      </c>
      <c r="B1244" s="172" cm="1">
        <f t="array" ref="B1244">SUM(H256)</f>
        <v>2.47496540404041</v>
      </c>
      <c r="C1244" s="172" cm="1">
        <f t="array" ref="C1244">SUM(G1241)</f>
        <v>23.6665432432432</v>
      </c>
      <c r="D1244" s="199" cm="1">
        <f t="array" ref="D1244">SUM(A1244*B1244)+(C1244)</f>
        <v>122.665159404860</v>
      </c>
      <c r="E1244" s="200"/>
      <c r="F1244" s="15"/>
      <c r="G1244" s="3"/>
      <c r="H1244" s="3"/>
    </row>
    <row r="1245" ht="13.65" customHeight="1">
      <c r="A1245" s="31"/>
      <c r="B1245" s="31"/>
      <c r="C1245" s="31"/>
      <c r="D1245" s="31"/>
      <c r="E1245" s="31"/>
      <c r="F1245" s="3"/>
      <c r="G1245" s="3"/>
      <c r="H1245" s="3"/>
    </row>
    <row r="1246" ht="13.65" customHeight="1">
      <c r="A1246" s="3"/>
      <c r="B1246" s="3"/>
      <c r="C1246" s="3"/>
      <c r="D1246" s="3"/>
      <c r="E1246" s="3"/>
      <c r="F1246" s="3"/>
      <c r="G1246" s="3"/>
      <c r="H1246" s="3"/>
    </row>
    <row r="1247" ht="13.65" customHeight="1">
      <c r="A1247" t="s" s="5">
        <v>499</v>
      </c>
      <c r="B1247" s="3"/>
      <c r="C1247" s="3"/>
      <c r="D1247" s="3"/>
      <c r="E1247" s="3"/>
      <c r="F1247" s="3"/>
      <c r="G1247" s="3"/>
      <c r="H1247" s="3"/>
    </row>
    <row r="1248" ht="13.65" customHeight="1">
      <c r="A1248" s="11"/>
      <c r="B1248" s="11"/>
      <c r="C1248" s="11"/>
      <c r="D1248" s="11"/>
      <c r="E1248" s="11"/>
      <c r="F1248" s="11"/>
      <c r="G1248" s="11"/>
      <c r="H1248" s="3"/>
    </row>
    <row r="1249" ht="13.65" customHeight="1">
      <c r="A1249" s="12"/>
      <c r="B1249" s="12"/>
      <c r="C1249" s="13"/>
      <c r="D1249" s="14"/>
      <c r="E1249" s="13"/>
      <c r="F1249" s="13"/>
      <c r="G1249" t="s" s="14">
        <v>252</v>
      </c>
      <c r="H1249" s="150"/>
    </row>
    <row r="1250" ht="13.65" customHeight="1">
      <c r="A1250" t="s" s="16">
        <v>93</v>
      </c>
      <c r="B1250" t="s" s="16">
        <v>94</v>
      </c>
      <c r="C1250" t="s" s="16">
        <v>95</v>
      </c>
      <c r="D1250" t="s" s="16">
        <v>96</v>
      </c>
      <c r="E1250" t="s" s="16">
        <v>97</v>
      </c>
      <c r="F1250" t="s" s="16">
        <v>98</v>
      </c>
      <c r="G1250" t="s" s="16">
        <v>99</v>
      </c>
      <c r="H1250" s="15"/>
    </row>
    <row r="1251" ht="13.65" customHeight="1">
      <c r="A1251" s="151"/>
      <c r="B1251" s="151"/>
      <c r="C1251" s="19"/>
      <c r="D1251" s="20"/>
      <c r="E1251" s="19"/>
      <c r="F1251" s="19"/>
      <c r="G1251" t="s" s="20">
        <v>100</v>
      </c>
      <c r="H1251" s="15"/>
    </row>
    <row r="1252" ht="13.65" customHeight="1">
      <c r="A1252" s="21">
        <v>72</v>
      </c>
      <c r="B1252" t="s" s="22">
        <v>101</v>
      </c>
      <c r="C1252" s="23">
        <v>50</v>
      </c>
      <c r="D1252" t="s" s="24">
        <v>274</v>
      </c>
      <c r="E1252" s="25">
        <v>1.93</v>
      </c>
      <c r="F1252" s="23">
        <v>12.5</v>
      </c>
      <c r="G1252" s="152" cm="1">
        <f t="array" ref="G1252">SUM(E1252/F1252)</f>
        <v>0.1544</v>
      </c>
      <c r="H1252" s="15"/>
    </row>
    <row r="1253" ht="13.65" customHeight="1">
      <c r="A1253" s="21">
        <v>123</v>
      </c>
      <c r="B1253" t="s" s="22">
        <v>103</v>
      </c>
      <c r="C1253" s="23">
        <v>40</v>
      </c>
      <c r="D1253" t="s" s="24">
        <v>104</v>
      </c>
      <c r="E1253" s="25">
        <v>3.2</v>
      </c>
      <c r="F1253" s="23">
        <v>40</v>
      </c>
      <c r="G1253" s="152" cm="1">
        <f t="array" ref="G1253">SUM(E1253/F1253)</f>
        <v>0.08</v>
      </c>
      <c r="H1253" s="15"/>
    </row>
    <row r="1254" ht="13.65" customHeight="1">
      <c r="A1254" s="21">
        <v>65</v>
      </c>
      <c r="B1254" t="s" s="22">
        <v>394</v>
      </c>
      <c r="C1254" s="23">
        <v>500</v>
      </c>
      <c r="D1254" t="s" s="24">
        <v>106</v>
      </c>
      <c r="E1254" s="25">
        <v>26</v>
      </c>
      <c r="F1254" s="23">
        <v>50</v>
      </c>
      <c r="G1254" s="152" cm="1">
        <f t="array" ref="G1254">SUM(E1254/F1254)</f>
        <v>0.52</v>
      </c>
      <c r="H1254" s="15"/>
    </row>
    <row r="1255" ht="13.65" customHeight="1">
      <c r="A1255" s="21">
        <v>140</v>
      </c>
      <c r="B1255" t="s" s="22">
        <v>470</v>
      </c>
      <c r="C1255" t="s" s="24">
        <v>108</v>
      </c>
      <c r="D1255" t="s" s="24">
        <v>102</v>
      </c>
      <c r="E1255" s="25">
        <v>1.12</v>
      </c>
      <c r="F1255" t="s" s="24">
        <v>387</v>
      </c>
      <c r="G1255" s="152" cm="1">
        <f t="array" ref="G1255">SUM(E1255*2)</f>
        <v>2.24</v>
      </c>
      <c r="H1255" s="15"/>
    </row>
    <row r="1256" ht="13.65" customHeight="1">
      <c r="A1256" s="21">
        <v>71</v>
      </c>
      <c r="B1256" t="s" s="22">
        <v>109</v>
      </c>
      <c r="C1256" s="23">
        <v>10</v>
      </c>
      <c r="D1256" t="s" s="24">
        <v>274</v>
      </c>
      <c r="E1256" s="25">
        <v>5.92</v>
      </c>
      <c r="F1256" s="23">
        <v>2.5</v>
      </c>
      <c r="G1256" s="152" cm="1">
        <f t="array" ref="G1256">SUM(E1256/F1256)</f>
        <v>2.368</v>
      </c>
      <c r="H1256" s="15"/>
    </row>
    <row r="1257" ht="13.65" customHeight="1">
      <c r="A1257" s="21">
        <v>87</v>
      </c>
      <c r="B1257" t="s" s="22">
        <v>110</v>
      </c>
      <c r="C1257" s="23">
        <v>50</v>
      </c>
      <c r="D1257" t="s" s="24">
        <v>274</v>
      </c>
      <c r="E1257" s="25">
        <v>9</v>
      </c>
      <c r="F1257" s="23">
        <v>12.5</v>
      </c>
      <c r="G1257" s="152" cm="1">
        <f t="array" ref="G1257">SUM(E1257/F1257)</f>
        <v>0.72</v>
      </c>
      <c r="H1257" s="15"/>
    </row>
    <row r="1258" ht="13.65" customHeight="1">
      <c r="A1258" s="21">
        <v>55</v>
      </c>
      <c r="B1258" t="s" s="22">
        <v>111</v>
      </c>
      <c r="C1258" t="s" s="24">
        <v>112</v>
      </c>
      <c r="D1258" t="s" s="24">
        <v>461</v>
      </c>
      <c r="E1258" s="25">
        <v>2.71</v>
      </c>
      <c r="F1258" s="23">
        <v>37</v>
      </c>
      <c r="G1258" s="152" cm="1">
        <f t="array" ref="G1258">SUM(E1258/F1258)</f>
        <v>0.0732432432432432</v>
      </c>
      <c r="H1258" s="15"/>
    </row>
    <row r="1259" ht="13.65" customHeight="1">
      <c r="A1259" s="21">
        <v>10</v>
      </c>
      <c r="B1259" t="s" s="22">
        <v>395</v>
      </c>
      <c r="C1259" t="s" s="24">
        <v>396</v>
      </c>
      <c r="D1259" t="s" s="24">
        <v>397</v>
      </c>
      <c r="E1259" s="25">
        <v>3.92</v>
      </c>
      <c r="F1259" s="23">
        <v>50</v>
      </c>
      <c r="G1259" s="152" cm="1">
        <f t="array" ref="G1259">SUM(E1259/F1259)</f>
        <v>0.0784</v>
      </c>
      <c r="H1259" s="15"/>
    </row>
    <row r="1260" ht="13.65" customHeight="1">
      <c r="A1260" s="21">
        <v>9</v>
      </c>
      <c r="B1260" t="s" s="22">
        <v>398</v>
      </c>
      <c r="C1260" s="23">
        <v>50</v>
      </c>
      <c r="D1260" t="s" s="24">
        <v>102</v>
      </c>
      <c r="E1260" s="25">
        <v>14</v>
      </c>
      <c r="F1260" s="23">
        <v>25</v>
      </c>
      <c r="G1260" s="152" cm="1">
        <f t="array" ref="G1260">SUM(E1260/F1260)</f>
        <v>0.5600000000000001</v>
      </c>
      <c r="H1260" s="15"/>
    </row>
    <row r="1261" ht="13.65" customHeight="1">
      <c r="A1261" s="21">
        <v>6</v>
      </c>
      <c r="B1261" t="s" s="22">
        <v>399</v>
      </c>
      <c r="C1261" s="23">
        <v>100</v>
      </c>
      <c r="D1261" t="s" s="24">
        <v>104</v>
      </c>
      <c r="E1261" s="25">
        <v>19</v>
      </c>
      <c r="F1261" s="23">
        <v>100</v>
      </c>
      <c r="G1261" s="152" cm="1">
        <f t="array" ref="G1261">SUM(E1261/F1261)</f>
        <v>0.19</v>
      </c>
      <c r="H1261" s="15"/>
    </row>
    <row r="1262" ht="13.65" customHeight="1">
      <c r="A1262" s="21">
        <v>23</v>
      </c>
      <c r="B1262" t="s" s="22">
        <v>488</v>
      </c>
      <c r="C1262" s="23">
        <v>1</v>
      </c>
      <c r="D1262" t="s" s="24">
        <v>104</v>
      </c>
      <c r="E1262" s="25">
        <v>11</v>
      </c>
      <c r="F1262" s="23">
        <v>1</v>
      </c>
      <c r="G1262" s="152" cm="1">
        <f t="array" ref="G1262">SUM(E1262/F1262)</f>
        <v>11</v>
      </c>
      <c r="H1262" s="15"/>
    </row>
    <row r="1263" ht="13.65" customHeight="1">
      <c r="A1263" s="21">
        <v>122</v>
      </c>
      <c r="B1263" t="s" s="22">
        <v>489</v>
      </c>
      <c r="C1263" t="s" s="24">
        <v>490</v>
      </c>
      <c r="D1263" t="s" s="24">
        <v>491</v>
      </c>
      <c r="E1263" s="25">
        <v>1.7</v>
      </c>
      <c r="F1263" s="23">
        <v>10</v>
      </c>
      <c r="G1263" s="152" cm="1">
        <f t="array" ref="G1263">SUM(E1263/F1263)</f>
        <v>0.17</v>
      </c>
      <c r="H1263" s="15"/>
    </row>
    <row r="1264" ht="13.65" customHeight="1">
      <c r="A1264" s="21">
        <v>78</v>
      </c>
      <c r="B1264" t="s" s="22">
        <v>492</v>
      </c>
      <c r="C1264" s="23">
        <v>1</v>
      </c>
      <c r="D1264" t="s" s="24">
        <v>104</v>
      </c>
      <c r="E1264" s="25">
        <v>1</v>
      </c>
      <c r="F1264" s="23">
        <v>1</v>
      </c>
      <c r="G1264" s="152" cm="1">
        <f t="array" ref="G1264">SUM(E1264/F1264)</f>
        <v>1</v>
      </c>
      <c r="H1264" s="15"/>
    </row>
    <row r="1265" ht="13.65" customHeight="1">
      <c r="A1265" s="21">
        <v>29</v>
      </c>
      <c r="B1265" t="s" s="22">
        <v>493</v>
      </c>
      <c r="C1265" t="s" s="24">
        <v>500</v>
      </c>
      <c r="D1265" t="s" s="24">
        <v>495</v>
      </c>
      <c r="E1265" s="25">
        <v>74</v>
      </c>
      <c r="F1265" s="23">
        <v>20</v>
      </c>
      <c r="G1265" s="152" cm="1">
        <f t="array" ref="G1265">SUM(E1265/F1265)</f>
        <v>3.7</v>
      </c>
      <c r="H1265" s="15"/>
    </row>
    <row r="1266" ht="13.65" customHeight="1">
      <c r="A1266" s="21">
        <v>36</v>
      </c>
      <c r="B1266" t="s" s="22">
        <v>496</v>
      </c>
      <c r="C1266" t="s" s="24">
        <v>497</v>
      </c>
      <c r="D1266" t="s" s="24">
        <v>498</v>
      </c>
      <c r="E1266" s="25">
        <v>13</v>
      </c>
      <c r="F1266" s="23">
        <v>16</v>
      </c>
      <c r="G1266" s="152" cm="1">
        <f t="array" ref="G1266">SUM(E1266/F1266)</f>
        <v>0.8125</v>
      </c>
      <c r="H1266" s="15"/>
    </row>
    <row r="1267" ht="13.65" customHeight="1">
      <c r="A1267" s="28"/>
      <c r="B1267" s="28"/>
      <c r="C1267" s="27"/>
      <c r="D1267" s="24"/>
      <c r="E1267" s="27"/>
      <c r="F1267" t="s" s="29">
        <v>118</v>
      </c>
      <c r="G1267" s="197" cm="1">
        <f t="array" ref="G1267">SUM(G1252:G1266)</f>
        <v>23.6665432432432</v>
      </c>
      <c r="H1267" s="15"/>
    </row>
    <row r="1268" ht="13.65" customHeight="1">
      <c r="A1268" s="129"/>
      <c r="B1268" s="129"/>
      <c r="C1268" s="129"/>
      <c r="D1268" s="129"/>
      <c r="E1268" s="129"/>
      <c r="F1268" s="31"/>
      <c r="G1268" s="31"/>
      <c r="H1268" s="3"/>
    </row>
    <row r="1269" ht="11.7" customHeight="1">
      <c r="A1269" t="s" s="167">
        <v>136</v>
      </c>
      <c r="B1269" t="s" s="167">
        <v>281</v>
      </c>
      <c r="C1269" t="s" s="167">
        <v>282</v>
      </c>
      <c r="D1269" t="s" s="168">
        <v>283</v>
      </c>
      <c r="E1269" s="169"/>
      <c r="F1269" s="170"/>
      <c r="G1269" s="171"/>
      <c r="H1269" s="171"/>
    </row>
    <row r="1270" ht="13.65" customHeight="1">
      <c r="A1270" s="23">
        <v>45</v>
      </c>
      <c r="B1270" s="172" cm="1">
        <f t="array" ref="B1270">SUM(H256)</f>
        <v>2.47496540404041</v>
      </c>
      <c r="C1270" s="172" cm="1">
        <f t="array" ref="C1270">SUM(G1267)</f>
        <v>23.6665432432432</v>
      </c>
      <c r="D1270" s="199" cm="1">
        <f t="array" ref="D1270">SUM(A1270*B1270)+(C1270)</f>
        <v>135.039986425062</v>
      </c>
      <c r="E1270" s="200"/>
      <c r="F1270" s="15"/>
      <c r="G1270" s="3"/>
      <c r="H1270" s="3"/>
    </row>
    <row r="1271" ht="13.65" customHeight="1">
      <c r="A1271" s="31"/>
      <c r="B1271" s="31"/>
      <c r="C1271" s="31"/>
      <c r="D1271" s="31"/>
      <c r="E1271" s="31"/>
      <c r="F1271" s="3"/>
      <c r="G1271" s="3"/>
      <c r="H1271" s="3"/>
    </row>
    <row r="1272" ht="13.65" customHeight="1">
      <c r="A1272" s="203"/>
      <c r="B1272" s="203"/>
      <c r="C1272" s="203"/>
      <c r="D1272" s="203"/>
      <c r="E1272" s="203"/>
      <c r="F1272" s="203"/>
      <c r="G1272" s="203"/>
      <c r="H1272" s="203"/>
    </row>
    <row r="1273" ht="13.65" customHeight="1">
      <c r="A1273" t="s" s="274">
        <v>284</v>
      </c>
      <c r="B1273" s="275"/>
      <c r="C1273" s="275"/>
      <c r="D1273" s="275"/>
      <c r="E1273" s="280"/>
      <c r="F1273" s="275"/>
      <c r="G1273" s="275"/>
      <c r="H1273" s="277"/>
    </row>
    <row r="1274" ht="13.65" customHeight="1">
      <c r="A1274" s="278"/>
      <c r="B1274" s="278"/>
      <c r="C1274" s="278"/>
      <c r="D1274" s="278"/>
      <c r="E1274" s="278"/>
      <c r="F1274" s="278"/>
      <c r="G1274" s="278"/>
      <c r="H1274" s="278"/>
    </row>
    <row r="1275" ht="13.65" customHeight="1">
      <c r="A1275" s="3"/>
      <c r="B1275" s="3"/>
      <c r="C1275" s="3"/>
      <c r="D1275" s="3"/>
      <c r="E1275" s="3"/>
      <c r="F1275" s="3"/>
      <c r="G1275" s="3"/>
      <c r="H1275" s="3"/>
    </row>
    <row r="1276" ht="13.65" customHeight="1">
      <c r="A1276" t="s" s="5">
        <v>501</v>
      </c>
      <c r="B1276" s="3"/>
      <c r="C1276" s="3"/>
      <c r="D1276" s="3"/>
      <c r="E1276" s="3"/>
      <c r="F1276" s="3"/>
      <c r="G1276" s="3"/>
      <c r="H1276" s="3"/>
    </row>
    <row r="1277" ht="13.65" customHeight="1">
      <c r="A1277" s="11"/>
      <c r="B1277" s="11"/>
      <c r="C1277" s="11"/>
      <c r="D1277" s="11"/>
      <c r="E1277" s="11"/>
      <c r="F1277" s="11"/>
      <c r="G1277" s="11"/>
      <c r="H1277" s="3"/>
    </row>
    <row r="1278" ht="13.65" customHeight="1">
      <c r="A1278" s="12"/>
      <c r="B1278" s="12"/>
      <c r="C1278" s="13"/>
      <c r="D1278" s="14"/>
      <c r="E1278" s="13"/>
      <c r="F1278" s="13"/>
      <c r="G1278" t="s" s="14">
        <v>252</v>
      </c>
      <c r="H1278" s="150"/>
    </row>
    <row r="1279" ht="13.65" customHeight="1">
      <c r="A1279" t="s" s="16">
        <v>93</v>
      </c>
      <c r="B1279" t="s" s="16">
        <v>94</v>
      </c>
      <c r="C1279" t="s" s="16">
        <v>95</v>
      </c>
      <c r="D1279" t="s" s="16">
        <v>96</v>
      </c>
      <c r="E1279" t="s" s="16">
        <v>97</v>
      </c>
      <c r="F1279" t="s" s="16">
        <v>98</v>
      </c>
      <c r="G1279" t="s" s="16">
        <v>99</v>
      </c>
      <c r="H1279" s="15"/>
    </row>
    <row r="1280" ht="13.65" customHeight="1">
      <c r="A1280" s="151"/>
      <c r="B1280" s="151"/>
      <c r="C1280" s="19"/>
      <c r="D1280" s="20"/>
      <c r="E1280" s="19"/>
      <c r="F1280" s="19"/>
      <c r="G1280" t="s" s="20">
        <v>100</v>
      </c>
      <c r="H1280" s="15"/>
    </row>
    <row r="1281" ht="13.65" customHeight="1">
      <c r="A1281" s="21">
        <v>72</v>
      </c>
      <c r="B1281" t="s" s="22">
        <v>101</v>
      </c>
      <c r="C1281" s="23">
        <v>50</v>
      </c>
      <c r="D1281" t="s" s="24">
        <v>274</v>
      </c>
      <c r="E1281" s="25">
        <v>1.93</v>
      </c>
      <c r="F1281" s="23">
        <v>12.5</v>
      </c>
      <c r="G1281" s="152" cm="1">
        <f t="array" ref="G1281">SUM(E1281/F1281)</f>
        <v>0.1544</v>
      </c>
      <c r="H1281" s="15"/>
    </row>
    <row r="1282" ht="13.65" customHeight="1">
      <c r="A1282" s="21">
        <v>123</v>
      </c>
      <c r="B1282" t="s" s="22">
        <v>103</v>
      </c>
      <c r="C1282" s="23">
        <v>40</v>
      </c>
      <c r="D1282" t="s" s="24">
        <v>102</v>
      </c>
      <c r="E1282" s="25">
        <v>3.2</v>
      </c>
      <c r="F1282" s="23">
        <v>20</v>
      </c>
      <c r="G1282" s="152" cm="1">
        <f t="array" ref="G1282">SUM(E1282/F1282)</f>
        <v>0.16</v>
      </c>
      <c r="H1282" s="15"/>
    </row>
    <row r="1283" ht="13.65" customHeight="1">
      <c r="A1283" s="21">
        <v>117</v>
      </c>
      <c r="B1283" t="s" s="22">
        <v>105</v>
      </c>
      <c r="C1283" s="23">
        <v>100</v>
      </c>
      <c r="D1283" t="s" s="24">
        <v>106</v>
      </c>
      <c r="E1283" s="25">
        <v>1.2</v>
      </c>
      <c r="F1283" s="23">
        <v>10</v>
      </c>
      <c r="G1283" s="152" cm="1">
        <f t="array" ref="G1283">SUM(E1283/F1283)</f>
        <v>0.12</v>
      </c>
      <c r="H1283" s="15"/>
    </row>
    <row r="1284" ht="13.65" customHeight="1">
      <c r="A1284" s="21">
        <v>86</v>
      </c>
      <c r="B1284" t="s" s="22">
        <v>107</v>
      </c>
      <c r="C1284" t="s" s="24">
        <v>108</v>
      </c>
      <c r="D1284" t="s" s="24">
        <v>274</v>
      </c>
      <c r="E1284" s="25">
        <v>0.32</v>
      </c>
      <c r="F1284" t="s" s="24">
        <v>301</v>
      </c>
      <c r="G1284" s="152" cm="1">
        <f t="array" ref="G1284">SUM(E1284*4)</f>
        <v>1.28</v>
      </c>
      <c r="H1284" s="15"/>
    </row>
    <row r="1285" ht="13.65" customHeight="1">
      <c r="A1285" s="21">
        <v>71</v>
      </c>
      <c r="B1285" t="s" s="22">
        <v>109</v>
      </c>
      <c r="C1285" s="23">
        <v>10</v>
      </c>
      <c r="D1285" t="s" s="24">
        <v>274</v>
      </c>
      <c r="E1285" s="25">
        <v>5.92</v>
      </c>
      <c r="F1285" s="23">
        <v>2.5</v>
      </c>
      <c r="G1285" s="152" cm="1">
        <f t="array" ref="G1285">SUM(E1285/F1285)</f>
        <v>2.368</v>
      </c>
      <c r="H1285" s="15"/>
    </row>
    <row r="1286" ht="13.65" customHeight="1">
      <c r="A1286" s="21">
        <v>87</v>
      </c>
      <c r="B1286" t="s" s="22">
        <v>110</v>
      </c>
      <c r="C1286" s="23">
        <v>50</v>
      </c>
      <c r="D1286" t="s" s="24">
        <v>274</v>
      </c>
      <c r="E1286" s="25">
        <v>9</v>
      </c>
      <c r="F1286" s="23">
        <v>12.5</v>
      </c>
      <c r="G1286" s="152" cm="1">
        <f t="array" ref="G1286">SUM(E1286/F1286)</f>
        <v>0.72</v>
      </c>
      <c r="H1286" s="15"/>
    </row>
    <row r="1287" ht="13.65" customHeight="1">
      <c r="A1287" s="21">
        <v>55</v>
      </c>
      <c r="B1287" t="s" s="22">
        <v>111</v>
      </c>
      <c r="C1287" t="s" s="24">
        <v>112</v>
      </c>
      <c r="D1287" t="s" s="24">
        <v>461</v>
      </c>
      <c r="E1287" s="25">
        <v>2.71</v>
      </c>
      <c r="F1287" s="23">
        <v>37.5</v>
      </c>
      <c r="G1287" s="152" cm="1">
        <f t="array" ref="G1287">SUM(E1287/F1287)</f>
        <v>0.0722666666666667</v>
      </c>
      <c r="H1287" s="15"/>
    </row>
    <row r="1288" ht="13.65" customHeight="1">
      <c r="A1288" s="21">
        <v>24</v>
      </c>
      <c r="B1288" t="s" s="22">
        <v>502</v>
      </c>
      <c r="C1288" s="23">
        <v>10</v>
      </c>
      <c r="D1288" t="s" s="24">
        <v>104</v>
      </c>
      <c r="E1288" s="25">
        <v>9.6</v>
      </c>
      <c r="F1288" s="23">
        <v>10</v>
      </c>
      <c r="G1288" s="152" cm="1">
        <f t="array" ref="G1288">SUM(E1288/F1288)</f>
        <v>0.96</v>
      </c>
      <c r="H1288" s="15"/>
    </row>
    <row r="1289" ht="13.65" customHeight="1">
      <c r="A1289" s="21">
        <v>10</v>
      </c>
      <c r="B1289" t="s" s="22">
        <v>395</v>
      </c>
      <c r="C1289" t="s" s="24">
        <v>396</v>
      </c>
      <c r="D1289" t="s" s="24">
        <v>397</v>
      </c>
      <c r="E1289" s="25">
        <v>3.92</v>
      </c>
      <c r="F1289" s="23">
        <v>50</v>
      </c>
      <c r="G1289" s="152" cm="1">
        <f t="array" ref="G1289">SUM(E1289/F1289)</f>
        <v>0.0784</v>
      </c>
      <c r="H1289" s="15"/>
    </row>
    <row r="1290" ht="13.65" customHeight="1">
      <c r="A1290" s="21">
        <v>9</v>
      </c>
      <c r="B1290" t="s" s="22">
        <v>398</v>
      </c>
      <c r="C1290" t="s" s="24">
        <v>503</v>
      </c>
      <c r="D1290" t="s" s="24">
        <v>104</v>
      </c>
      <c r="E1290" s="25">
        <v>14</v>
      </c>
      <c r="F1290" s="23">
        <v>50</v>
      </c>
      <c r="G1290" s="152" cm="1">
        <f t="array" ref="G1290">SUM(E1290/F1290)</f>
        <v>0.28</v>
      </c>
      <c r="H1290" s="15"/>
    </row>
    <row r="1291" ht="13.65" customHeight="1">
      <c r="A1291" s="21">
        <v>6</v>
      </c>
      <c r="B1291" t="s" s="22">
        <v>399</v>
      </c>
      <c r="C1291" t="s" s="24">
        <v>436</v>
      </c>
      <c r="D1291" t="s" s="24">
        <v>104</v>
      </c>
      <c r="E1291" s="25">
        <v>19</v>
      </c>
      <c r="F1291" s="23">
        <v>100</v>
      </c>
      <c r="G1291" s="152" cm="1">
        <f t="array" ref="G1291">SUM(E1291/F1291)</f>
        <v>0.19</v>
      </c>
      <c r="H1291" s="15"/>
    </row>
    <row r="1292" ht="13.65" customHeight="1">
      <c r="A1292" s="21">
        <v>11</v>
      </c>
      <c r="B1292" t="s" s="22">
        <v>440</v>
      </c>
      <c r="C1292" t="s" s="24">
        <v>441</v>
      </c>
      <c r="D1292" t="s" s="24">
        <v>442</v>
      </c>
      <c r="E1292" s="25">
        <v>49</v>
      </c>
      <c r="F1292" s="23">
        <v>44</v>
      </c>
      <c r="G1292" s="152" cm="1">
        <f t="array" ref="G1292">SUM(E1292/F1292)</f>
        <v>1.11363636363636</v>
      </c>
      <c r="H1292" s="15"/>
    </row>
    <row r="1293" ht="13.65" customHeight="1">
      <c r="A1293" s="21">
        <v>19</v>
      </c>
      <c r="B1293" t="s" s="22">
        <v>414</v>
      </c>
      <c r="C1293" s="23">
        <v>1</v>
      </c>
      <c r="D1293" t="s" s="24">
        <v>116</v>
      </c>
      <c r="E1293" s="25">
        <v>5.2</v>
      </c>
      <c r="F1293" s="23">
        <v>10</v>
      </c>
      <c r="G1293" s="152" cm="1">
        <f t="array" ref="G1293">SUM(E1293/F1293)</f>
        <v>0.52</v>
      </c>
      <c r="H1293" s="15"/>
    </row>
    <row r="1294" ht="13.65" customHeight="1">
      <c r="A1294" s="21">
        <v>34</v>
      </c>
      <c r="B1294" t="s" s="22">
        <v>456</v>
      </c>
      <c r="C1294" t="s" s="24">
        <v>432</v>
      </c>
      <c r="D1294" t="s" s="24">
        <v>408</v>
      </c>
      <c r="E1294" s="25">
        <v>31</v>
      </c>
      <c r="F1294" s="23">
        <v>14</v>
      </c>
      <c r="G1294" s="152" cm="1">
        <f t="array" ref="G1294">SUM(E1294/F1294)</f>
        <v>2.21428571428571</v>
      </c>
      <c r="H1294" s="15"/>
    </row>
    <row r="1295" ht="13.65" customHeight="1">
      <c r="A1295" s="28"/>
      <c r="B1295" s="28"/>
      <c r="C1295" t="s" s="24">
        <v>390</v>
      </c>
      <c r="D1295" t="s" s="24">
        <v>457</v>
      </c>
      <c r="E1295" s="25">
        <v>14</v>
      </c>
      <c r="F1295" s="23">
        <v>20</v>
      </c>
      <c r="G1295" s="152" cm="1">
        <f t="array" ref="G1295">SUM(E1295/F1295)</f>
        <v>0.7</v>
      </c>
      <c r="H1295" s="15"/>
    </row>
    <row r="1296" ht="13.65" customHeight="1">
      <c r="A1296" s="28"/>
      <c r="B1296" s="28"/>
      <c r="C1296" s="27"/>
      <c r="D1296" s="24"/>
      <c r="E1296" s="27"/>
      <c r="F1296" t="s" s="29">
        <v>118</v>
      </c>
      <c r="G1296" s="197" cm="1">
        <f t="array" ref="G1296">SUM(G1281:G1293)</f>
        <v>8.016703030303031</v>
      </c>
      <c r="H1296" s="15"/>
    </row>
    <row r="1297" ht="13.65" customHeight="1">
      <c r="A1297" s="129"/>
      <c r="B1297" s="129"/>
      <c r="C1297" s="129"/>
      <c r="D1297" s="129"/>
      <c r="E1297" s="129"/>
      <c r="F1297" s="31"/>
      <c r="G1297" s="31"/>
      <c r="H1297" s="3"/>
    </row>
    <row r="1298" ht="11.7" customHeight="1">
      <c r="A1298" t="s" s="167">
        <v>136</v>
      </c>
      <c r="B1298" t="s" s="167">
        <v>281</v>
      </c>
      <c r="C1298" t="s" s="167">
        <v>282</v>
      </c>
      <c r="D1298" t="s" s="168">
        <v>283</v>
      </c>
      <c r="E1298" s="169"/>
      <c r="F1298" s="170"/>
      <c r="G1298" s="171"/>
      <c r="H1298" s="171"/>
    </row>
    <row r="1299" ht="13.65" customHeight="1">
      <c r="A1299" s="23">
        <v>30</v>
      </c>
      <c r="B1299" s="172" cm="1">
        <f t="array" ref="B1299">SUM(H256)</f>
        <v>2.47496540404041</v>
      </c>
      <c r="C1299" s="172" cm="1">
        <f t="array" ref="C1299">SUM(G1296)</f>
        <v>8.016703030303031</v>
      </c>
      <c r="D1299" s="199" cm="1">
        <f t="array" ref="D1299">SUM(A1299*B1299)+(C1299)</f>
        <v>82.26566515151529</v>
      </c>
      <c r="E1299" s="200"/>
      <c r="F1299" s="15"/>
      <c r="G1299" s="3"/>
      <c r="H1299" s="3"/>
    </row>
    <row r="1300" ht="13.65" customHeight="1">
      <c r="A1300" s="31"/>
      <c r="B1300" s="31"/>
      <c r="C1300" s="31"/>
      <c r="D1300" s="31"/>
      <c r="E1300" s="31"/>
      <c r="F1300" s="3"/>
      <c r="G1300" s="3"/>
      <c r="H1300" s="3"/>
    </row>
    <row r="1301" ht="13.65" customHeight="1">
      <c r="A1301" s="3"/>
      <c r="B1301" s="3"/>
      <c r="C1301" s="3"/>
      <c r="D1301" s="3"/>
      <c r="E1301" s="3"/>
      <c r="F1301" s="3"/>
      <c r="G1301" s="3"/>
      <c r="H1301" s="3"/>
    </row>
    <row r="1302" ht="13.65" customHeight="1">
      <c r="A1302" t="s" s="5">
        <v>504</v>
      </c>
      <c r="B1302" s="3"/>
      <c r="C1302" s="3"/>
      <c r="D1302" s="3"/>
      <c r="E1302" s="3"/>
      <c r="F1302" s="3"/>
      <c r="G1302" s="3"/>
      <c r="H1302" s="3"/>
    </row>
    <row r="1303" ht="13.65" customHeight="1">
      <c r="A1303" t="s" s="5">
        <v>505</v>
      </c>
      <c r="B1303" s="3"/>
      <c r="C1303" s="3"/>
      <c r="D1303" s="3"/>
      <c r="E1303" s="3"/>
      <c r="F1303" s="3"/>
      <c r="G1303" s="3"/>
      <c r="H1303" s="3"/>
    </row>
    <row r="1304" ht="13.65" customHeight="1">
      <c r="A1304" s="11"/>
      <c r="B1304" s="11"/>
      <c r="C1304" s="11"/>
      <c r="D1304" s="11"/>
      <c r="E1304" s="11"/>
      <c r="F1304" s="11"/>
      <c r="G1304" s="11"/>
      <c r="H1304" s="3"/>
    </row>
    <row r="1305" ht="13.65" customHeight="1">
      <c r="A1305" s="12"/>
      <c r="B1305" s="12"/>
      <c r="C1305" s="13"/>
      <c r="D1305" s="14"/>
      <c r="E1305" s="13"/>
      <c r="F1305" s="13"/>
      <c r="G1305" t="s" s="14">
        <v>252</v>
      </c>
      <c r="H1305" s="150"/>
    </row>
    <row r="1306" ht="13.65" customHeight="1">
      <c r="A1306" t="s" s="16">
        <v>93</v>
      </c>
      <c r="B1306" t="s" s="16">
        <v>94</v>
      </c>
      <c r="C1306" t="s" s="16">
        <v>95</v>
      </c>
      <c r="D1306" t="s" s="16">
        <v>96</v>
      </c>
      <c r="E1306" t="s" s="16">
        <v>97</v>
      </c>
      <c r="F1306" t="s" s="16">
        <v>98</v>
      </c>
      <c r="G1306" t="s" s="16">
        <v>99</v>
      </c>
      <c r="H1306" s="15"/>
    </row>
    <row r="1307" ht="13.65" customHeight="1">
      <c r="A1307" s="151"/>
      <c r="B1307" s="151"/>
      <c r="C1307" s="19"/>
      <c r="D1307" s="20"/>
      <c r="E1307" s="19"/>
      <c r="F1307" s="19"/>
      <c r="G1307" t="s" s="20">
        <v>100</v>
      </c>
      <c r="H1307" s="15"/>
    </row>
    <row r="1308" ht="13.65" customHeight="1">
      <c r="A1308" s="21">
        <v>72</v>
      </c>
      <c r="B1308" t="s" s="22">
        <v>101</v>
      </c>
      <c r="C1308" s="23">
        <v>50</v>
      </c>
      <c r="D1308" t="s" s="24">
        <v>274</v>
      </c>
      <c r="E1308" s="25">
        <v>1.93</v>
      </c>
      <c r="F1308" s="23">
        <v>12.5</v>
      </c>
      <c r="G1308" s="152" cm="1">
        <f t="array" ref="G1308">SUM(E1308/F1308)</f>
        <v>0.1544</v>
      </c>
      <c r="H1308" s="15"/>
    </row>
    <row r="1309" ht="13.65" customHeight="1">
      <c r="A1309" s="21">
        <v>123</v>
      </c>
      <c r="B1309" t="s" s="22">
        <v>103</v>
      </c>
      <c r="C1309" s="23">
        <v>40</v>
      </c>
      <c r="D1309" t="s" s="24">
        <v>102</v>
      </c>
      <c r="E1309" s="25">
        <v>3.2</v>
      </c>
      <c r="F1309" s="23">
        <v>20</v>
      </c>
      <c r="G1309" s="152" cm="1">
        <f t="array" ref="G1309">SUM(E1309/F1309)</f>
        <v>0.16</v>
      </c>
      <c r="H1309" s="15"/>
    </row>
    <row r="1310" ht="13.65" customHeight="1">
      <c r="A1310" s="21">
        <v>86</v>
      </c>
      <c r="B1310" t="s" s="22">
        <v>107</v>
      </c>
      <c r="C1310" t="s" s="24">
        <v>108</v>
      </c>
      <c r="D1310" t="s" s="24">
        <v>274</v>
      </c>
      <c r="E1310" s="25">
        <v>0.32</v>
      </c>
      <c r="F1310" t="s" s="24">
        <v>301</v>
      </c>
      <c r="G1310" s="152" cm="1">
        <f t="array" ref="G1310">SUM(E1310*4)</f>
        <v>1.28</v>
      </c>
      <c r="H1310" s="15"/>
    </row>
    <row r="1311" ht="13.65" customHeight="1">
      <c r="A1311" s="21">
        <v>71</v>
      </c>
      <c r="B1311" t="s" s="22">
        <v>109</v>
      </c>
      <c r="C1311" s="23">
        <v>10</v>
      </c>
      <c r="D1311" t="s" s="24">
        <v>274</v>
      </c>
      <c r="E1311" s="25">
        <v>5.92</v>
      </c>
      <c r="F1311" s="23">
        <v>2.5</v>
      </c>
      <c r="G1311" s="152" cm="1">
        <f t="array" ref="G1311">SUM(E1311/F1311)</f>
        <v>2.368</v>
      </c>
      <c r="H1311" s="15"/>
    </row>
    <row r="1312" ht="13.65" customHeight="1">
      <c r="A1312" s="21">
        <v>87</v>
      </c>
      <c r="B1312" t="s" s="22">
        <v>110</v>
      </c>
      <c r="C1312" s="23">
        <v>50</v>
      </c>
      <c r="D1312" t="s" s="24">
        <v>274</v>
      </c>
      <c r="E1312" s="25">
        <v>9</v>
      </c>
      <c r="F1312" s="23">
        <v>12.5</v>
      </c>
      <c r="G1312" s="152" cm="1">
        <f t="array" ref="G1312">SUM(E1312/F1312)</f>
        <v>0.72</v>
      </c>
      <c r="H1312" s="15"/>
    </row>
    <row r="1313" ht="13.65" customHeight="1">
      <c r="A1313" s="21">
        <v>55</v>
      </c>
      <c r="B1313" t="s" s="22">
        <v>111</v>
      </c>
      <c r="C1313" t="s" s="24">
        <v>112</v>
      </c>
      <c r="D1313" t="s" s="24">
        <v>461</v>
      </c>
      <c r="E1313" s="25">
        <v>2.71</v>
      </c>
      <c r="F1313" s="23">
        <v>37.5</v>
      </c>
      <c r="G1313" s="152" cm="1">
        <f t="array" ref="G1313">SUM(E1313/F1313)</f>
        <v>0.0722666666666667</v>
      </c>
      <c r="H1313" s="15"/>
    </row>
    <row r="1314" ht="13.65" customHeight="1">
      <c r="A1314" s="21">
        <v>24</v>
      </c>
      <c r="B1314" t="s" s="22">
        <v>502</v>
      </c>
      <c r="C1314" s="23">
        <v>10</v>
      </c>
      <c r="D1314" t="s" s="24">
        <v>104</v>
      </c>
      <c r="E1314" s="25">
        <v>9.6</v>
      </c>
      <c r="F1314" s="23">
        <v>10</v>
      </c>
      <c r="G1314" s="152" cm="1">
        <f t="array" ref="G1314">SUM(E1314/F1314)</f>
        <v>0.96</v>
      </c>
      <c r="H1314" s="15"/>
    </row>
    <row r="1315" ht="13.65" customHeight="1">
      <c r="A1315" s="21">
        <v>10</v>
      </c>
      <c r="B1315" t="s" s="22">
        <v>395</v>
      </c>
      <c r="C1315" t="s" s="24">
        <v>396</v>
      </c>
      <c r="D1315" t="s" s="24">
        <v>397</v>
      </c>
      <c r="E1315" s="25">
        <v>3.92</v>
      </c>
      <c r="F1315" s="23">
        <v>50</v>
      </c>
      <c r="G1315" s="152" cm="1">
        <f t="array" ref="G1315">SUM(E1315/F1315)</f>
        <v>0.0784</v>
      </c>
      <c r="H1315" s="15"/>
    </row>
    <row r="1316" ht="13.65" customHeight="1">
      <c r="A1316" s="21">
        <v>9</v>
      </c>
      <c r="B1316" t="s" s="22">
        <v>398</v>
      </c>
      <c r="C1316" t="s" s="24">
        <v>503</v>
      </c>
      <c r="D1316" t="s" s="24">
        <v>104</v>
      </c>
      <c r="E1316" s="25">
        <v>14</v>
      </c>
      <c r="F1316" s="23">
        <v>50</v>
      </c>
      <c r="G1316" s="152" cm="1">
        <f t="array" ref="G1316">SUM(E1316/F1316)</f>
        <v>0.28</v>
      </c>
      <c r="H1316" s="15"/>
    </row>
    <row r="1317" ht="13.65" customHeight="1">
      <c r="A1317" s="21">
        <v>6</v>
      </c>
      <c r="B1317" t="s" s="22">
        <v>399</v>
      </c>
      <c r="C1317" t="s" s="24">
        <v>436</v>
      </c>
      <c r="D1317" t="s" s="24">
        <v>104</v>
      </c>
      <c r="E1317" s="25">
        <v>19</v>
      </c>
      <c r="F1317" s="23">
        <v>100</v>
      </c>
      <c r="G1317" s="152" cm="1">
        <f t="array" ref="G1317">SUM(E1317/F1317)</f>
        <v>0.19</v>
      </c>
      <c r="H1317" s="15"/>
    </row>
    <row r="1318" ht="13.65" customHeight="1">
      <c r="A1318" s="21">
        <v>11</v>
      </c>
      <c r="B1318" t="s" s="22">
        <v>440</v>
      </c>
      <c r="C1318" t="s" s="24">
        <v>441</v>
      </c>
      <c r="D1318" t="s" s="24">
        <v>442</v>
      </c>
      <c r="E1318" s="25">
        <v>49</v>
      </c>
      <c r="F1318" s="23">
        <v>44</v>
      </c>
      <c r="G1318" s="152" cm="1">
        <f t="array" ref="G1318">SUM(E1318/F1318)</f>
        <v>1.11363636363636</v>
      </c>
      <c r="H1318" s="15"/>
    </row>
    <row r="1319" ht="13.65" customHeight="1">
      <c r="A1319" s="21">
        <v>19</v>
      </c>
      <c r="B1319" t="s" s="22">
        <v>414</v>
      </c>
      <c r="C1319" s="23">
        <v>1</v>
      </c>
      <c r="D1319" t="s" s="24">
        <v>116</v>
      </c>
      <c r="E1319" s="25">
        <v>5.2</v>
      </c>
      <c r="F1319" s="23">
        <v>10</v>
      </c>
      <c r="G1319" s="152" cm="1">
        <f t="array" ref="G1319">SUM(E1319/F1319)</f>
        <v>0.52</v>
      </c>
      <c r="H1319" s="15"/>
    </row>
    <row r="1320" ht="13.65" customHeight="1">
      <c r="A1320" s="21">
        <v>18</v>
      </c>
      <c r="B1320" t="s" s="22">
        <v>506</v>
      </c>
      <c r="C1320" s="23">
        <v>6</v>
      </c>
      <c r="D1320" t="s" s="24">
        <v>401</v>
      </c>
      <c r="E1320" s="25">
        <v>25</v>
      </c>
      <c r="F1320" s="23">
        <v>30</v>
      </c>
      <c r="G1320" s="152" cm="1">
        <f t="array" ref="G1320">SUM(E1320/F1320)</f>
        <v>0.833333333333333</v>
      </c>
      <c r="H1320" s="15"/>
    </row>
    <row r="1321" ht="13.65" customHeight="1">
      <c r="A1321" s="21">
        <v>90</v>
      </c>
      <c r="B1321" t="s" s="22">
        <v>507</v>
      </c>
      <c r="C1321" t="s" s="24">
        <v>380</v>
      </c>
      <c r="D1321" t="s" s="24">
        <v>508</v>
      </c>
      <c r="E1321" s="25">
        <v>13.5</v>
      </c>
      <c r="F1321" s="23">
        <v>80</v>
      </c>
      <c r="G1321" s="152" cm="1">
        <f t="array" ref="G1321">SUM(E1321/F1321)</f>
        <v>0.16875</v>
      </c>
      <c r="H1321" s="15"/>
    </row>
    <row r="1322" ht="13.65" customHeight="1">
      <c r="A1322" s="21">
        <v>81</v>
      </c>
      <c r="B1322" t="s" s="22">
        <v>509</v>
      </c>
      <c r="C1322" t="s" s="24">
        <v>510</v>
      </c>
      <c r="D1322" t="s" s="24">
        <v>397</v>
      </c>
      <c r="E1322" s="25">
        <v>41</v>
      </c>
      <c r="F1322" s="23">
        <v>50</v>
      </c>
      <c r="G1322" s="152" cm="1">
        <f t="array" ref="G1322">SUM(E1322/F1322)</f>
        <v>0.82</v>
      </c>
      <c r="H1322" s="15"/>
    </row>
    <row r="1323" ht="13.65" customHeight="1">
      <c r="A1323" s="21">
        <v>109</v>
      </c>
      <c r="B1323" t="s" s="22">
        <v>511</v>
      </c>
      <c r="C1323" s="23">
        <v>1</v>
      </c>
      <c r="D1323" t="s" s="24">
        <v>116</v>
      </c>
      <c r="E1323" s="25">
        <v>2.2</v>
      </c>
      <c r="F1323" s="23">
        <v>15</v>
      </c>
      <c r="G1323" s="152" cm="1">
        <f t="array" ref="G1323">SUM(E1323/F1323)</f>
        <v>0.146666666666667</v>
      </c>
      <c r="H1323" s="15"/>
    </row>
    <row r="1324" ht="13.65" customHeight="1">
      <c r="A1324" s="21">
        <v>4</v>
      </c>
      <c r="B1324" t="s" s="22">
        <v>512</v>
      </c>
      <c r="C1324" t="s" s="24">
        <v>513</v>
      </c>
      <c r="D1324" t="s" s="24">
        <v>514</v>
      </c>
      <c r="E1324" s="25">
        <v>64</v>
      </c>
      <c r="F1324" s="23">
        <v>22</v>
      </c>
      <c r="G1324" s="152" cm="1">
        <f t="array" ref="G1324">SUM(E1324/F1324)</f>
        <v>2.90909090909091</v>
      </c>
      <c r="H1324" s="15"/>
    </row>
    <row r="1325" ht="13.65" customHeight="1">
      <c r="A1325" s="21">
        <v>79</v>
      </c>
      <c r="B1325" t="s" s="22">
        <v>439</v>
      </c>
      <c r="C1325" s="23">
        <v>20</v>
      </c>
      <c r="D1325" t="s" s="24">
        <v>104</v>
      </c>
      <c r="E1325" s="25">
        <v>25</v>
      </c>
      <c r="F1325" s="23">
        <v>20</v>
      </c>
      <c r="G1325" s="152" cm="1">
        <f t="array" ref="G1325">SUM(E1325/F1325)</f>
        <v>1.25</v>
      </c>
      <c r="H1325" s="15"/>
    </row>
    <row r="1326" ht="13.65" customHeight="1">
      <c r="A1326" s="21">
        <v>132</v>
      </c>
      <c r="B1326" t="s" s="22">
        <v>515</v>
      </c>
      <c r="C1326" t="s" s="24">
        <v>408</v>
      </c>
      <c r="D1326" t="s" s="24">
        <v>516</v>
      </c>
      <c r="E1326" s="25">
        <v>18.4</v>
      </c>
      <c r="F1326" s="23">
        <v>10</v>
      </c>
      <c r="G1326" s="152" cm="1">
        <f t="array" ref="G1326">SUM(E1326/F1326)</f>
        <v>1.84</v>
      </c>
      <c r="H1326" s="15"/>
    </row>
    <row r="1327" ht="13.65" customHeight="1">
      <c r="A1327" s="21">
        <v>124</v>
      </c>
      <c r="B1327" t="s" s="22">
        <v>372</v>
      </c>
      <c r="C1327" s="23">
        <v>1</v>
      </c>
      <c r="D1327" t="s" s="24">
        <v>373</v>
      </c>
      <c r="E1327" s="25">
        <v>2.2</v>
      </c>
      <c r="F1327" s="23">
        <v>15</v>
      </c>
      <c r="G1327" s="152" cm="1">
        <f t="array" ref="G1327">SUM(E1327/F1327)</f>
        <v>0.146666666666667</v>
      </c>
      <c r="H1327" s="15"/>
    </row>
    <row r="1328" ht="13.65" customHeight="1">
      <c r="A1328" s="28"/>
      <c r="B1328" s="28"/>
      <c r="C1328" s="27"/>
      <c r="D1328" s="24"/>
      <c r="E1328" s="27"/>
      <c r="F1328" t="s" s="29">
        <v>118</v>
      </c>
      <c r="G1328" s="197" cm="1">
        <f t="array" ref="G1328">SUM(G1308:G1327)</f>
        <v>16.0112106060606</v>
      </c>
      <c r="H1328" s="15"/>
    </row>
    <row r="1329" ht="13.65" customHeight="1">
      <c r="A1329" s="129"/>
      <c r="B1329" s="129"/>
      <c r="C1329" s="129"/>
      <c r="D1329" s="129"/>
      <c r="E1329" s="129"/>
      <c r="F1329" s="31"/>
      <c r="G1329" s="31"/>
      <c r="H1329" s="3"/>
    </row>
    <row r="1330" ht="11.7" customHeight="1">
      <c r="A1330" t="s" s="167">
        <v>136</v>
      </c>
      <c r="B1330" t="s" s="167">
        <v>281</v>
      </c>
      <c r="C1330" t="s" s="167">
        <v>282</v>
      </c>
      <c r="D1330" t="s" s="168">
        <v>283</v>
      </c>
      <c r="E1330" s="169"/>
      <c r="F1330" s="170"/>
      <c r="G1330" s="171"/>
      <c r="H1330" s="171"/>
    </row>
    <row r="1331" ht="13.65" customHeight="1">
      <c r="A1331" s="23">
        <v>30</v>
      </c>
      <c r="B1331" s="172" cm="1">
        <f t="array" ref="B1331">SUM(H256)</f>
        <v>2.47496540404041</v>
      </c>
      <c r="C1331" s="172" cm="1">
        <f t="array" ref="C1331">SUM(G1328)</f>
        <v>16.0112106060606</v>
      </c>
      <c r="D1331" s="199" cm="1">
        <f t="array" ref="D1331">SUM(A1331*B1331)+(C1331)</f>
        <v>90.2601727272729</v>
      </c>
      <c r="E1331" s="200"/>
      <c r="F1331" s="15"/>
      <c r="G1331" s="3"/>
      <c r="H1331" s="3"/>
    </row>
    <row r="1332" ht="13.65" customHeight="1">
      <c r="A1332" s="289"/>
      <c r="B1332" s="289"/>
      <c r="C1332" s="289"/>
      <c r="D1332" s="289"/>
      <c r="E1332" s="289"/>
      <c r="F1332" s="203"/>
      <c r="G1332" s="203"/>
      <c r="H1332" s="203"/>
    </row>
    <row r="1333" ht="13.65" customHeight="1">
      <c r="A1333" t="s" s="274">
        <v>284</v>
      </c>
      <c r="B1333" s="275"/>
      <c r="C1333" s="275"/>
      <c r="D1333" s="275"/>
      <c r="E1333" s="280"/>
      <c r="F1333" s="275"/>
      <c r="G1333" s="275"/>
      <c r="H1333" s="277"/>
    </row>
    <row r="1334" ht="13.65" customHeight="1">
      <c r="A1334" s="278"/>
      <c r="B1334" s="278"/>
      <c r="C1334" s="278"/>
      <c r="D1334" s="278"/>
      <c r="E1334" s="278"/>
      <c r="F1334" s="278"/>
      <c r="G1334" s="278"/>
      <c r="H1334" s="278"/>
    </row>
    <row r="1335" ht="13.65" customHeight="1">
      <c r="A1335" s="3"/>
      <c r="B1335" s="3"/>
      <c r="C1335" s="3"/>
      <c r="D1335" s="3"/>
      <c r="E1335" s="3"/>
      <c r="F1335" s="3"/>
      <c r="G1335" s="3"/>
      <c r="H1335" s="3"/>
    </row>
    <row r="1336" ht="13.65" customHeight="1">
      <c r="A1336" t="s" s="5">
        <v>517</v>
      </c>
      <c r="B1336" s="3"/>
      <c r="C1336" s="3"/>
      <c r="D1336" s="3"/>
      <c r="E1336" s="3"/>
      <c r="F1336" s="3"/>
      <c r="G1336" s="3"/>
      <c r="H1336" s="3"/>
    </row>
    <row r="1337" ht="13.65" customHeight="1">
      <c r="A1337" s="11"/>
      <c r="B1337" s="11"/>
      <c r="C1337" s="11"/>
      <c r="D1337" s="11"/>
      <c r="E1337" s="11"/>
      <c r="F1337" s="11"/>
      <c r="G1337" s="11"/>
      <c r="H1337" s="3"/>
    </row>
    <row r="1338" ht="13.65" customHeight="1">
      <c r="A1338" s="12"/>
      <c r="B1338" s="12"/>
      <c r="C1338" s="13"/>
      <c r="D1338" s="14"/>
      <c r="E1338" s="13"/>
      <c r="F1338" s="13"/>
      <c r="G1338" t="s" s="14">
        <v>252</v>
      </c>
      <c r="H1338" s="150"/>
    </row>
    <row r="1339" ht="13.65" customHeight="1">
      <c r="A1339" t="s" s="16">
        <v>93</v>
      </c>
      <c r="B1339" t="s" s="16">
        <v>94</v>
      </c>
      <c r="C1339" t="s" s="16">
        <v>95</v>
      </c>
      <c r="D1339" t="s" s="16">
        <v>96</v>
      </c>
      <c r="E1339" t="s" s="16">
        <v>97</v>
      </c>
      <c r="F1339" t="s" s="16">
        <v>98</v>
      </c>
      <c r="G1339" t="s" s="16">
        <v>99</v>
      </c>
      <c r="H1339" s="15"/>
    </row>
    <row r="1340" ht="13.65" customHeight="1">
      <c r="A1340" s="151"/>
      <c r="B1340" s="151"/>
      <c r="C1340" s="19"/>
      <c r="D1340" s="20"/>
      <c r="E1340" s="19"/>
      <c r="F1340" s="19"/>
      <c r="G1340" t="s" s="20">
        <v>100</v>
      </c>
      <c r="H1340" s="15"/>
    </row>
    <row r="1341" ht="13.65" customHeight="1">
      <c r="A1341" s="21">
        <v>72</v>
      </c>
      <c r="B1341" t="s" s="22">
        <v>101</v>
      </c>
      <c r="C1341" s="23">
        <v>50</v>
      </c>
      <c r="D1341" t="s" s="24">
        <v>274</v>
      </c>
      <c r="E1341" s="25">
        <v>1.93</v>
      </c>
      <c r="F1341" s="23">
        <v>12.5</v>
      </c>
      <c r="G1341" s="152" cm="1">
        <f t="array" ref="G1341">SUM(E1341/F1341)</f>
        <v>0.1544</v>
      </c>
      <c r="H1341" s="15"/>
    </row>
    <row r="1342" ht="13.65" customHeight="1">
      <c r="A1342" s="21">
        <v>123</v>
      </c>
      <c r="B1342" t="s" s="22">
        <v>103</v>
      </c>
      <c r="C1342" s="23">
        <v>40</v>
      </c>
      <c r="D1342" t="s" s="24">
        <v>102</v>
      </c>
      <c r="E1342" s="25">
        <v>3.2</v>
      </c>
      <c r="F1342" s="23">
        <v>20</v>
      </c>
      <c r="G1342" s="152" cm="1">
        <f t="array" ref="G1342">SUM(E1342/F1342)</f>
        <v>0.16</v>
      </c>
      <c r="H1342" s="15"/>
    </row>
    <row r="1343" ht="13.65" customHeight="1">
      <c r="A1343" s="21">
        <v>57</v>
      </c>
      <c r="B1343" t="s" s="22">
        <v>253</v>
      </c>
      <c r="C1343" t="s" s="24">
        <v>254</v>
      </c>
      <c r="D1343" t="s" s="24">
        <v>371</v>
      </c>
      <c r="E1343" s="25">
        <v>4.5</v>
      </c>
      <c r="F1343" s="23">
        <v>33</v>
      </c>
      <c r="G1343" s="152" cm="1">
        <f t="array" ref="G1343">SUM(E1343/F1343)</f>
        <v>0.136363636363636</v>
      </c>
      <c r="H1343" s="15"/>
    </row>
    <row r="1344" ht="13.65" customHeight="1">
      <c r="A1344" s="21">
        <v>86</v>
      </c>
      <c r="B1344" t="s" s="22">
        <v>107</v>
      </c>
      <c r="C1344" t="s" s="24">
        <v>108</v>
      </c>
      <c r="D1344" t="s" s="24">
        <v>274</v>
      </c>
      <c r="E1344" s="25">
        <v>0.32</v>
      </c>
      <c r="F1344" t="s" s="24">
        <v>301</v>
      </c>
      <c r="G1344" s="152" cm="1">
        <f t="array" ref="G1344">SUM(E1344*4)</f>
        <v>1.28</v>
      </c>
      <c r="H1344" s="15"/>
    </row>
    <row r="1345" ht="13.65" customHeight="1">
      <c r="A1345" s="21">
        <v>71</v>
      </c>
      <c r="B1345" t="s" s="22">
        <v>109</v>
      </c>
      <c r="C1345" s="23">
        <v>10</v>
      </c>
      <c r="D1345" t="s" s="24">
        <v>274</v>
      </c>
      <c r="E1345" s="25">
        <v>5.92</v>
      </c>
      <c r="F1345" s="23">
        <v>2.5</v>
      </c>
      <c r="G1345" s="152" cm="1">
        <f t="array" ref="G1345">SUM(E1345/F1345)</f>
        <v>2.368</v>
      </c>
      <c r="H1345" s="15"/>
    </row>
    <row r="1346" ht="13.65" customHeight="1">
      <c r="A1346" s="21">
        <v>87</v>
      </c>
      <c r="B1346" t="s" s="22">
        <v>110</v>
      </c>
      <c r="C1346" s="23">
        <v>50</v>
      </c>
      <c r="D1346" t="s" s="24">
        <v>274</v>
      </c>
      <c r="E1346" s="25">
        <v>9</v>
      </c>
      <c r="F1346" s="23">
        <v>12.5</v>
      </c>
      <c r="G1346" s="152" cm="1">
        <f t="array" ref="G1346">SUM(E1346/F1346)</f>
        <v>0.72</v>
      </c>
      <c r="H1346" s="15"/>
    </row>
    <row r="1347" ht="13.65" customHeight="1">
      <c r="A1347" s="21">
        <v>55</v>
      </c>
      <c r="B1347" t="s" s="22">
        <v>111</v>
      </c>
      <c r="C1347" t="s" s="24">
        <v>112</v>
      </c>
      <c r="D1347" t="s" s="24">
        <v>461</v>
      </c>
      <c r="E1347" s="25">
        <v>2.71</v>
      </c>
      <c r="F1347" s="23">
        <v>37.5</v>
      </c>
      <c r="G1347" s="152" cm="1">
        <f t="array" ref="G1347">SUM(E1347/F1347)</f>
        <v>0.0722666666666667</v>
      </c>
      <c r="H1347" s="15"/>
    </row>
    <row r="1348" ht="13.65" customHeight="1">
      <c r="A1348" s="21">
        <v>24</v>
      </c>
      <c r="B1348" t="s" s="22">
        <v>502</v>
      </c>
      <c r="C1348" s="23">
        <v>10</v>
      </c>
      <c r="D1348" t="s" s="24">
        <v>104</v>
      </c>
      <c r="E1348" s="25">
        <v>9.6</v>
      </c>
      <c r="F1348" s="23">
        <v>10</v>
      </c>
      <c r="G1348" s="152" cm="1">
        <f t="array" ref="G1348">SUM(E1348/F1348)</f>
        <v>0.96</v>
      </c>
      <c r="H1348" s="15"/>
    </row>
    <row r="1349" ht="13.65" customHeight="1">
      <c r="A1349" s="21">
        <v>10</v>
      </c>
      <c r="B1349" t="s" s="22">
        <v>395</v>
      </c>
      <c r="C1349" t="s" s="24">
        <v>396</v>
      </c>
      <c r="D1349" t="s" s="24">
        <v>397</v>
      </c>
      <c r="E1349" s="25">
        <v>3.92</v>
      </c>
      <c r="F1349" s="23">
        <v>50</v>
      </c>
      <c r="G1349" s="152" cm="1">
        <f t="array" ref="G1349">SUM(E1349/F1349)</f>
        <v>0.0784</v>
      </c>
      <c r="H1349" s="15"/>
    </row>
    <row r="1350" ht="13.65" customHeight="1">
      <c r="A1350" s="21">
        <v>9</v>
      </c>
      <c r="B1350" t="s" s="22">
        <v>398</v>
      </c>
      <c r="C1350" t="s" s="24">
        <v>503</v>
      </c>
      <c r="D1350" t="s" s="24">
        <v>104</v>
      </c>
      <c r="E1350" s="25">
        <v>14</v>
      </c>
      <c r="F1350" s="23">
        <v>50</v>
      </c>
      <c r="G1350" s="152" cm="1">
        <f t="array" ref="G1350">SUM(E1350/F1350)</f>
        <v>0.28</v>
      </c>
      <c r="H1350" s="15"/>
    </row>
    <row r="1351" ht="13.65" customHeight="1">
      <c r="A1351" s="21">
        <v>6</v>
      </c>
      <c r="B1351" t="s" s="22">
        <v>399</v>
      </c>
      <c r="C1351" t="s" s="24">
        <v>436</v>
      </c>
      <c r="D1351" t="s" s="24">
        <v>104</v>
      </c>
      <c r="E1351" s="25">
        <v>19</v>
      </c>
      <c r="F1351" s="23">
        <v>100</v>
      </c>
      <c r="G1351" s="152" cm="1">
        <f t="array" ref="G1351">SUM(E1351/F1351)</f>
        <v>0.19</v>
      </c>
      <c r="H1351" s="15"/>
    </row>
    <row r="1352" ht="13.65" customHeight="1">
      <c r="A1352" s="21">
        <v>11</v>
      </c>
      <c r="B1352" t="s" s="22">
        <v>440</v>
      </c>
      <c r="C1352" t="s" s="24">
        <v>441</v>
      </c>
      <c r="D1352" t="s" s="24">
        <v>442</v>
      </c>
      <c r="E1352" s="25">
        <v>49</v>
      </c>
      <c r="F1352" s="23">
        <v>44</v>
      </c>
      <c r="G1352" s="152" cm="1">
        <f t="array" ref="G1352">SUM(E1352/F1352)</f>
        <v>1.11363636363636</v>
      </c>
      <c r="H1352" s="15"/>
    </row>
    <row r="1353" ht="13.65" customHeight="1">
      <c r="A1353" s="21">
        <v>18</v>
      </c>
      <c r="B1353" t="s" s="22">
        <v>506</v>
      </c>
      <c r="C1353" s="23">
        <v>6</v>
      </c>
      <c r="D1353" t="s" s="24">
        <v>401</v>
      </c>
      <c r="E1353" s="25">
        <v>25</v>
      </c>
      <c r="F1353" s="23">
        <v>30</v>
      </c>
      <c r="G1353" s="152" cm="1">
        <f t="array" ref="G1353">SUM(E1353/F1353)</f>
        <v>0.833333333333333</v>
      </c>
      <c r="H1353" s="15"/>
    </row>
    <row r="1354" ht="13.65" customHeight="1">
      <c r="A1354" s="21">
        <v>19</v>
      </c>
      <c r="B1354" t="s" s="22">
        <v>414</v>
      </c>
      <c r="C1354" s="23">
        <v>1</v>
      </c>
      <c r="D1354" t="s" s="24">
        <v>116</v>
      </c>
      <c r="E1354" s="25">
        <v>5.2</v>
      </c>
      <c r="F1354" s="23">
        <v>10</v>
      </c>
      <c r="G1354" s="152" cm="1">
        <f t="array" ref="G1354">SUM(E1354/F1354)</f>
        <v>0.52</v>
      </c>
      <c r="H1354" s="15"/>
    </row>
    <row r="1355" ht="13.65" customHeight="1">
      <c r="A1355" s="21">
        <v>90</v>
      </c>
      <c r="B1355" t="s" s="22">
        <v>507</v>
      </c>
      <c r="C1355" t="s" s="24">
        <v>380</v>
      </c>
      <c r="D1355" t="s" s="24">
        <v>518</v>
      </c>
      <c r="E1355" s="25">
        <v>13.5</v>
      </c>
      <c r="F1355" s="23">
        <v>40</v>
      </c>
      <c r="G1355" s="152" cm="1">
        <f t="array" ref="G1355">SUM(E1355/F1355)</f>
        <v>0.3375</v>
      </c>
      <c r="H1355" s="15"/>
    </row>
    <row r="1356" ht="13.65" customHeight="1">
      <c r="A1356" s="21">
        <v>81</v>
      </c>
      <c r="B1356" t="s" s="22">
        <v>509</v>
      </c>
      <c r="C1356" t="s" s="24">
        <v>510</v>
      </c>
      <c r="D1356" t="s" s="24">
        <v>462</v>
      </c>
      <c r="E1356" s="25">
        <v>41</v>
      </c>
      <c r="F1356" s="23">
        <v>25</v>
      </c>
      <c r="G1356" s="152" cm="1">
        <f t="array" ref="G1356">SUM(E1356/F1356)</f>
        <v>1.64</v>
      </c>
      <c r="H1356" s="15"/>
    </row>
    <row r="1357" ht="13.65" customHeight="1">
      <c r="A1357" s="21">
        <v>109</v>
      </c>
      <c r="B1357" t="s" s="22">
        <v>511</v>
      </c>
      <c r="C1357" s="23">
        <v>1</v>
      </c>
      <c r="D1357" t="s" s="24">
        <v>116</v>
      </c>
      <c r="E1357" s="25">
        <v>2.2</v>
      </c>
      <c r="F1357" s="23">
        <v>10</v>
      </c>
      <c r="G1357" s="152" cm="1">
        <f t="array" ref="G1357">SUM(E1357/F1357)</f>
        <v>0.22</v>
      </c>
      <c r="H1357" s="15"/>
    </row>
    <row r="1358" ht="13.65" customHeight="1">
      <c r="A1358" s="21">
        <v>4</v>
      </c>
      <c r="B1358" t="s" s="22">
        <v>512</v>
      </c>
      <c r="C1358" t="s" s="24">
        <v>513</v>
      </c>
      <c r="D1358" t="s" s="24">
        <v>514</v>
      </c>
      <c r="E1358" s="25">
        <v>64</v>
      </c>
      <c r="F1358" s="23">
        <v>22</v>
      </c>
      <c r="G1358" s="152" cm="1">
        <f t="array" ref="G1358">SUM(E1358/F1358)</f>
        <v>2.90909090909091</v>
      </c>
      <c r="H1358" s="15"/>
    </row>
    <row r="1359" ht="13.65" customHeight="1">
      <c r="A1359" s="21">
        <v>89</v>
      </c>
      <c r="B1359" t="s" s="22">
        <v>519</v>
      </c>
      <c r="C1359" t="s" s="24">
        <v>255</v>
      </c>
      <c r="D1359" t="s" s="24">
        <v>520</v>
      </c>
      <c r="E1359" s="25">
        <v>1.5</v>
      </c>
      <c r="F1359" s="23">
        <v>8</v>
      </c>
      <c r="G1359" s="152" cm="1">
        <f t="array" ref="G1359">SUM(E1359/F1359)</f>
        <v>0.1875</v>
      </c>
      <c r="H1359" s="15"/>
    </row>
    <row r="1360" ht="13.65" customHeight="1">
      <c r="A1360" s="21">
        <v>42</v>
      </c>
      <c r="B1360" t="s" s="22">
        <v>521</v>
      </c>
      <c r="C1360" s="23">
        <v>100</v>
      </c>
      <c r="D1360" t="s" s="24">
        <v>104</v>
      </c>
      <c r="E1360" s="25">
        <v>11</v>
      </c>
      <c r="F1360" s="23">
        <v>100</v>
      </c>
      <c r="G1360" s="152" cm="1">
        <f t="array" ref="G1360">SUM(E1360/F1360)</f>
        <v>0.11</v>
      </c>
      <c r="H1360" s="15"/>
    </row>
    <row r="1361" ht="13.65" customHeight="1">
      <c r="A1361" s="21">
        <v>79</v>
      </c>
      <c r="B1361" t="s" s="22">
        <v>439</v>
      </c>
      <c r="C1361" s="23">
        <v>20</v>
      </c>
      <c r="D1361" t="s" s="24">
        <v>104</v>
      </c>
      <c r="E1361" s="25">
        <v>25</v>
      </c>
      <c r="F1361" s="23">
        <v>20</v>
      </c>
      <c r="G1361" s="152" cm="1">
        <f t="array" ref="G1361">SUM(E1361/F1361)</f>
        <v>1.25</v>
      </c>
      <c r="H1361" s="15"/>
    </row>
    <row r="1362" ht="13.65" customHeight="1">
      <c r="A1362" s="21">
        <v>132</v>
      </c>
      <c r="B1362" t="s" s="22">
        <v>515</v>
      </c>
      <c r="C1362" t="s" s="24">
        <v>408</v>
      </c>
      <c r="D1362" t="s" s="24">
        <v>516</v>
      </c>
      <c r="E1362" s="25">
        <v>18.4</v>
      </c>
      <c r="F1362" s="23">
        <v>10</v>
      </c>
      <c r="G1362" s="152" cm="1">
        <f t="array" ref="G1362">SUM(E1362/F1362)</f>
        <v>1.84</v>
      </c>
      <c r="H1362" s="15"/>
    </row>
    <row r="1363" ht="13.65" customHeight="1">
      <c r="A1363" s="21">
        <v>133</v>
      </c>
      <c r="B1363" t="s" s="22">
        <v>522</v>
      </c>
      <c r="C1363" s="23">
        <v>12</v>
      </c>
      <c r="D1363" t="s" s="24">
        <v>104</v>
      </c>
      <c r="E1363" s="25">
        <v>6.5</v>
      </c>
      <c r="F1363" s="23">
        <v>12</v>
      </c>
      <c r="G1363" s="152" cm="1">
        <f t="array" ref="G1363">SUM(E1363/F1363)</f>
        <v>0.541666666666667</v>
      </c>
      <c r="H1363" s="15"/>
    </row>
    <row r="1364" ht="13.65" customHeight="1">
      <c r="A1364" s="21">
        <v>124</v>
      </c>
      <c r="B1364" t="s" s="22">
        <v>372</v>
      </c>
      <c r="C1364" s="23">
        <v>1</v>
      </c>
      <c r="D1364" t="s" s="24">
        <v>373</v>
      </c>
      <c r="E1364" s="25">
        <v>2.2</v>
      </c>
      <c r="F1364" s="23">
        <v>15</v>
      </c>
      <c r="G1364" s="152" cm="1">
        <f t="array" ref="G1364">SUM(E1364/F1364)</f>
        <v>0.146666666666667</v>
      </c>
      <c r="H1364" s="15"/>
    </row>
    <row r="1365" ht="13.65" customHeight="1">
      <c r="A1365" s="28"/>
      <c r="B1365" s="28"/>
      <c r="C1365" s="27"/>
      <c r="D1365" s="24"/>
      <c r="E1365" s="27"/>
      <c r="F1365" t="s" s="29">
        <v>118</v>
      </c>
      <c r="G1365" s="197" cm="1">
        <f t="array" ref="G1365">SUM(G1341:G1364)</f>
        <v>18.0488242424242</v>
      </c>
      <c r="H1365" s="15"/>
    </row>
    <row r="1366" ht="13.65" customHeight="1">
      <c r="A1366" s="129"/>
      <c r="B1366" s="129"/>
      <c r="C1366" s="129"/>
      <c r="D1366" s="129"/>
      <c r="E1366" s="129"/>
      <c r="F1366" s="31"/>
      <c r="G1366" s="31"/>
      <c r="H1366" s="3"/>
    </row>
    <row r="1367" ht="11.7" customHeight="1">
      <c r="A1367" t="s" s="167">
        <v>136</v>
      </c>
      <c r="B1367" t="s" s="167">
        <v>281</v>
      </c>
      <c r="C1367" t="s" s="167">
        <v>282</v>
      </c>
      <c r="D1367" t="s" s="168">
        <v>283</v>
      </c>
      <c r="E1367" s="169"/>
      <c r="F1367" s="170"/>
      <c r="G1367" s="171"/>
      <c r="H1367" s="171"/>
    </row>
    <row r="1368" ht="13.65" customHeight="1">
      <c r="A1368" s="23">
        <v>40</v>
      </c>
      <c r="B1368" s="172" cm="1">
        <f t="array" ref="B1368">SUM(H256)</f>
        <v>2.47496540404041</v>
      </c>
      <c r="C1368" s="172" cm="1">
        <f t="array" ref="C1368">SUM(G1365)</f>
        <v>18.0488242424242</v>
      </c>
      <c r="D1368" s="199" cm="1">
        <f t="array" ref="D1368">SUM(A1368*B1368)+(C1368)</f>
        <v>117.047440404041</v>
      </c>
      <c r="E1368" s="200"/>
      <c r="F1368" s="15"/>
      <c r="G1368" s="3"/>
      <c r="H1368" s="3"/>
    </row>
    <row r="1369" ht="13.65" customHeight="1">
      <c r="A1369" s="31"/>
      <c r="B1369" s="31"/>
      <c r="C1369" s="31"/>
      <c r="D1369" s="31"/>
      <c r="E1369" s="31"/>
      <c r="F1369" s="3"/>
      <c r="G1369" s="3"/>
      <c r="H1369" s="3"/>
    </row>
    <row r="1370" ht="13.65" customHeight="1">
      <c r="A1370" s="203"/>
      <c r="B1370" s="203"/>
      <c r="C1370" s="203"/>
      <c r="D1370" s="203"/>
      <c r="E1370" s="203"/>
      <c r="F1370" s="203"/>
      <c r="G1370" s="203"/>
      <c r="H1370" s="203"/>
    </row>
    <row r="1371" ht="13.65" customHeight="1">
      <c r="A1371" t="s" s="274">
        <v>185</v>
      </c>
      <c r="B1371" s="275"/>
      <c r="C1371" s="275"/>
      <c r="D1371" s="275"/>
      <c r="E1371" s="280"/>
      <c r="F1371" s="275"/>
      <c r="G1371" s="275"/>
      <c r="H1371" s="277"/>
    </row>
    <row r="1372" ht="13.65" customHeight="1">
      <c r="A1372" s="278"/>
      <c r="B1372" s="278"/>
      <c r="C1372" s="278"/>
      <c r="D1372" s="278"/>
      <c r="E1372" s="278"/>
      <c r="F1372" s="278"/>
      <c r="G1372" s="278"/>
      <c r="H1372" s="278"/>
    </row>
    <row r="1373" ht="13.65" customHeight="1">
      <c r="A1373" s="3"/>
      <c r="B1373" s="3"/>
      <c r="C1373" s="3"/>
      <c r="D1373" s="3"/>
      <c r="E1373" s="3"/>
      <c r="F1373" s="3"/>
      <c r="G1373" s="3"/>
      <c r="H1373" s="3"/>
    </row>
    <row r="1374" ht="13.65" customHeight="1">
      <c r="A1374" t="s" s="5">
        <v>523</v>
      </c>
      <c r="B1374" s="3"/>
      <c r="C1374" s="3"/>
      <c r="D1374" s="3"/>
      <c r="E1374" s="3"/>
      <c r="F1374" s="3"/>
      <c r="G1374" s="3"/>
      <c r="H1374" s="3"/>
    </row>
    <row r="1375" ht="13.65" customHeight="1">
      <c r="A1375" s="11"/>
      <c r="B1375" s="11"/>
      <c r="C1375" s="11"/>
      <c r="D1375" s="11"/>
      <c r="E1375" s="11"/>
      <c r="F1375" s="11"/>
      <c r="G1375" s="11"/>
      <c r="H1375" s="3"/>
    </row>
    <row r="1376" ht="13.65" customHeight="1">
      <c r="A1376" s="12"/>
      <c r="B1376" s="12"/>
      <c r="C1376" s="13"/>
      <c r="D1376" s="14"/>
      <c r="E1376" s="13"/>
      <c r="F1376" s="13"/>
      <c r="G1376" t="s" s="14">
        <v>252</v>
      </c>
      <c r="H1376" s="150"/>
    </row>
    <row r="1377" ht="13.65" customHeight="1">
      <c r="A1377" t="s" s="16">
        <v>93</v>
      </c>
      <c r="B1377" t="s" s="16">
        <v>94</v>
      </c>
      <c r="C1377" t="s" s="16">
        <v>95</v>
      </c>
      <c r="D1377" t="s" s="16">
        <v>96</v>
      </c>
      <c r="E1377" t="s" s="16">
        <v>97</v>
      </c>
      <c r="F1377" t="s" s="16">
        <v>98</v>
      </c>
      <c r="G1377" t="s" s="16">
        <v>99</v>
      </c>
      <c r="H1377" s="15"/>
    </row>
    <row r="1378" ht="13.65" customHeight="1">
      <c r="A1378" s="151"/>
      <c r="B1378" s="151"/>
      <c r="C1378" s="19"/>
      <c r="D1378" s="20"/>
      <c r="E1378" s="19"/>
      <c r="F1378" s="19"/>
      <c r="G1378" t="s" s="20">
        <v>100</v>
      </c>
      <c r="H1378" s="15"/>
    </row>
    <row r="1379" ht="13.65" customHeight="1">
      <c r="A1379" s="21">
        <v>72</v>
      </c>
      <c r="B1379" t="s" s="22">
        <v>101</v>
      </c>
      <c r="C1379" s="23">
        <v>50</v>
      </c>
      <c r="D1379" t="s" s="24">
        <v>274</v>
      </c>
      <c r="E1379" s="25">
        <v>1.93</v>
      </c>
      <c r="F1379" s="23">
        <v>12.5</v>
      </c>
      <c r="G1379" s="152" cm="1">
        <f t="array" ref="G1379">SUM(E1379/F1379)</f>
        <v>0.1544</v>
      </c>
      <c r="H1379" s="15"/>
    </row>
    <row r="1380" ht="13.65" customHeight="1">
      <c r="A1380" s="21">
        <v>123</v>
      </c>
      <c r="B1380" t="s" s="22">
        <v>103</v>
      </c>
      <c r="C1380" s="23">
        <v>40</v>
      </c>
      <c r="D1380" t="s" s="24">
        <v>102</v>
      </c>
      <c r="E1380" s="25">
        <v>3.2</v>
      </c>
      <c r="F1380" s="23">
        <v>20</v>
      </c>
      <c r="G1380" s="152" cm="1">
        <f t="array" ref="G1380">SUM(E1380/F1380)</f>
        <v>0.16</v>
      </c>
      <c r="H1380" s="15"/>
    </row>
    <row r="1381" ht="13.65" customHeight="1">
      <c r="A1381" s="21">
        <v>57</v>
      </c>
      <c r="B1381" t="s" s="22">
        <v>253</v>
      </c>
      <c r="C1381" t="s" s="24">
        <v>254</v>
      </c>
      <c r="D1381" t="s" s="24">
        <v>371</v>
      </c>
      <c r="E1381" s="25">
        <v>4.5</v>
      </c>
      <c r="F1381" s="23">
        <v>33</v>
      </c>
      <c r="G1381" s="152" cm="1">
        <f t="array" ref="G1381">SUM(E1381/F1381)</f>
        <v>0.136363636363636</v>
      </c>
      <c r="H1381" s="15"/>
    </row>
    <row r="1382" ht="13.65" customHeight="1">
      <c r="A1382" s="21">
        <v>86</v>
      </c>
      <c r="B1382" t="s" s="22">
        <v>107</v>
      </c>
      <c r="C1382" t="s" s="24">
        <v>108</v>
      </c>
      <c r="D1382" t="s" s="24">
        <v>274</v>
      </c>
      <c r="E1382" s="25">
        <v>0.32</v>
      </c>
      <c r="F1382" t="s" s="24">
        <v>301</v>
      </c>
      <c r="G1382" s="152" cm="1">
        <f t="array" ref="G1382">SUM(E1382*4)</f>
        <v>1.28</v>
      </c>
      <c r="H1382" s="15"/>
    </row>
    <row r="1383" ht="13.65" customHeight="1">
      <c r="A1383" s="21">
        <v>71</v>
      </c>
      <c r="B1383" t="s" s="22">
        <v>109</v>
      </c>
      <c r="C1383" s="23">
        <v>10</v>
      </c>
      <c r="D1383" t="s" s="24">
        <v>274</v>
      </c>
      <c r="E1383" s="25">
        <v>5.92</v>
      </c>
      <c r="F1383" s="23">
        <v>2.5</v>
      </c>
      <c r="G1383" s="152" cm="1">
        <f t="array" ref="G1383">SUM(E1383/F1383)</f>
        <v>2.368</v>
      </c>
      <c r="H1383" s="15"/>
    </row>
    <row r="1384" ht="13.65" customHeight="1">
      <c r="A1384" s="21">
        <v>87</v>
      </c>
      <c r="B1384" t="s" s="22">
        <v>110</v>
      </c>
      <c r="C1384" s="23">
        <v>50</v>
      </c>
      <c r="D1384" t="s" s="24">
        <v>274</v>
      </c>
      <c r="E1384" s="25">
        <v>9</v>
      </c>
      <c r="F1384" s="23">
        <v>12.5</v>
      </c>
      <c r="G1384" s="152" cm="1">
        <f t="array" ref="G1384">SUM(E1384/F1384)</f>
        <v>0.72</v>
      </c>
      <c r="H1384" s="15"/>
    </row>
    <row r="1385" ht="13.65" customHeight="1">
      <c r="A1385" s="21">
        <v>55</v>
      </c>
      <c r="B1385" t="s" s="22">
        <v>111</v>
      </c>
      <c r="C1385" t="s" s="24">
        <v>112</v>
      </c>
      <c r="D1385" t="s" s="24">
        <v>461</v>
      </c>
      <c r="E1385" s="25">
        <v>2.71</v>
      </c>
      <c r="F1385" s="23">
        <v>37.5</v>
      </c>
      <c r="G1385" s="152" cm="1">
        <f t="array" ref="G1385">SUM(E1385/F1385)</f>
        <v>0.0722666666666667</v>
      </c>
      <c r="H1385" s="15"/>
    </row>
    <row r="1386" ht="13.65" customHeight="1">
      <c r="A1386" s="21">
        <v>24</v>
      </c>
      <c r="B1386" t="s" s="22">
        <v>524</v>
      </c>
      <c r="C1386" s="23">
        <v>10</v>
      </c>
      <c r="D1386" t="s" s="24">
        <v>104</v>
      </c>
      <c r="E1386" s="25">
        <v>9.6</v>
      </c>
      <c r="F1386" s="23">
        <v>10</v>
      </c>
      <c r="G1386" s="152" cm="1">
        <f t="array" ref="G1386">SUM(E1386/F1386)</f>
        <v>0.96</v>
      </c>
      <c r="H1386" s="15"/>
    </row>
    <row r="1387" ht="13.65" customHeight="1">
      <c r="A1387" s="21">
        <v>10</v>
      </c>
      <c r="B1387" t="s" s="22">
        <v>395</v>
      </c>
      <c r="C1387" t="s" s="24">
        <v>396</v>
      </c>
      <c r="D1387" t="s" s="24">
        <v>397</v>
      </c>
      <c r="E1387" s="25">
        <v>3.92</v>
      </c>
      <c r="F1387" s="23">
        <v>50</v>
      </c>
      <c r="G1387" s="152" cm="1">
        <f t="array" ref="G1387">SUM(E1387/F1387)</f>
        <v>0.0784</v>
      </c>
      <c r="H1387" s="15"/>
    </row>
    <row r="1388" ht="13.65" customHeight="1">
      <c r="A1388" s="21">
        <v>9</v>
      </c>
      <c r="B1388" t="s" s="22">
        <v>398</v>
      </c>
      <c r="C1388" t="s" s="24">
        <v>503</v>
      </c>
      <c r="D1388" t="s" s="24">
        <v>104</v>
      </c>
      <c r="E1388" s="25">
        <v>14</v>
      </c>
      <c r="F1388" s="23">
        <v>50</v>
      </c>
      <c r="G1388" s="152" cm="1">
        <f t="array" ref="G1388">SUM(E1388/F1388)</f>
        <v>0.28</v>
      </c>
      <c r="H1388" s="15"/>
    </row>
    <row r="1389" ht="13.65" customHeight="1">
      <c r="A1389" s="21">
        <v>6</v>
      </c>
      <c r="B1389" t="s" s="22">
        <v>399</v>
      </c>
      <c r="C1389" t="s" s="24">
        <v>436</v>
      </c>
      <c r="D1389" t="s" s="24">
        <v>104</v>
      </c>
      <c r="E1389" s="25">
        <v>19</v>
      </c>
      <c r="F1389" s="23">
        <v>100</v>
      </c>
      <c r="G1389" s="152" cm="1">
        <f t="array" ref="G1389">SUM(E1389/F1389)</f>
        <v>0.19</v>
      </c>
      <c r="H1389" s="15"/>
    </row>
    <row r="1390" ht="13.65" customHeight="1">
      <c r="A1390" s="21">
        <v>11</v>
      </c>
      <c r="B1390" t="s" s="22">
        <v>440</v>
      </c>
      <c r="C1390" t="s" s="24">
        <v>441</v>
      </c>
      <c r="D1390" t="s" s="24">
        <v>442</v>
      </c>
      <c r="E1390" s="25">
        <v>49</v>
      </c>
      <c r="F1390" s="23">
        <v>44</v>
      </c>
      <c r="G1390" s="152" cm="1">
        <f t="array" ref="G1390">SUM(E1390/F1390)</f>
        <v>1.11363636363636</v>
      </c>
      <c r="H1390" s="15"/>
    </row>
    <row r="1391" ht="13.65" customHeight="1">
      <c r="A1391" s="21">
        <v>18</v>
      </c>
      <c r="B1391" t="s" s="22">
        <v>506</v>
      </c>
      <c r="C1391" s="23">
        <v>6</v>
      </c>
      <c r="D1391" t="s" s="24">
        <v>518</v>
      </c>
      <c r="E1391" s="25">
        <v>25</v>
      </c>
      <c r="F1391" s="23">
        <v>40</v>
      </c>
      <c r="G1391" s="152" cm="1">
        <f t="array" ref="G1391">SUM(E1391/F1391)</f>
        <v>0.625</v>
      </c>
      <c r="H1391" s="15"/>
    </row>
    <row r="1392" ht="13.65" customHeight="1">
      <c r="A1392" s="21">
        <v>19</v>
      </c>
      <c r="B1392" t="s" s="22">
        <v>525</v>
      </c>
      <c r="C1392" s="23">
        <v>1</v>
      </c>
      <c r="D1392" t="s" s="24">
        <v>116</v>
      </c>
      <c r="E1392" s="25">
        <v>5.2</v>
      </c>
      <c r="F1392" s="23">
        <v>10</v>
      </c>
      <c r="G1392" s="152" cm="1">
        <f t="array" ref="G1392">SUM(E1392/F1392)</f>
        <v>0.52</v>
      </c>
      <c r="H1392" s="15"/>
    </row>
    <row r="1393" ht="13.65" customHeight="1">
      <c r="A1393" s="21">
        <v>90</v>
      </c>
      <c r="B1393" t="s" s="22">
        <v>507</v>
      </c>
      <c r="C1393" t="s" s="24">
        <v>380</v>
      </c>
      <c r="D1393" t="s" s="24">
        <v>401</v>
      </c>
      <c r="E1393" s="25">
        <v>13.5</v>
      </c>
      <c r="F1393" s="23">
        <v>30</v>
      </c>
      <c r="G1393" s="152" cm="1">
        <f t="array" ref="G1393">SUM(E1393/F1393)</f>
        <v>0.45</v>
      </c>
      <c r="H1393" s="15"/>
    </row>
    <row r="1394" ht="13.65" customHeight="1">
      <c r="A1394" s="21">
        <v>81</v>
      </c>
      <c r="B1394" t="s" s="22">
        <v>509</v>
      </c>
      <c r="C1394" t="s" s="24">
        <v>510</v>
      </c>
      <c r="D1394" t="s" s="24">
        <v>495</v>
      </c>
      <c r="E1394" s="25">
        <v>41</v>
      </c>
      <c r="F1394" s="23">
        <v>20</v>
      </c>
      <c r="G1394" s="152" cm="1">
        <f t="array" ref="G1394">SUM(E1394/F1394)</f>
        <v>2.05</v>
      </c>
      <c r="H1394" s="15"/>
    </row>
    <row r="1395" ht="13.65" customHeight="1">
      <c r="A1395" s="21">
        <v>109</v>
      </c>
      <c r="B1395" t="s" s="22">
        <v>511</v>
      </c>
      <c r="C1395" s="23">
        <v>1</v>
      </c>
      <c r="D1395" t="s" s="24">
        <v>116</v>
      </c>
      <c r="E1395" s="25">
        <v>2.2</v>
      </c>
      <c r="F1395" s="23">
        <v>10</v>
      </c>
      <c r="G1395" s="152" cm="1">
        <f t="array" ref="G1395">SUM(E1395/F1395)</f>
        <v>0.22</v>
      </c>
      <c r="H1395" s="15"/>
    </row>
    <row r="1396" ht="13.65" customHeight="1">
      <c r="A1396" s="21">
        <v>4</v>
      </c>
      <c r="B1396" t="s" s="22">
        <v>512</v>
      </c>
      <c r="C1396" t="s" s="24">
        <v>513</v>
      </c>
      <c r="D1396" t="s" s="24">
        <v>514</v>
      </c>
      <c r="E1396" s="25">
        <v>64</v>
      </c>
      <c r="F1396" s="23">
        <v>22</v>
      </c>
      <c r="G1396" s="152" cm="1">
        <f t="array" ref="G1396">SUM(E1396/F1396)</f>
        <v>2.90909090909091</v>
      </c>
      <c r="H1396" s="15"/>
    </row>
    <row r="1397" ht="13.65" customHeight="1">
      <c r="A1397" s="21">
        <v>89</v>
      </c>
      <c r="B1397" t="s" s="22">
        <v>519</v>
      </c>
      <c r="C1397" t="s" s="24">
        <v>255</v>
      </c>
      <c r="D1397" t="s" s="24">
        <v>520</v>
      </c>
      <c r="E1397" s="25">
        <v>1.5</v>
      </c>
      <c r="F1397" s="23">
        <v>8</v>
      </c>
      <c r="G1397" s="152" cm="1">
        <f t="array" ref="G1397">SUM(E1397/F1397)</f>
        <v>0.1875</v>
      </c>
      <c r="H1397" s="15"/>
    </row>
    <row r="1398" ht="13.65" customHeight="1">
      <c r="A1398" s="21">
        <v>42</v>
      </c>
      <c r="B1398" t="s" s="22">
        <v>521</v>
      </c>
      <c r="C1398" s="23">
        <v>100</v>
      </c>
      <c r="D1398" t="s" s="24">
        <v>102</v>
      </c>
      <c r="E1398" s="25">
        <v>11</v>
      </c>
      <c r="F1398" s="23">
        <v>50</v>
      </c>
      <c r="G1398" s="152" cm="1">
        <f t="array" ref="G1398">SUM(E1398/F1398)</f>
        <v>0.22</v>
      </c>
      <c r="H1398" s="15"/>
    </row>
    <row r="1399" ht="13.65" customHeight="1">
      <c r="A1399" s="21">
        <v>79</v>
      </c>
      <c r="B1399" t="s" s="22">
        <v>439</v>
      </c>
      <c r="C1399" s="23">
        <v>20</v>
      </c>
      <c r="D1399" t="s" s="24">
        <v>104</v>
      </c>
      <c r="E1399" s="25">
        <v>25</v>
      </c>
      <c r="F1399" s="23">
        <v>20</v>
      </c>
      <c r="G1399" s="152" cm="1">
        <f t="array" ref="G1399">SUM(E1399/F1399)</f>
        <v>1.25</v>
      </c>
      <c r="H1399" s="15"/>
    </row>
    <row r="1400" ht="13.65" customHeight="1">
      <c r="A1400" s="21">
        <v>132</v>
      </c>
      <c r="B1400" t="s" s="22">
        <v>515</v>
      </c>
      <c r="C1400" t="s" s="24">
        <v>408</v>
      </c>
      <c r="D1400" t="s" s="24">
        <v>516</v>
      </c>
      <c r="E1400" s="25">
        <v>18.4</v>
      </c>
      <c r="F1400" s="23">
        <v>10</v>
      </c>
      <c r="G1400" s="152" cm="1">
        <f t="array" ref="G1400">SUM(E1400/F1400)</f>
        <v>1.84</v>
      </c>
      <c r="H1400" s="15"/>
    </row>
    <row r="1401" ht="13.65" customHeight="1">
      <c r="A1401" s="21">
        <v>133</v>
      </c>
      <c r="B1401" t="s" s="22">
        <v>522</v>
      </c>
      <c r="C1401" s="23">
        <v>12</v>
      </c>
      <c r="D1401" t="s" s="24">
        <v>104</v>
      </c>
      <c r="E1401" s="25">
        <v>6.5</v>
      </c>
      <c r="F1401" s="23">
        <v>12</v>
      </c>
      <c r="G1401" s="152" cm="1">
        <f t="array" ref="G1401">SUM(E1401/F1401)</f>
        <v>0.541666666666667</v>
      </c>
      <c r="H1401" s="15"/>
    </row>
    <row r="1402" ht="13.65" customHeight="1">
      <c r="A1402" s="21">
        <v>124</v>
      </c>
      <c r="B1402" t="s" s="22">
        <v>372</v>
      </c>
      <c r="C1402" s="23">
        <v>1</v>
      </c>
      <c r="D1402" t="s" s="24">
        <v>373</v>
      </c>
      <c r="E1402" s="25">
        <v>2.2</v>
      </c>
      <c r="F1402" s="23">
        <v>15</v>
      </c>
      <c r="G1402" s="152" cm="1">
        <f t="array" ref="G1402">SUM(E1402/F1402)</f>
        <v>0.146666666666667</v>
      </c>
      <c r="H1402" s="15"/>
    </row>
    <row r="1403" ht="13.65" customHeight="1">
      <c r="A1403" s="28"/>
      <c r="B1403" s="28"/>
      <c r="C1403" s="27"/>
      <c r="D1403" s="24"/>
      <c r="E1403" s="27"/>
      <c r="F1403" t="s" s="29">
        <v>118</v>
      </c>
      <c r="G1403" s="197" cm="1">
        <f t="array" ref="G1403">SUM(G1379:G1402)</f>
        <v>18.4729909090909</v>
      </c>
      <c r="H1403" s="15"/>
    </row>
    <row r="1404" ht="13.65" customHeight="1">
      <c r="A1404" s="129"/>
      <c r="B1404" s="129"/>
      <c r="C1404" s="129"/>
      <c r="D1404" s="129"/>
      <c r="E1404" s="129"/>
      <c r="F1404" s="31"/>
      <c r="G1404" s="31"/>
      <c r="H1404" s="3"/>
    </row>
    <row r="1405" ht="11.7" customHeight="1">
      <c r="A1405" t="s" s="167">
        <v>136</v>
      </c>
      <c r="B1405" t="s" s="167">
        <v>281</v>
      </c>
      <c r="C1405" t="s" s="167">
        <v>282</v>
      </c>
      <c r="D1405" t="s" s="168">
        <v>283</v>
      </c>
      <c r="E1405" s="169"/>
      <c r="F1405" s="170"/>
      <c r="G1405" s="171"/>
      <c r="H1405" s="171"/>
    </row>
    <row r="1406" ht="13.65" customHeight="1">
      <c r="A1406" s="23">
        <v>50</v>
      </c>
      <c r="B1406" s="172" cm="1">
        <f t="array" ref="B1406">SUM(H256)</f>
        <v>2.47496540404041</v>
      </c>
      <c r="C1406" s="172" cm="1">
        <f t="array" ref="C1406">SUM(G1403)</f>
        <v>18.4729909090909</v>
      </c>
      <c r="D1406" s="199" cm="1">
        <f t="array" ref="D1406">SUM(A1406*B1406)+(C1406)</f>
        <v>142.221261111111</v>
      </c>
      <c r="E1406" s="200"/>
      <c r="F1406" s="15"/>
      <c r="G1406" s="3"/>
      <c r="H1406" s="3"/>
    </row>
    <row r="1407" ht="13.65" customHeight="1">
      <c r="A1407" s="31"/>
      <c r="B1407" s="31"/>
      <c r="C1407" s="31"/>
      <c r="D1407" s="31"/>
      <c r="E1407" s="31"/>
      <c r="F1407" s="3"/>
      <c r="G1407" s="3"/>
      <c r="H1407" s="3"/>
    </row>
    <row r="1408" ht="13.65" customHeight="1">
      <c r="A1408" s="203"/>
      <c r="B1408" s="203"/>
      <c r="C1408" s="203"/>
      <c r="D1408" s="203"/>
      <c r="E1408" s="203"/>
      <c r="F1408" s="203"/>
      <c r="G1408" s="203"/>
      <c r="H1408" s="203"/>
    </row>
    <row r="1409" ht="13.65" customHeight="1">
      <c r="A1409" t="s" s="274">
        <v>185</v>
      </c>
      <c r="B1409" s="275"/>
      <c r="C1409" s="275"/>
      <c r="D1409" s="275"/>
      <c r="E1409" s="280"/>
      <c r="F1409" s="275"/>
      <c r="G1409" s="275"/>
      <c r="H1409" s="277"/>
    </row>
    <row r="1410" ht="13.65" customHeight="1">
      <c r="A1410" s="278"/>
      <c r="B1410" s="278"/>
      <c r="C1410" s="278"/>
      <c r="D1410" s="278"/>
      <c r="E1410" s="278"/>
      <c r="F1410" s="278"/>
      <c r="G1410" s="278"/>
      <c r="H1410" s="278"/>
    </row>
    <row r="1411" ht="13.65" customHeight="1">
      <c r="A1411" s="3"/>
      <c r="B1411" s="3"/>
      <c r="C1411" s="3"/>
      <c r="D1411" s="3"/>
      <c r="E1411" s="3"/>
      <c r="F1411" s="3"/>
      <c r="G1411" s="3"/>
      <c r="H1411" s="3"/>
    </row>
    <row r="1412" ht="13.65" customHeight="1">
      <c r="A1412" t="s" s="5">
        <v>526</v>
      </c>
      <c r="B1412" s="3"/>
      <c r="C1412" s="3"/>
      <c r="D1412" s="3"/>
      <c r="E1412" s="3"/>
      <c r="F1412" s="3"/>
      <c r="G1412" s="3"/>
      <c r="H1412" s="3"/>
    </row>
    <row r="1413" ht="13.65" customHeight="1">
      <c r="A1413" s="11"/>
      <c r="B1413" s="11"/>
      <c r="C1413" s="11"/>
      <c r="D1413" s="11"/>
      <c r="E1413" s="11"/>
      <c r="F1413" s="11"/>
      <c r="G1413" s="11"/>
      <c r="H1413" s="3"/>
    </row>
    <row r="1414" ht="13.65" customHeight="1">
      <c r="A1414" s="12"/>
      <c r="B1414" s="12"/>
      <c r="C1414" s="13"/>
      <c r="D1414" s="14"/>
      <c r="E1414" s="13"/>
      <c r="F1414" s="13"/>
      <c r="G1414" t="s" s="14">
        <v>252</v>
      </c>
      <c r="H1414" s="150"/>
    </row>
    <row r="1415" ht="13.65" customHeight="1">
      <c r="A1415" t="s" s="16">
        <v>93</v>
      </c>
      <c r="B1415" t="s" s="16">
        <v>94</v>
      </c>
      <c r="C1415" t="s" s="16">
        <v>95</v>
      </c>
      <c r="D1415" t="s" s="16">
        <v>96</v>
      </c>
      <c r="E1415" t="s" s="16">
        <v>97</v>
      </c>
      <c r="F1415" t="s" s="16">
        <v>98</v>
      </c>
      <c r="G1415" t="s" s="16">
        <v>99</v>
      </c>
      <c r="H1415" s="15"/>
    </row>
    <row r="1416" ht="13.65" customHeight="1">
      <c r="A1416" s="151"/>
      <c r="B1416" s="151"/>
      <c r="C1416" s="19"/>
      <c r="D1416" s="20"/>
      <c r="E1416" s="19"/>
      <c r="F1416" s="19"/>
      <c r="G1416" t="s" s="20">
        <v>100</v>
      </c>
      <c r="H1416" s="15"/>
    </row>
    <row r="1417" ht="13.65" customHeight="1">
      <c r="A1417" s="21">
        <v>72</v>
      </c>
      <c r="B1417" t="s" s="22">
        <v>101</v>
      </c>
      <c r="C1417" s="23">
        <v>50</v>
      </c>
      <c r="D1417" t="s" s="24">
        <v>274</v>
      </c>
      <c r="E1417" s="25">
        <v>1.93</v>
      </c>
      <c r="F1417" s="23">
        <v>12.5</v>
      </c>
      <c r="G1417" s="152" cm="1">
        <f t="array" ref="G1417">SUM(E1417/F1417)</f>
        <v>0.1544</v>
      </c>
      <c r="H1417" s="15"/>
    </row>
    <row r="1418" ht="13.65" customHeight="1">
      <c r="A1418" s="21">
        <v>123</v>
      </c>
      <c r="B1418" t="s" s="22">
        <v>103</v>
      </c>
      <c r="C1418" s="23">
        <v>40</v>
      </c>
      <c r="D1418" t="s" s="24">
        <v>102</v>
      </c>
      <c r="E1418" s="25">
        <v>3.2</v>
      </c>
      <c r="F1418" s="23">
        <v>20</v>
      </c>
      <c r="G1418" s="152" cm="1">
        <f t="array" ref="G1418">SUM(E1418/F1418)</f>
        <v>0.16</v>
      </c>
      <c r="H1418" s="15"/>
    </row>
    <row r="1419" ht="13.65" customHeight="1">
      <c r="A1419" s="21">
        <v>57</v>
      </c>
      <c r="B1419" t="s" s="22">
        <v>253</v>
      </c>
      <c r="C1419" t="s" s="24">
        <v>254</v>
      </c>
      <c r="D1419" t="s" s="24">
        <v>371</v>
      </c>
      <c r="E1419" s="25">
        <v>4.5</v>
      </c>
      <c r="F1419" s="23">
        <v>33</v>
      </c>
      <c r="G1419" s="152" cm="1">
        <f t="array" ref="G1419">SUM(E1419/F1419)</f>
        <v>0.136363636363636</v>
      </c>
      <c r="H1419" s="15"/>
    </row>
    <row r="1420" ht="13.65" customHeight="1">
      <c r="A1420" s="21">
        <v>86</v>
      </c>
      <c r="B1420" t="s" s="22">
        <v>107</v>
      </c>
      <c r="C1420" t="s" s="24">
        <v>108</v>
      </c>
      <c r="D1420" t="s" s="24">
        <v>274</v>
      </c>
      <c r="E1420" s="25">
        <v>0.32</v>
      </c>
      <c r="F1420" t="s" s="24">
        <v>301</v>
      </c>
      <c r="G1420" s="152" cm="1">
        <f t="array" ref="G1420">SUM(E1420*4)</f>
        <v>1.28</v>
      </c>
      <c r="H1420" s="15"/>
    </row>
    <row r="1421" ht="13.65" customHeight="1">
      <c r="A1421" s="21">
        <v>71</v>
      </c>
      <c r="B1421" t="s" s="22">
        <v>109</v>
      </c>
      <c r="C1421" s="23">
        <v>10</v>
      </c>
      <c r="D1421" t="s" s="24">
        <v>274</v>
      </c>
      <c r="E1421" s="25">
        <v>5.92</v>
      </c>
      <c r="F1421" s="23">
        <v>2.5</v>
      </c>
      <c r="G1421" s="152" cm="1">
        <f t="array" ref="G1421">SUM(E1421/F1421)</f>
        <v>2.368</v>
      </c>
      <c r="H1421" s="15"/>
    </row>
    <row r="1422" ht="13.65" customHeight="1">
      <c r="A1422" s="21">
        <v>87</v>
      </c>
      <c r="B1422" t="s" s="22">
        <v>110</v>
      </c>
      <c r="C1422" s="23">
        <v>50</v>
      </c>
      <c r="D1422" t="s" s="24">
        <v>274</v>
      </c>
      <c r="E1422" s="25">
        <v>9</v>
      </c>
      <c r="F1422" s="23">
        <v>12.5</v>
      </c>
      <c r="G1422" s="152" cm="1">
        <f t="array" ref="G1422">SUM(E1422/F1422)</f>
        <v>0.72</v>
      </c>
      <c r="H1422" s="15"/>
    </row>
    <row r="1423" ht="13.65" customHeight="1">
      <c r="A1423" s="21">
        <v>55</v>
      </c>
      <c r="B1423" t="s" s="22">
        <v>111</v>
      </c>
      <c r="C1423" t="s" s="24">
        <v>112</v>
      </c>
      <c r="D1423" t="s" s="24">
        <v>461</v>
      </c>
      <c r="E1423" s="25">
        <v>2.71</v>
      </c>
      <c r="F1423" s="23">
        <v>37.5</v>
      </c>
      <c r="G1423" s="152" cm="1">
        <f t="array" ref="G1423">SUM(E1423/F1423)</f>
        <v>0.0722666666666667</v>
      </c>
      <c r="H1423" s="15"/>
    </row>
    <row r="1424" ht="13.65" customHeight="1">
      <c r="A1424" s="21">
        <v>24</v>
      </c>
      <c r="B1424" t="s" s="22">
        <v>502</v>
      </c>
      <c r="C1424" s="23">
        <v>10</v>
      </c>
      <c r="D1424" t="s" s="24">
        <v>104</v>
      </c>
      <c r="E1424" s="25">
        <v>9.6</v>
      </c>
      <c r="F1424" s="23">
        <v>10</v>
      </c>
      <c r="G1424" s="152" cm="1">
        <f t="array" ref="G1424">SUM(E1424/F1424)</f>
        <v>0.96</v>
      </c>
      <c r="H1424" s="15"/>
    </row>
    <row r="1425" ht="13.65" customHeight="1">
      <c r="A1425" s="21">
        <v>10</v>
      </c>
      <c r="B1425" t="s" s="22">
        <v>395</v>
      </c>
      <c r="C1425" t="s" s="24">
        <v>396</v>
      </c>
      <c r="D1425" t="s" s="24">
        <v>397</v>
      </c>
      <c r="E1425" s="25">
        <v>3.92</v>
      </c>
      <c r="F1425" s="23">
        <v>50</v>
      </c>
      <c r="G1425" s="152" cm="1">
        <f t="array" ref="G1425">SUM(E1425/F1425)</f>
        <v>0.0784</v>
      </c>
      <c r="H1425" s="15"/>
    </row>
    <row r="1426" ht="13.65" customHeight="1">
      <c r="A1426" s="21">
        <v>9</v>
      </c>
      <c r="B1426" t="s" s="22">
        <v>398</v>
      </c>
      <c r="C1426" t="s" s="24">
        <v>503</v>
      </c>
      <c r="D1426" t="s" s="24">
        <v>104</v>
      </c>
      <c r="E1426" s="25">
        <v>14</v>
      </c>
      <c r="F1426" s="23">
        <v>50</v>
      </c>
      <c r="G1426" s="152" cm="1">
        <f t="array" ref="G1426">SUM(E1426/F1426)</f>
        <v>0.28</v>
      </c>
      <c r="H1426" s="15"/>
    </row>
    <row r="1427" ht="13.65" customHeight="1">
      <c r="A1427" s="21">
        <v>6</v>
      </c>
      <c r="B1427" t="s" s="22">
        <v>399</v>
      </c>
      <c r="C1427" t="s" s="24">
        <v>436</v>
      </c>
      <c r="D1427" t="s" s="24">
        <v>104</v>
      </c>
      <c r="E1427" s="25">
        <v>19</v>
      </c>
      <c r="F1427" s="23">
        <v>100</v>
      </c>
      <c r="G1427" s="152" cm="1">
        <f t="array" ref="G1427">SUM(E1427/F1427)</f>
        <v>0.19</v>
      </c>
      <c r="H1427" s="15"/>
    </row>
    <row r="1428" ht="13.65" customHeight="1">
      <c r="A1428" s="21">
        <v>11</v>
      </c>
      <c r="B1428" t="s" s="22">
        <v>440</v>
      </c>
      <c r="C1428" t="s" s="24">
        <v>441</v>
      </c>
      <c r="D1428" t="s" s="24">
        <v>442</v>
      </c>
      <c r="E1428" s="25">
        <v>49</v>
      </c>
      <c r="F1428" s="23">
        <v>44</v>
      </c>
      <c r="G1428" s="152" cm="1">
        <f t="array" ref="G1428">SUM(E1428/F1428)</f>
        <v>1.11363636363636</v>
      </c>
      <c r="H1428" s="15"/>
    </row>
    <row r="1429" ht="13.65" customHeight="1">
      <c r="A1429" s="21">
        <v>18</v>
      </c>
      <c r="B1429" t="s" s="22">
        <v>506</v>
      </c>
      <c r="C1429" s="23">
        <v>6</v>
      </c>
      <c r="D1429" t="s" s="24">
        <v>518</v>
      </c>
      <c r="E1429" s="25">
        <v>25</v>
      </c>
      <c r="F1429" s="23">
        <v>40</v>
      </c>
      <c r="G1429" s="152" cm="1">
        <f t="array" ref="G1429">SUM(E1429/F1429)</f>
        <v>0.625</v>
      </c>
      <c r="H1429" s="15"/>
    </row>
    <row r="1430" ht="13.65" customHeight="1">
      <c r="A1430" s="21">
        <v>19</v>
      </c>
      <c r="B1430" t="s" s="22">
        <v>414</v>
      </c>
      <c r="C1430" s="23">
        <v>1</v>
      </c>
      <c r="D1430" t="s" s="24">
        <v>116</v>
      </c>
      <c r="E1430" s="25">
        <v>5.2</v>
      </c>
      <c r="F1430" s="23">
        <v>10</v>
      </c>
      <c r="G1430" s="152" cm="1">
        <f t="array" ref="G1430">SUM(E1430/F1430)</f>
        <v>0.52</v>
      </c>
      <c r="H1430" s="15"/>
    </row>
    <row r="1431" ht="13.65" customHeight="1">
      <c r="A1431" s="21">
        <v>90</v>
      </c>
      <c r="B1431" t="s" s="22">
        <v>507</v>
      </c>
      <c r="C1431" t="s" s="24">
        <v>380</v>
      </c>
      <c r="D1431" t="s" s="24">
        <v>401</v>
      </c>
      <c r="E1431" s="25">
        <v>13.5</v>
      </c>
      <c r="F1431" s="23">
        <v>25</v>
      </c>
      <c r="G1431" s="152" cm="1">
        <f t="array" ref="G1431">SUM(E1431/F1431)</f>
        <v>0.54</v>
      </c>
      <c r="H1431" s="15"/>
    </row>
    <row r="1432" ht="13.65" customHeight="1">
      <c r="A1432" s="21">
        <v>81</v>
      </c>
      <c r="B1432" t="s" s="22">
        <v>509</v>
      </c>
      <c r="C1432" t="s" s="24">
        <v>510</v>
      </c>
      <c r="D1432" t="s" s="24">
        <v>495</v>
      </c>
      <c r="E1432" s="25">
        <v>41</v>
      </c>
      <c r="F1432" s="23">
        <v>15</v>
      </c>
      <c r="G1432" s="152" cm="1">
        <f t="array" ref="G1432">SUM(E1432/F1432)</f>
        <v>2.73333333333333</v>
      </c>
      <c r="H1432" s="15"/>
    </row>
    <row r="1433" ht="13.65" customHeight="1">
      <c r="A1433" s="21">
        <v>109</v>
      </c>
      <c r="B1433" t="s" s="22">
        <v>511</v>
      </c>
      <c r="C1433" s="23">
        <v>1</v>
      </c>
      <c r="D1433" t="s" s="24">
        <v>116</v>
      </c>
      <c r="E1433" s="25">
        <v>2.2</v>
      </c>
      <c r="F1433" s="23">
        <v>10</v>
      </c>
      <c r="G1433" s="152" cm="1">
        <f t="array" ref="G1433">SUM(E1433/F1433)</f>
        <v>0.22</v>
      </c>
      <c r="H1433" s="15"/>
    </row>
    <row r="1434" ht="13.65" customHeight="1">
      <c r="A1434" s="21">
        <v>4</v>
      </c>
      <c r="B1434" t="s" s="22">
        <v>512</v>
      </c>
      <c r="C1434" t="s" s="24">
        <v>513</v>
      </c>
      <c r="D1434" t="s" s="24">
        <v>514</v>
      </c>
      <c r="E1434" s="25">
        <v>64</v>
      </c>
      <c r="F1434" s="23">
        <v>22</v>
      </c>
      <c r="G1434" s="152" cm="1">
        <f t="array" ref="G1434">SUM(E1434/F1434)</f>
        <v>2.90909090909091</v>
      </c>
      <c r="H1434" s="15"/>
    </row>
    <row r="1435" ht="13.65" customHeight="1">
      <c r="A1435" s="21">
        <v>89</v>
      </c>
      <c r="B1435" t="s" s="22">
        <v>519</v>
      </c>
      <c r="C1435" t="s" s="24">
        <v>255</v>
      </c>
      <c r="D1435" t="s" s="24">
        <v>527</v>
      </c>
      <c r="E1435" s="25">
        <v>1.5</v>
      </c>
      <c r="F1435" s="23">
        <v>8</v>
      </c>
      <c r="G1435" s="152" cm="1">
        <f t="array" ref="G1435">SUM(E1435/F1435)</f>
        <v>0.1875</v>
      </c>
      <c r="H1435" s="15"/>
    </row>
    <row r="1436" ht="13.65" customHeight="1">
      <c r="A1436" s="21">
        <v>42</v>
      </c>
      <c r="B1436" t="s" s="22">
        <v>528</v>
      </c>
      <c r="C1436" s="23">
        <v>100</v>
      </c>
      <c r="D1436" t="s" s="24">
        <v>102</v>
      </c>
      <c r="E1436" s="25">
        <v>11</v>
      </c>
      <c r="F1436" s="23">
        <v>50</v>
      </c>
      <c r="G1436" s="152" cm="1">
        <f t="array" ref="G1436">SUM(E1436/F1436)</f>
        <v>0.22</v>
      </c>
      <c r="H1436" s="15"/>
    </row>
    <row r="1437" ht="13.65" customHeight="1">
      <c r="A1437" s="21">
        <v>79</v>
      </c>
      <c r="B1437" t="s" s="22">
        <v>439</v>
      </c>
      <c r="C1437" s="23">
        <v>20</v>
      </c>
      <c r="D1437" t="s" s="24">
        <v>104</v>
      </c>
      <c r="E1437" s="25">
        <v>25</v>
      </c>
      <c r="F1437" s="23">
        <v>20</v>
      </c>
      <c r="G1437" s="152" cm="1">
        <f t="array" ref="G1437">SUM(E1437/F1437)</f>
        <v>1.25</v>
      </c>
      <c r="H1437" s="15"/>
    </row>
    <row r="1438" ht="13.65" customHeight="1">
      <c r="A1438" s="21">
        <v>132</v>
      </c>
      <c r="B1438" t="s" s="22">
        <v>515</v>
      </c>
      <c r="C1438" t="s" s="24">
        <v>408</v>
      </c>
      <c r="D1438" t="s" s="24">
        <v>516</v>
      </c>
      <c r="E1438" s="25">
        <v>18.4</v>
      </c>
      <c r="F1438" s="23">
        <v>10</v>
      </c>
      <c r="G1438" s="152" cm="1">
        <f t="array" ref="G1438">SUM(E1438/F1438)</f>
        <v>1.84</v>
      </c>
      <c r="H1438" s="15"/>
    </row>
    <row r="1439" ht="13.65" customHeight="1">
      <c r="A1439" s="21">
        <v>133</v>
      </c>
      <c r="B1439" t="s" s="22">
        <v>522</v>
      </c>
      <c r="C1439" s="23">
        <v>12</v>
      </c>
      <c r="D1439" t="s" s="24">
        <v>104</v>
      </c>
      <c r="E1439" s="25">
        <v>6.5</v>
      </c>
      <c r="F1439" s="23">
        <v>12</v>
      </c>
      <c r="G1439" s="152" cm="1">
        <f t="array" ref="G1439">SUM(E1439/F1439)</f>
        <v>0.541666666666667</v>
      </c>
      <c r="H1439" s="15"/>
    </row>
    <row r="1440" ht="13.65" customHeight="1">
      <c r="A1440" s="21">
        <v>124</v>
      </c>
      <c r="B1440" t="s" s="22">
        <v>372</v>
      </c>
      <c r="C1440" s="23">
        <v>1</v>
      </c>
      <c r="D1440" t="s" s="24">
        <v>373</v>
      </c>
      <c r="E1440" s="25">
        <v>2.2</v>
      </c>
      <c r="F1440" s="23">
        <v>15</v>
      </c>
      <c r="G1440" s="152" cm="1">
        <f t="array" ref="G1440">SUM(E1440/F1440)</f>
        <v>0.146666666666667</v>
      </c>
      <c r="H1440" s="15"/>
    </row>
    <row r="1441" ht="13.65" customHeight="1">
      <c r="A1441" s="28"/>
      <c r="B1441" s="28"/>
      <c r="C1441" s="27"/>
      <c r="D1441" s="24"/>
      <c r="E1441" s="27"/>
      <c r="F1441" t="s" s="29">
        <v>118</v>
      </c>
      <c r="G1441" s="197" cm="1">
        <f t="array" ref="G1441">SUM(G1417:G1440)</f>
        <v>19.2463242424242</v>
      </c>
      <c r="H1441" s="15"/>
    </row>
    <row r="1442" ht="13.65" customHeight="1">
      <c r="A1442" s="129"/>
      <c r="B1442" s="129"/>
      <c r="C1442" s="129"/>
      <c r="D1442" s="129"/>
      <c r="E1442" s="129"/>
      <c r="F1442" s="31"/>
      <c r="G1442" s="31"/>
      <c r="H1442" s="3"/>
    </row>
    <row r="1443" ht="11.7" customHeight="1">
      <c r="A1443" t="s" s="167">
        <v>136</v>
      </c>
      <c r="B1443" t="s" s="167">
        <v>281</v>
      </c>
      <c r="C1443" t="s" s="167">
        <v>282</v>
      </c>
      <c r="D1443" t="s" s="168">
        <v>283</v>
      </c>
      <c r="E1443" s="169"/>
      <c r="F1443" s="170"/>
      <c r="G1443" s="171"/>
      <c r="H1443" s="171"/>
    </row>
    <row r="1444" ht="13.65" customHeight="1">
      <c r="A1444" s="23">
        <v>65</v>
      </c>
      <c r="B1444" s="172" cm="1">
        <f t="array" ref="B1444">SUM(H256)</f>
        <v>2.47496540404041</v>
      </c>
      <c r="C1444" s="172" cm="1">
        <f t="array" ref="C1444">SUM(G1441)</f>
        <v>19.2463242424242</v>
      </c>
      <c r="D1444" s="199" cm="1">
        <f t="array" ref="D1444">SUM(A1444*B1444)+(C1444)</f>
        <v>180.119075505051</v>
      </c>
      <c r="E1444" s="200"/>
      <c r="F1444" s="15"/>
      <c r="G1444" s="3"/>
      <c r="H1444" s="3"/>
    </row>
    <row r="1445" ht="13.65" customHeight="1">
      <c r="A1445" s="31"/>
      <c r="B1445" s="31"/>
      <c r="C1445" s="31"/>
      <c r="D1445" s="31"/>
      <c r="E1445" s="31"/>
      <c r="F1445" s="3"/>
      <c r="G1445" s="3"/>
      <c r="H1445" s="3"/>
    </row>
    <row r="1446" ht="13.65" customHeight="1">
      <c r="A1446" s="203"/>
      <c r="B1446" s="203"/>
      <c r="C1446" s="203"/>
      <c r="D1446" s="203"/>
      <c r="E1446" s="203"/>
      <c r="F1446" s="203"/>
      <c r="G1446" s="203"/>
      <c r="H1446" s="203"/>
    </row>
    <row r="1447" ht="13.65" customHeight="1">
      <c r="A1447" t="s" s="274">
        <v>185</v>
      </c>
      <c r="B1447" s="275"/>
      <c r="C1447" s="275"/>
      <c r="D1447" s="275"/>
      <c r="E1447" s="280"/>
      <c r="F1447" s="275"/>
      <c r="G1447" s="275"/>
      <c r="H1447" s="277"/>
    </row>
    <row r="1448" ht="13.65" customHeight="1">
      <c r="A1448" s="278"/>
      <c r="B1448" s="278"/>
      <c r="C1448" s="278"/>
      <c r="D1448" s="278"/>
      <c r="E1448" s="278"/>
      <c r="F1448" s="278"/>
      <c r="G1448" s="278"/>
      <c r="H1448" s="278"/>
    </row>
    <row r="1449" ht="13.65" customHeight="1">
      <c r="A1449" s="3"/>
      <c r="B1449" s="3"/>
      <c r="C1449" s="3"/>
      <c r="D1449" s="3"/>
      <c r="E1449" s="3"/>
      <c r="F1449" s="3"/>
      <c r="G1449" s="3"/>
      <c r="H1449" s="3"/>
    </row>
    <row r="1450" ht="13.65" customHeight="1">
      <c r="A1450" t="s" s="5">
        <v>529</v>
      </c>
      <c r="B1450" s="3"/>
      <c r="C1450" s="3"/>
      <c r="D1450" s="3"/>
      <c r="E1450" s="3"/>
      <c r="F1450" s="3"/>
      <c r="G1450" s="3"/>
      <c r="H1450" s="3"/>
    </row>
    <row r="1451" ht="13.65" customHeight="1">
      <c r="A1451" s="11"/>
      <c r="B1451" s="11"/>
      <c r="C1451" s="11"/>
      <c r="D1451" s="11"/>
      <c r="E1451" s="11"/>
      <c r="F1451" s="11"/>
      <c r="G1451" s="11"/>
      <c r="H1451" s="3"/>
    </row>
    <row r="1452" ht="13.65" customHeight="1">
      <c r="A1452" s="12"/>
      <c r="B1452" s="12"/>
      <c r="C1452" s="13"/>
      <c r="D1452" s="14"/>
      <c r="E1452" s="13"/>
      <c r="F1452" s="13"/>
      <c r="G1452" t="s" s="14">
        <v>252</v>
      </c>
      <c r="H1452" s="150"/>
    </row>
    <row r="1453" ht="13.65" customHeight="1">
      <c r="A1453" t="s" s="16">
        <v>93</v>
      </c>
      <c r="B1453" t="s" s="16">
        <v>94</v>
      </c>
      <c r="C1453" t="s" s="16">
        <v>95</v>
      </c>
      <c r="D1453" t="s" s="16">
        <v>96</v>
      </c>
      <c r="E1453" t="s" s="16">
        <v>97</v>
      </c>
      <c r="F1453" t="s" s="16">
        <v>98</v>
      </c>
      <c r="G1453" t="s" s="16">
        <v>99</v>
      </c>
      <c r="H1453" s="15"/>
    </row>
    <row r="1454" ht="13.65" customHeight="1">
      <c r="A1454" s="151"/>
      <c r="B1454" s="151"/>
      <c r="C1454" s="19"/>
      <c r="D1454" s="20"/>
      <c r="E1454" s="19"/>
      <c r="F1454" s="19"/>
      <c r="G1454" t="s" s="20">
        <v>100</v>
      </c>
      <c r="H1454" s="15"/>
    </row>
    <row r="1455" ht="13.65" customHeight="1">
      <c r="A1455" s="21">
        <v>72</v>
      </c>
      <c r="B1455" t="s" s="22">
        <v>101</v>
      </c>
      <c r="C1455" s="23">
        <v>50</v>
      </c>
      <c r="D1455" t="s" s="24">
        <v>274</v>
      </c>
      <c r="E1455" s="25">
        <v>1.93</v>
      </c>
      <c r="F1455" s="23">
        <v>12.5</v>
      </c>
      <c r="G1455" s="152" cm="1">
        <f t="array" ref="G1455">SUM(E1455/F1455)</f>
        <v>0.1544</v>
      </c>
      <c r="H1455" s="15"/>
    </row>
    <row r="1456" ht="13.65" customHeight="1">
      <c r="A1456" s="21">
        <v>123</v>
      </c>
      <c r="B1456" t="s" s="22">
        <v>103</v>
      </c>
      <c r="C1456" s="23">
        <v>40</v>
      </c>
      <c r="D1456" t="s" s="24">
        <v>102</v>
      </c>
      <c r="E1456" s="25">
        <v>3.2</v>
      </c>
      <c r="F1456" s="23">
        <v>20</v>
      </c>
      <c r="G1456" s="152" cm="1">
        <f t="array" ref="G1456">SUM(E1456/F1456)</f>
        <v>0.16</v>
      </c>
      <c r="H1456" s="15"/>
    </row>
    <row r="1457" ht="13.65" customHeight="1">
      <c r="A1457" s="21">
        <v>57</v>
      </c>
      <c r="B1457" t="s" s="22">
        <v>253</v>
      </c>
      <c r="C1457" t="s" s="24">
        <v>254</v>
      </c>
      <c r="D1457" t="s" s="24">
        <v>371</v>
      </c>
      <c r="E1457" s="25">
        <v>4.5</v>
      </c>
      <c r="F1457" s="23">
        <v>33</v>
      </c>
      <c r="G1457" s="152" cm="1">
        <f t="array" ref="G1457">SUM(E1457/F1457)</f>
        <v>0.136363636363636</v>
      </c>
      <c r="H1457" s="15"/>
    </row>
    <row r="1458" ht="13.65" customHeight="1">
      <c r="A1458" s="21">
        <v>86</v>
      </c>
      <c r="B1458" t="s" s="22">
        <v>107</v>
      </c>
      <c r="C1458" t="s" s="24">
        <v>108</v>
      </c>
      <c r="D1458" t="s" s="24">
        <v>274</v>
      </c>
      <c r="E1458" s="25">
        <v>0.32</v>
      </c>
      <c r="F1458" t="s" s="24">
        <v>301</v>
      </c>
      <c r="G1458" s="152" cm="1">
        <f t="array" ref="G1458">SUM(E1458*4)</f>
        <v>1.28</v>
      </c>
      <c r="H1458" s="15"/>
    </row>
    <row r="1459" ht="13.65" customHeight="1">
      <c r="A1459" s="21">
        <v>71</v>
      </c>
      <c r="B1459" t="s" s="22">
        <v>109</v>
      </c>
      <c r="C1459" s="23">
        <v>10</v>
      </c>
      <c r="D1459" t="s" s="24">
        <v>274</v>
      </c>
      <c r="E1459" s="25">
        <v>5.92</v>
      </c>
      <c r="F1459" s="23">
        <v>2.5</v>
      </c>
      <c r="G1459" s="152" cm="1">
        <f t="array" ref="G1459">SUM(E1459/F1459)</f>
        <v>2.368</v>
      </c>
      <c r="H1459" s="15"/>
    </row>
    <row r="1460" ht="13.65" customHeight="1">
      <c r="A1460" s="21">
        <v>87</v>
      </c>
      <c r="B1460" t="s" s="22">
        <v>110</v>
      </c>
      <c r="C1460" s="23">
        <v>50</v>
      </c>
      <c r="D1460" t="s" s="24">
        <v>274</v>
      </c>
      <c r="E1460" s="25">
        <v>9</v>
      </c>
      <c r="F1460" s="23">
        <v>12.5</v>
      </c>
      <c r="G1460" s="152" cm="1">
        <f t="array" ref="G1460">SUM(E1460/F1460)</f>
        <v>0.72</v>
      </c>
      <c r="H1460" s="15"/>
    </row>
    <row r="1461" ht="13.65" customHeight="1">
      <c r="A1461" s="21">
        <v>55</v>
      </c>
      <c r="B1461" t="s" s="22">
        <v>111</v>
      </c>
      <c r="C1461" t="s" s="24">
        <v>112</v>
      </c>
      <c r="D1461" t="s" s="24">
        <v>461</v>
      </c>
      <c r="E1461" s="25">
        <v>2.71</v>
      </c>
      <c r="F1461" s="23">
        <v>37.5</v>
      </c>
      <c r="G1461" s="152" cm="1">
        <f t="array" ref="G1461">SUM(E1461/F1461)</f>
        <v>0.0722666666666667</v>
      </c>
      <c r="H1461" s="15"/>
    </row>
    <row r="1462" ht="13.65" customHeight="1">
      <c r="A1462" s="21">
        <v>24</v>
      </c>
      <c r="B1462" t="s" s="22">
        <v>502</v>
      </c>
      <c r="C1462" s="23">
        <v>10</v>
      </c>
      <c r="D1462" t="s" s="24">
        <v>104</v>
      </c>
      <c r="E1462" s="25">
        <v>9.6</v>
      </c>
      <c r="F1462" s="23">
        <v>10</v>
      </c>
      <c r="G1462" s="152" cm="1">
        <f t="array" ref="G1462">SUM(E1462/F1462)</f>
        <v>0.96</v>
      </c>
      <c r="H1462" s="15"/>
    </row>
    <row r="1463" ht="13.65" customHeight="1">
      <c r="A1463" s="21">
        <v>10</v>
      </c>
      <c r="B1463" t="s" s="22">
        <v>395</v>
      </c>
      <c r="C1463" t="s" s="24">
        <v>396</v>
      </c>
      <c r="D1463" t="s" s="24">
        <v>397</v>
      </c>
      <c r="E1463" s="25">
        <v>3.92</v>
      </c>
      <c r="F1463" s="23">
        <v>50</v>
      </c>
      <c r="G1463" s="152" cm="1">
        <f t="array" ref="G1463">SUM(E1463/F1463)</f>
        <v>0.0784</v>
      </c>
      <c r="H1463" s="15"/>
    </row>
    <row r="1464" ht="13.65" customHeight="1">
      <c r="A1464" s="21">
        <v>9</v>
      </c>
      <c r="B1464" t="s" s="22">
        <v>398</v>
      </c>
      <c r="C1464" t="s" s="24">
        <v>503</v>
      </c>
      <c r="D1464" t="s" s="24">
        <v>104</v>
      </c>
      <c r="E1464" s="25">
        <v>14</v>
      </c>
      <c r="F1464" s="23">
        <v>50</v>
      </c>
      <c r="G1464" s="152" cm="1">
        <f t="array" ref="G1464">SUM(E1464/F1464)</f>
        <v>0.28</v>
      </c>
      <c r="H1464" s="15"/>
    </row>
    <row r="1465" ht="13.65" customHeight="1">
      <c r="A1465" s="21">
        <v>6</v>
      </c>
      <c r="B1465" t="s" s="22">
        <v>399</v>
      </c>
      <c r="C1465" t="s" s="24">
        <v>436</v>
      </c>
      <c r="D1465" t="s" s="24">
        <v>104</v>
      </c>
      <c r="E1465" s="25">
        <v>19</v>
      </c>
      <c r="F1465" s="23">
        <v>100</v>
      </c>
      <c r="G1465" s="152" cm="1">
        <f t="array" ref="G1465">SUM(E1465/F1465)</f>
        <v>0.19</v>
      </c>
      <c r="H1465" s="15"/>
    </row>
    <row r="1466" ht="13.65" customHeight="1">
      <c r="A1466" s="21">
        <v>18</v>
      </c>
      <c r="B1466" t="s" s="22">
        <v>506</v>
      </c>
      <c r="C1466" s="23">
        <v>6</v>
      </c>
      <c r="D1466" t="s" s="24">
        <v>442</v>
      </c>
      <c r="E1466" s="25">
        <v>25</v>
      </c>
      <c r="F1466" s="23">
        <v>40</v>
      </c>
      <c r="G1466" s="152" cm="1">
        <f t="array" ref="G1466">SUM(E1466/F1466)</f>
        <v>0.625</v>
      </c>
      <c r="H1466" s="15"/>
    </row>
    <row r="1467" ht="13.65" customHeight="1">
      <c r="A1467" s="21">
        <v>11</v>
      </c>
      <c r="B1467" t="s" s="22">
        <v>440</v>
      </c>
      <c r="C1467" t="s" s="24">
        <v>441</v>
      </c>
      <c r="D1467" t="s" s="24">
        <v>518</v>
      </c>
      <c r="E1467" s="25">
        <v>49</v>
      </c>
      <c r="F1467" s="23">
        <v>44</v>
      </c>
      <c r="G1467" s="152" cm="1">
        <f t="array" ref="G1467">SUM(E1467/F1467)</f>
        <v>1.11363636363636</v>
      </c>
      <c r="H1467" s="15"/>
    </row>
    <row r="1468" ht="13.65" customHeight="1">
      <c r="A1468" s="21">
        <v>19</v>
      </c>
      <c r="B1468" t="s" s="22">
        <v>414</v>
      </c>
      <c r="C1468" s="23">
        <v>1</v>
      </c>
      <c r="D1468" t="s" s="24">
        <v>116</v>
      </c>
      <c r="E1468" s="25">
        <v>5.2</v>
      </c>
      <c r="F1468" s="23">
        <v>10</v>
      </c>
      <c r="G1468" s="152" cm="1">
        <f t="array" ref="G1468">SUM(E1468/F1468)</f>
        <v>0.52</v>
      </c>
      <c r="H1468" s="15"/>
    </row>
    <row r="1469" ht="13.65" customHeight="1">
      <c r="A1469" s="21">
        <v>90</v>
      </c>
      <c r="B1469" t="s" s="22">
        <v>507</v>
      </c>
      <c r="C1469" t="s" s="24">
        <v>380</v>
      </c>
      <c r="D1469" t="s" s="24">
        <v>401</v>
      </c>
      <c r="E1469" s="25">
        <v>13.5</v>
      </c>
      <c r="F1469" s="23">
        <v>25</v>
      </c>
      <c r="G1469" s="152" cm="1">
        <f t="array" ref="G1469">SUM(E1469/F1469)</f>
        <v>0.54</v>
      </c>
      <c r="H1469" s="15"/>
    </row>
    <row r="1470" ht="13.65" customHeight="1">
      <c r="A1470" s="21">
        <v>81</v>
      </c>
      <c r="B1470" t="s" s="22">
        <v>509</v>
      </c>
      <c r="C1470" t="s" s="24">
        <v>510</v>
      </c>
      <c r="D1470" t="s" s="24">
        <v>495</v>
      </c>
      <c r="E1470" s="25">
        <v>41</v>
      </c>
      <c r="F1470" s="23">
        <v>15</v>
      </c>
      <c r="G1470" s="152" cm="1">
        <f t="array" ref="G1470">SUM(E1470/F1470)</f>
        <v>2.73333333333333</v>
      </c>
      <c r="H1470" s="15"/>
    </row>
    <row r="1471" ht="13.65" customHeight="1">
      <c r="A1471" s="21">
        <v>109</v>
      </c>
      <c r="B1471" t="s" s="22">
        <v>511</v>
      </c>
      <c r="C1471" s="23">
        <v>1</v>
      </c>
      <c r="D1471" t="s" s="24">
        <v>116</v>
      </c>
      <c r="E1471" s="25">
        <v>2.2</v>
      </c>
      <c r="F1471" s="23">
        <v>10</v>
      </c>
      <c r="G1471" s="152" cm="1">
        <f t="array" ref="G1471">SUM(E1471/F1471)</f>
        <v>0.22</v>
      </c>
      <c r="H1471" s="15"/>
    </row>
    <row r="1472" ht="13.65" customHeight="1">
      <c r="A1472" s="21">
        <v>4</v>
      </c>
      <c r="B1472" t="s" s="22">
        <v>512</v>
      </c>
      <c r="C1472" t="s" s="24">
        <v>513</v>
      </c>
      <c r="D1472" t="s" s="24">
        <v>514</v>
      </c>
      <c r="E1472" s="25">
        <v>64</v>
      </c>
      <c r="F1472" s="23">
        <v>22</v>
      </c>
      <c r="G1472" s="152" cm="1">
        <f t="array" ref="G1472">SUM(E1472/F1472)</f>
        <v>2.90909090909091</v>
      </c>
      <c r="H1472" s="15"/>
    </row>
    <row r="1473" ht="13.65" customHeight="1">
      <c r="A1473" s="21">
        <v>89</v>
      </c>
      <c r="B1473" t="s" s="22">
        <v>519</v>
      </c>
      <c r="C1473" t="s" s="24">
        <v>255</v>
      </c>
      <c r="D1473" t="s" s="24">
        <v>527</v>
      </c>
      <c r="E1473" s="25">
        <v>1.5</v>
      </c>
      <c r="F1473" s="23">
        <v>8</v>
      </c>
      <c r="G1473" s="152" cm="1">
        <f t="array" ref="G1473">SUM(E1473/F1473)</f>
        <v>0.1875</v>
      </c>
      <c r="H1473" s="15"/>
    </row>
    <row r="1474" ht="13.65" customHeight="1">
      <c r="A1474" s="21">
        <v>42</v>
      </c>
      <c r="B1474" t="s" s="22">
        <v>528</v>
      </c>
      <c r="C1474" s="23">
        <v>100</v>
      </c>
      <c r="D1474" t="s" s="24">
        <v>102</v>
      </c>
      <c r="E1474" s="25">
        <v>11</v>
      </c>
      <c r="F1474" s="23">
        <v>50</v>
      </c>
      <c r="G1474" s="152" cm="1">
        <f t="array" ref="G1474">SUM(E1474/F1474)</f>
        <v>0.22</v>
      </c>
      <c r="H1474" s="15"/>
    </row>
    <row r="1475" ht="13.65" customHeight="1">
      <c r="A1475" s="21">
        <v>79</v>
      </c>
      <c r="B1475" t="s" s="22">
        <v>439</v>
      </c>
      <c r="C1475" s="23">
        <v>20</v>
      </c>
      <c r="D1475" t="s" s="24">
        <v>104</v>
      </c>
      <c r="E1475" s="25">
        <v>25</v>
      </c>
      <c r="F1475" s="23">
        <v>20</v>
      </c>
      <c r="G1475" s="152" cm="1">
        <f t="array" ref="G1475">SUM(E1475/F1475)</f>
        <v>1.25</v>
      </c>
      <c r="H1475" s="15"/>
    </row>
    <row r="1476" ht="13.65" customHeight="1">
      <c r="A1476" s="21">
        <v>132</v>
      </c>
      <c r="B1476" t="s" s="22">
        <v>515</v>
      </c>
      <c r="C1476" t="s" s="24">
        <v>408</v>
      </c>
      <c r="D1476" t="s" s="24">
        <v>516</v>
      </c>
      <c r="E1476" s="25">
        <v>18.4</v>
      </c>
      <c r="F1476" s="23">
        <v>10</v>
      </c>
      <c r="G1476" s="152" cm="1">
        <f t="array" ref="G1476">SUM(E1476/F1476)</f>
        <v>1.84</v>
      </c>
      <c r="H1476" s="15"/>
    </row>
    <row r="1477" ht="13.65" customHeight="1">
      <c r="A1477" s="21">
        <v>133</v>
      </c>
      <c r="B1477" t="s" s="22">
        <v>522</v>
      </c>
      <c r="C1477" s="23">
        <v>12</v>
      </c>
      <c r="D1477" t="s" s="24">
        <v>104</v>
      </c>
      <c r="E1477" s="25">
        <v>6.5</v>
      </c>
      <c r="F1477" s="23">
        <v>12</v>
      </c>
      <c r="G1477" s="152" cm="1">
        <f t="array" ref="G1477">SUM(E1477/F1477)</f>
        <v>0.541666666666667</v>
      </c>
      <c r="H1477" s="15"/>
    </row>
    <row r="1478" ht="13.65" customHeight="1">
      <c r="A1478" s="21">
        <v>124</v>
      </c>
      <c r="B1478" t="s" s="22">
        <v>372</v>
      </c>
      <c r="C1478" s="23">
        <v>1</v>
      </c>
      <c r="D1478" t="s" s="24">
        <v>373</v>
      </c>
      <c r="E1478" s="25">
        <v>2.2</v>
      </c>
      <c r="F1478" s="23">
        <v>15</v>
      </c>
      <c r="G1478" s="152" cm="1">
        <f t="array" ref="G1478">SUM(E1478/F1478)</f>
        <v>0.146666666666667</v>
      </c>
      <c r="H1478" s="15"/>
    </row>
    <row r="1479" ht="13.65" customHeight="1">
      <c r="A1479" s="28"/>
      <c r="B1479" s="28"/>
      <c r="C1479" s="27"/>
      <c r="D1479" s="24"/>
      <c r="E1479" s="27"/>
      <c r="F1479" t="s" s="29">
        <v>118</v>
      </c>
      <c r="G1479" s="197" cm="1">
        <f t="array" ref="G1479">SUM(G1455:G1478)</f>
        <v>19.2463242424242</v>
      </c>
      <c r="H1479" s="15"/>
    </row>
    <row r="1480" ht="13.65" customHeight="1">
      <c r="A1480" s="129"/>
      <c r="B1480" s="129"/>
      <c r="C1480" s="129"/>
      <c r="D1480" s="129"/>
      <c r="E1480" s="129"/>
      <c r="F1480" s="31"/>
      <c r="G1480" s="31"/>
      <c r="H1480" s="3"/>
    </row>
    <row r="1481" ht="11.7" customHeight="1">
      <c r="A1481" t="s" s="167">
        <v>136</v>
      </c>
      <c r="B1481" t="s" s="167">
        <v>281</v>
      </c>
      <c r="C1481" t="s" s="167">
        <v>282</v>
      </c>
      <c r="D1481" t="s" s="168">
        <v>283</v>
      </c>
      <c r="E1481" s="169"/>
      <c r="F1481" s="170"/>
      <c r="G1481" s="171"/>
      <c r="H1481" s="171"/>
    </row>
    <row r="1482" ht="13.65" customHeight="1">
      <c r="A1482" s="23">
        <v>70</v>
      </c>
      <c r="B1482" s="172" cm="1">
        <f t="array" ref="B1482">SUM(H256)</f>
        <v>2.47496540404041</v>
      </c>
      <c r="C1482" s="172" cm="1">
        <f t="array" ref="C1482">SUM(G1479)</f>
        <v>19.2463242424242</v>
      </c>
      <c r="D1482" s="199" cm="1">
        <f t="array" ref="D1482">SUM(A1482*B1482)+(C1482)</f>
        <v>192.493902525253</v>
      </c>
      <c r="E1482" s="200"/>
      <c r="F1482" s="15"/>
      <c r="G1482" s="3"/>
      <c r="H1482" s="3"/>
    </row>
    <row r="1483" ht="13.65" customHeight="1">
      <c r="A1483" s="31"/>
      <c r="B1483" s="31"/>
      <c r="C1483" s="31"/>
      <c r="D1483" s="31"/>
      <c r="E1483" s="31"/>
      <c r="F1483" s="3"/>
      <c r="G1483" s="3"/>
      <c r="H1483" s="3"/>
    </row>
    <row r="1484" ht="13.65" customHeight="1">
      <c r="A1484" s="203"/>
      <c r="B1484" s="203"/>
      <c r="C1484" s="203"/>
      <c r="D1484" s="203"/>
      <c r="E1484" s="203"/>
      <c r="F1484" s="203"/>
      <c r="G1484" s="203"/>
      <c r="H1484" s="203"/>
    </row>
    <row r="1485" ht="13.65" customHeight="1">
      <c r="A1485" t="s" s="274">
        <v>185</v>
      </c>
      <c r="B1485" s="275"/>
      <c r="C1485" s="275"/>
      <c r="D1485" s="275"/>
      <c r="E1485" s="280"/>
      <c r="F1485" s="275"/>
      <c r="G1485" s="275"/>
      <c r="H1485" s="277"/>
    </row>
    <row r="1486" ht="13.65" customHeight="1">
      <c r="A1486" s="278"/>
      <c r="B1486" s="278"/>
      <c r="C1486" s="278"/>
      <c r="D1486" s="278"/>
      <c r="E1486" s="278"/>
      <c r="F1486" s="278"/>
      <c r="G1486" s="278"/>
      <c r="H1486" s="278"/>
    </row>
    <row r="1487" ht="13.65" customHeight="1">
      <c r="A1487" s="3"/>
      <c r="B1487" s="3"/>
      <c r="C1487" s="3"/>
      <c r="D1487" s="3"/>
      <c r="E1487" s="3"/>
      <c r="F1487" s="3"/>
      <c r="G1487" s="3"/>
      <c r="H1487" s="3"/>
    </row>
    <row r="1488" ht="13.65" customHeight="1">
      <c r="A1488" t="s" s="5">
        <v>530</v>
      </c>
      <c r="B1488" s="3"/>
      <c r="C1488" s="3"/>
      <c r="D1488" s="3"/>
      <c r="E1488" s="3"/>
      <c r="F1488" s="3"/>
      <c r="G1488" s="3"/>
      <c r="H1488" s="3"/>
    </row>
    <row r="1489" ht="13.65" customHeight="1">
      <c r="A1489" s="11"/>
      <c r="B1489" s="11"/>
      <c r="C1489" s="11"/>
      <c r="D1489" s="11"/>
      <c r="E1489" s="11"/>
      <c r="F1489" s="11"/>
      <c r="G1489" s="11"/>
      <c r="H1489" s="3"/>
    </row>
    <row r="1490" ht="13.65" customHeight="1">
      <c r="A1490" s="12"/>
      <c r="B1490" s="12"/>
      <c r="C1490" s="13"/>
      <c r="D1490" s="14"/>
      <c r="E1490" s="13"/>
      <c r="F1490" s="13"/>
      <c r="G1490" t="s" s="14">
        <v>252</v>
      </c>
      <c r="H1490" s="150"/>
    </row>
    <row r="1491" ht="13.65" customHeight="1">
      <c r="A1491" t="s" s="16">
        <v>93</v>
      </c>
      <c r="B1491" t="s" s="16">
        <v>94</v>
      </c>
      <c r="C1491" t="s" s="16">
        <v>95</v>
      </c>
      <c r="D1491" t="s" s="16">
        <v>96</v>
      </c>
      <c r="E1491" t="s" s="16">
        <v>97</v>
      </c>
      <c r="F1491" t="s" s="16">
        <v>98</v>
      </c>
      <c r="G1491" t="s" s="16">
        <v>99</v>
      </c>
      <c r="H1491" s="15"/>
    </row>
    <row r="1492" ht="13.65" customHeight="1">
      <c r="A1492" s="151"/>
      <c r="B1492" s="151"/>
      <c r="C1492" s="19"/>
      <c r="D1492" s="20"/>
      <c r="E1492" s="19"/>
      <c r="F1492" s="19"/>
      <c r="G1492" t="s" s="20">
        <v>100</v>
      </c>
      <c r="H1492" s="15"/>
    </row>
    <row r="1493" ht="13.65" customHeight="1">
      <c r="A1493" s="21">
        <v>72</v>
      </c>
      <c r="B1493" t="s" s="22">
        <v>101</v>
      </c>
      <c r="C1493" s="23">
        <v>50</v>
      </c>
      <c r="D1493" t="s" s="24">
        <v>102</v>
      </c>
      <c r="E1493" s="25">
        <v>1.93</v>
      </c>
      <c r="F1493" s="23">
        <v>25</v>
      </c>
      <c r="G1493" s="152" cm="1">
        <f t="array" ref="G1493">SUM(E1493/F1493)</f>
        <v>0.0772</v>
      </c>
      <c r="H1493" s="15"/>
    </row>
    <row r="1494" ht="13.65" customHeight="1">
      <c r="A1494" s="21">
        <v>123</v>
      </c>
      <c r="B1494" t="s" s="22">
        <v>103</v>
      </c>
      <c r="C1494" s="23">
        <v>40</v>
      </c>
      <c r="D1494" t="s" s="24">
        <v>104</v>
      </c>
      <c r="E1494" s="25">
        <v>3.2</v>
      </c>
      <c r="F1494" s="23">
        <v>40</v>
      </c>
      <c r="G1494" s="152" cm="1">
        <f t="array" ref="G1494">SUM(E1494/F1494)</f>
        <v>0.08</v>
      </c>
      <c r="H1494" s="15"/>
    </row>
    <row r="1495" ht="13.65" customHeight="1">
      <c r="A1495" s="21">
        <v>86</v>
      </c>
      <c r="B1495" t="s" s="22">
        <v>107</v>
      </c>
      <c r="C1495" t="s" s="24">
        <v>108</v>
      </c>
      <c r="D1495" t="s" s="24">
        <v>102</v>
      </c>
      <c r="E1495" s="25">
        <v>0.32</v>
      </c>
      <c r="F1495" t="s" s="24">
        <v>387</v>
      </c>
      <c r="G1495" s="152" cm="1">
        <f t="array" ref="G1495">SUM(E1495*2)</f>
        <v>0.64</v>
      </c>
      <c r="H1495" s="15"/>
    </row>
    <row r="1496" ht="13.65" customHeight="1">
      <c r="A1496" s="21">
        <v>71</v>
      </c>
      <c r="B1496" t="s" s="22">
        <v>109</v>
      </c>
      <c r="C1496" s="23">
        <v>10</v>
      </c>
      <c r="D1496" t="s" s="24">
        <v>102</v>
      </c>
      <c r="E1496" s="25">
        <v>5.92</v>
      </c>
      <c r="F1496" s="23">
        <v>5</v>
      </c>
      <c r="G1496" s="152" cm="1">
        <f t="array" ref="G1496">SUM(E1496/F1496)</f>
        <v>1.184</v>
      </c>
      <c r="H1496" s="15"/>
    </row>
    <row r="1497" ht="13.65" customHeight="1">
      <c r="A1497" s="21">
        <v>87</v>
      </c>
      <c r="B1497" t="s" s="22">
        <v>110</v>
      </c>
      <c r="C1497" s="23">
        <v>50</v>
      </c>
      <c r="D1497" t="s" s="24">
        <v>102</v>
      </c>
      <c r="E1497" s="25">
        <v>9</v>
      </c>
      <c r="F1497" s="23">
        <v>25</v>
      </c>
      <c r="G1497" s="152" cm="1">
        <f t="array" ref="G1497">SUM(E1497/F1497)</f>
        <v>0.36</v>
      </c>
      <c r="H1497" s="15"/>
    </row>
    <row r="1498" ht="13.65" customHeight="1">
      <c r="A1498" s="21">
        <v>55</v>
      </c>
      <c r="B1498" t="s" s="22">
        <v>111</v>
      </c>
      <c r="C1498" t="s" s="24">
        <v>112</v>
      </c>
      <c r="D1498" t="s" s="24">
        <v>113</v>
      </c>
      <c r="E1498" s="25">
        <v>2.71</v>
      </c>
      <c r="F1498" s="23">
        <v>75</v>
      </c>
      <c r="G1498" s="152" cm="1">
        <f t="array" ref="G1498">SUM(E1498/F1498)</f>
        <v>0.0361333333333333</v>
      </c>
      <c r="H1498" s="15"/>
    </row>
    <row r="1499" ht="13.65" customHeight="1">
      <c r="A1499" s="21">
        <v>24</v>
      </c>
      <c r="B1499" t="s" s="22">
        <v>531</v>
      </c>
      <c r="C1499" s="23">
        <v>10</v>
      </c>
      <c r="D1499" t="s" s="24">
        <v>104</v>
      </c>
      <c r="E1499" s="25">
        <v>9.6</v>
      </c>
      <c r="F1499" s="23">
        <v>10</v>
      </c>
      <c r="G1499" s="152" cm="1">
        <f t="array" ref="G1499">SUM(E1499/F1499)</f>
        <v>0.96</v>
      </c>
      <c r="H1499" s="15"/>
    </row>
    <row r="1500" ht="13.65" customHeight="1">
      <c r="A1500" s="21">
        <v>124</v>
      </c>
      <c r="B1500" t="s" s="22">
        <v>532</v>
      </c>
      <c r="C1500" s="23">
        <v>1</v>
      </c>
      <c r="D1500" t="s" s="24">
        <v>373</v>
      </c>
      <c r="E1500" s="25">
        <v>2.2</v>
      </c>
      <c r="F1500" s="23">
        <v>15</v>
      </c>
      <c r="G1500" s="152" cm="1">
        <f t="array" ref="G1500">SUM(E1500/F1500)</f>
        <v>0.146666666666667</v>
      </c>
      <c r="H1500" s="15"/>
    </row>
    <row r="1501" ht="13.65" customHeight="1">
      <c r="A1501" s="21">
        <v>10</v>
      </c>
      <c r="B1501" t="s" s="22">
        <v>395</v>
      </c>
      <c r="C1501" t="s" s="24">
        <v>396</v>
      </c>
      <c r="D1501" t="s" s="24">
        <v>397</v>
      </c>
      <c r="E1501" s="25">
        <v>3.92</v>
      </c>
      <c r="F1501" s="23">
        <v>50</v>
      </c>
      <c r="G1501" s="152" cm="1">
        <f t="array" ref="G1501">SUM(E1501/F1501)</f>
        <v>0.0784</v>
      </c>
      <c r="H1501" s="15"/>
    </row>
    <row r="1502" ht="13.65" customHeight="1">
      <c r="A1502" s="21">
        <v>9</v>
      </c>
      <c r="B1502" t="s" s="22">
        <v>398</v>
      </c>
      <c r="C1502" s="23">
        <v>50</v>
      </c>
      <c r="D1502" t="s" s="24">
        <v>104</v>
      </c>
      <c r="E1502" s="25">
        <v>14</v>
      </c>
      <c r="F1502" s="23">
        <v>50</v>
      </c>
      <c r="G1502" s="152" cm="1">
        <f t="array" ref="G1502">SUM(E1502/F1502)</f>
        <v>0.28</v>
      </c>
      <c r="H1502" s="15"/>
    </row>
    <row r="1503" ht="13.65" customHeight="1">
      <c r="A1503" s="21">
        <v>6</v>
      </c>
      <c r="B1503" t="s" s="22">
        <v>399</v>
      </c>
      <c r="C1503" s="23">
        <v>100</v>
      </c>
      <c r="D1503" t="s" s="24">
        <v>104</v>
      </c>
      <c r="E1503" s="25">
        <v>19</v>
      </c>
      <c r="F1503" s="23">
        <v>100</v>
      </c>
      <c r="G1503" s="152" cm="1">
        <f t="array" ref="G1503">SUM(E1503/F1503)</f>
        <v>0.19</v>
      </c>
      <c r="H1503" s="15"/>
    </row>
    <row r="1504" ht="13.65" customHeight="1">
      <c r="A1504" s="21">
        <v>103</v>
      </c>
      <c r="B1504" t="s" s="22">
        <v>533</v>
      </c>
      <c r="C1504" s="23">
        <v>144</v>
      </c>
      <c r="D1504" t="s" s="24">
        <v>104</v>
      </c>
      <c r="E1504" s="25">
        <v>18</v>
      </c>
      <c r="F1504" s="23">
        <v>144</v>
      </c>
      <c r="G1504" s="152" cm="1">
        <f t="array" ref="G1504">SUM(E1504/F1504)</f>
        <v>0.125</v>
      </c>
      <c r="H1504" s="15"/>
    </row>
    <row r="1505" ht="13.65" customHeight="1">
      <c r="A1505" s="21">
        <v>79</v>
      </c>
      <c r="B1505" t="s" s="22">
        <v>439</v>
      </c>
      <c r="C1505" s="23">
        <v>20</v>
      </c>
      <c r="D1505" t="s" s="24">
        <v>104</v>
      </c>
      <c r="E1505" s="25">
        <v>25</v>
      </c>
      <c r="F1505" s="23">
        <v>20</v>
      </c>
      <c r="G1505" s="152" cm="1">
        <f t="array" ref="G1505">SUM(E1505/F1505)</f>
        <v>1.25</v>
      </c>
      <c r="H1505" s="15"/>
    </row>
    <row r="1506" ht="13.65" customHeight="1">
      <c r="A1506" s="21">
        <v>11</v>
      </c>
      <c r="B1506" t="s" s="22">
        <v>534</v>
      </c>
      <c r="C1506" t="s" s="24">
        <v>441</v>
      </c>
      <c r="D1506" t="s" s="24">
        <v>442</v>
      </c>
      <c r="E1506" s="25">
        <v>49</v>
      </c>
      <c r="F1506" s="23">
        <v>44</v>
      </c>
      <c r="G1506" s="152" cm="1">
        <f t="array" ref="G1506">SUM(E1506/F1506)</f>
        <v>1.11363636363636</v>
      </c>
      <c r="H1506" s="15"/>
    </row>
    <row r="1507" ht="13.65" customHeight="1">
      <c r="A1507" s="21">
        <v>19</v>
      </c>
      <c r="B1507" t="s" s="22">
        <v>437</v>
      </c>
      <c r="C1507" s="23">
        <v>1</v>
      </c>
      <c r="D1507" t="s" s="24">
        <v>116</v>
      </c>
      <c r="E1507" s="25">
        <v>5.2</v>
      </c>
      <c r="F1507" s="23">
        <v>10</v>
      </c>
      <c r="G1507" s="152" cm="1">
        <f t="array" ref="G1507">SUM(E1507/F1507)</f>
        <v>0.52</v>
      </c>
      <c r="H1507" s="15"/>
    </row>
    <row r="1508" ht="13.65" customHeight="1">
      <c r="A1508" s="21">
        <v>128</v>
      </c>
      <c r="B1508" t="s" s="22">
        <v>535</v>
      </c>
      <c r="C1508" s="23">
        <v>50</v>
      </c>
      <c r="D1508" t="s" s="24">
        <v>104</v>
      </c>
      <c r="E1508" s="25">
        <v>4.5</v>
      </c>
      <c r="F1508" s="23">
        <v>50</v>
      </c>
      <c r="G1508" s="152" cm="1">
        <f t="array" ref="G1508">SUM(E1508/F1508)</f>
        <v>0.09</v>
      </c>
      <c r="H1508" s="15"/>
    </row>
    <row r="1509" ht="13.65" customHeight="1">
      <c r="A1509" s="21">
        <v>19</v>
      </c>
      <c r="B1509" t="s" s="22">
        <v>445</v>
      </c>
      <c r="C1509" s="23">
        <v>2</v>
      </c>
      <c r="D1509" t="s" s="24">
        <v>495</v>
      </c>
      <c r="E1509" s="25">
        <v>5.2</v>
      </c>
      <c r="F1509" s="23">
        <v>20</v>
      </c>
      <c r="G1509" s="152" cm="1">
        <f t="array" ref="G1509">SUM(E1509/F1509)</f>
        <v>0.26</v>
      </c>
      <c r="H1509" s="15"/>
    </row>
    <row r="1510" ht="13.65" customHeight="1">
      <c r="A1510" s="21">
        <v>113</v>
      </c>
      <c r="B1510" t="s" s="22">
        <v>536</v>
      </c>
      <c r="C1510" t="s" s="24">
        <v>537</v>
      </c>
      <c r="D1510" t="s" s="24">
        <v>518</v>
      </c>
      <c r="E1510" s="25">
        <v>61</v>
      </c>
      <c r="F1510" s="23">
        <v>40</v>
      </c>
      <c r="G1510" s="152" cm="1">
        <f t="array" ref="G1510">SUM(E1510/F1510)</f>
        <v>1.525</v>
      </c>
      <c r="H1510" s="15"/>
    </row>
    <row r="1511" ht="13.65" customHeight="1">
      <c r="A1511" s="21">
        <v>4</v>
      </c>
      <c r="B1511" t="s" s="22">
        <v>512</v>
      </c>
      <c r="C1511" t="s" s="24">
        <v>538</v>
      </c>
      <c r="D1511" t="s" s="24">
        <v>508</v>
      </c>
      <c r="E1511" s="25">
        <v>64</v>
      </c>
      <c r="F1511" s="23">
        <v>80</v>
      </c>
      <c r="G1511" s="152" cm="1">
        <f t="array" ref="G1511">SUM(E1511/F1511)</f>
        <v>0.8</v>
      </c>
      <c r="H1511" s="15"/>
    </row>
    <row r="1512" ht="13.65" customHeight="1">
      <c r="A1512" s="21">
        <v>121</v>
      </c>
      <c r="B1512" t="s" s="22">
        <v>539</v>
      </c>
      <c r="C1512" t="s" s="24">
        <v>538</v>
      </c>
      <c r="D1512" t="s" s="24">
        <v>540</v>
      </c>
      <c r="E1512" s="25">
        <v>132</v>
      </c>
      <c r="F1512" s="23">
        <v>200</v>
      </c>
      <c r="G1512" s="152" cm="1">
        <f t="array" ref="G1512">SUM(E1512/F1512)</f>
        <v>0.66</v>
      </c>
      <c r="H1512" s="15"/>
    </row>
    <row r="1513" ht="13.65" customHeight="1">
      <c r="A1513" s="21">
        <v>132</v>
      </c>
      <c r="B1513" t="s" s="22">
        <v>515</v>
      </c>
      <c r="C1513" t="s" s="24">
        <v>408</v>
      </c>
      <c r="D1513" t="s" s="24">
        <v>516</v>
      </c>
      <c r="E1513" s="25">
        <v>18.4</v>
      </c>
      <c r="F1513" s="23">
        <v>10</v>
      </c>
      <c r="G1513" s="152" cm="1">
        <f t="array" ref="G1513">SUM(E1513/F1513)</f>
        <v>1.84</v>
      </c>
      <c r="H1513" s="15"/>
    </row>
    <row r="1514" ht="13.65" customHeight="1">
      <c r="A1514" s="21">
        <v>134</v>
      </c>
      <c r="B1514" t="s" s="22">
        <v>541</v>
      </c>
      <c r="C1514" s="23">
        <v>7</v>
      </c>
      <c r="D1514" t="s" s="24">
        <v>542</v>
      </c>
      <c r="E1514" s="25">
        <v>52</v>
      </c>
      <c r="F1514" s="23">
        <v>14</v>
      </c>
      <c r="G1514" s="152" cm="1">
        <f t="array" ref="G1514">SUM(E1514/F1514)</f>
        <v>3.71428571428571</v>
      </c>
      <c r="H1514" s="15"/>
    </row>
    <row r="1515" ht="13.65" customHeight="1">
      <c r="A1515" s="28"/>
      <c r="B1515" s="28"/>
      <c r="C1515" s="27"/>
      <c r="D1515" s="24"/>
      <c r="E1515" s="27"/>
      <c r="F1515" t="s" s="29">
        <v>118</v>
      </c>
      <c r="G1515" s="197" cm="1">
        <f t="array" ref="G1515">SUM(G1493:G1514)</f>
        <v>15.9303220779221</v>
      </c>
      <c r="H1515" s="15"/>
    </row>
    <row r="1516" ht="13.65" customHeight="1">
      <c r="A1516" s="129"/>
      <c r="B1516" s="129"/>
      <c r="C1516" s="129"/>
      <c r="D1516" s="129"/>
      <c r="E1516" s="129"/>
      <c r="F1516" s="31"/>
      <c r="G1516" s="31"/>
      <c r="H1516" s="3"/>
    </row>
    <row r="1517" ht="11.7" customHeight="1">
      <c r="A1517" t="s" s="167">
        <v>136</v>
      </c>
      <c r="B1517" t="s" s="167">
        <v>281</v>
      </c>
      <c r="C1517" t="s" s="167">
        <v>282</v>
      </c>
      <c r="D1517" t="s" s="168">
        <v>283</v>
      </c>
      <c r="E1517" s="169"/>
      <c r="F1517" s="170"/>
      <c r="G1517" s="171"/>
      <c r="H1517" s="171"/>
    </row>
    <row r="1518" ht="13.65" customHeight="1">
      <c r="A1518" s="23">
        <v>40</v>
      </c>
      <c r="B1518" s="172" cm="1">
        <f t="array" ref="B1518">SUM(H256)</f>
        <v>2.47496540404041</v>
      </c>
      <c r="C1518" s="172" cm="1">
        <f t="array" ref="C1518">SUM(G1515)</f>
        <v>15.9303220779221</v>
      </c>
      <c r="D1518" s="199" cm="1">
        <f t="array" ref="D1518">SUM(A1518*B1518)+(C1518)</f>
        <v>114.928938239539</v>
      </c>
      <c r="E1518" s="200"/>
      <c r="F1518" s="15"/>
      <c r="G1518" s="3"/>
      <c r="H1518" s="3"/>
    </row>
    <row r="1519" ht="13.65" customHeight="1">
      <c r="A1519" s="31"/>
      <c r="B1519" s="31"/>
      <c r="C1519" s="31"/>
      <c r="D1519" s="31"/>
      <c r="E1519" s="31"/>
      <c r="F1519" s="3"/>
      <c r="G1519" s="3"/>
      <c r="H1519" s="3"/>
    </row>
    <row r="1520" ht="13.65" customHeight="1">
      <c r="A1520" s="203"/>
      <c r="B1520" s="203"/>
      <c r="C1520" s="203"/>
      <c r="D1520" s="203"/>
      <c r="E1520" s="203"/>
      <c r="F1520" s="203"/>
      <c r="G1520" s="203"/>
      <c r="H1520" s="203"/>
    </row>
    <row r="1521" ht="13.65" customHeight="1">
      <c r="A1521" t="s" s="274">
        <v>284</v>
      </c>
      <c r="B1521" s="275"/>
      <c r="C1521" s="275"/>
      <c r="D1521" s="275"/>
      <c r="E1521" s="280"/>
      <c r="F1521" s="275"/>
      <c r="G1521" s="275"/>
      <c r="H1521" s="277"/>
    </row>
    <row r="1522" ht="13.65" customHeight="1">
      <c r="A1522" s="278"/>
      <c r="B1522" s="278"/>
      <c r="C1522" s="278"/>
      <c r="D1522" s="278"/>
      <c r="E1522" s="278"/>
      <c r="F1522" s="278"/>
      <c r="G1522" s="278"/>
      <c r="H1522" s="278"/>
    </row>
    <row r="1523" ht="13.65" customHeight="1">
      <c r="A1523" s="3"/>
      <c r="B1523" s="3"/>
      <c r="C1523" s="3"/>
      <c r="D1523" s="3"/>
      <c r="E1523" s="3"/>
      <c r="F1523" s="3"/>
      <c r="G1523" s="3"/>
      <c r="H1523" s="3"/>
    </row>
    <row r="1524" ht="13.65" customHeight="1">
      <c r="A1524" t="s" s="5">
        <v>543</v>
      </c>
      <c r="B1524" s="3"/>
      <c r="C1524" s="3"/>
      <c r="D1524" s="3"/>
      <c r="E1524" s="3"/>
      <c r="F1524" s="3"/>
      <c r="G1524" s="3"/>
      <c r="H1524" s="3"/>
    </row>
    <row r="1525" ht="13.65" customHeight="1">
      <c r="A1525" s="11"/>
      <c r="B1525" s="11"/>
      <c r="C1525" s="11"/>
      <c r="D1525" s="11"/>
      <c r="E1525" s="11"/>
      <c r="F1525" s="11"/>
      <c r="G1525" s="11"/>
      <c r="H1525" s="3"/>
    </row>
    <row r="1526" ht="13.65" customHeight="1">
      <c r="A1526" s="12"/>
      <c r="B1526" s="12"/>
      <c r="C1526" s="13"/>
      <c r="D1526" s="14"/>
      <c r="E1526" s="13"/>
      <c r="F1526" s="13"/>
      <c r="G1526" t="s" s="14">
        <v>252</v>
      </c>
      <c r="H1526" s="150"/>
    </row>
    <row r="1527" ht="13.65" customHeight="1">
      <c r="A1527" t="s" s="16">
        <v>93</v>
      </c>
      <c r="B1527" t="s" s="16">
        <v>94</v>
      </c>
      <c r="C1527" t="s" s="16">
        <v>95</v>
      </c>
      <c r="D1527" t="s" s="16">
        <v>96</v>
      </c>
      <c r="E1527" t="s" s="16">
        <v>97</v>
      </c>
      <c r="F1527" t="s" s="16">
        <v>98</v>
      </c>
      <c r="G1527" t="s" s="16">
        <v>99</v>
      </c>
      <c r="H1527" s="15"/>
    </row>
    <row r="1528" ht="13.65" customHeight="1">
      <c r="A1528" s="151"/>
      <c r="B1528" s="151"/>
      <c r="C1528" s="19"/>
      <c r="D1528" s="20"/>
      <c r="E1528" s="19"/>
      <c r="F1528" s="19"/>
      <c r="G1528" t="s" s="20">
        <v>100</v>
      </c>
      <c r="H1528" s="15"/>
    </row>
    <row r="1529" ht="13.65" customHeight="1">
      <c r="A1529" s="21">
        <v>72</v>
      </c>
      <c r="B1529" t="s" s="22">
        <v>101</v>
      </c>
      <c r="C1529" s="23">
        <v>50</v>
      </c>
      <c r="D1529" t="s" s="24">
        <v>102</v>
      </c>
      <c r="E1529" s="25">
        <v>1.93</v>
      </c>
      <c r="F1529" s="23">
        <v>25</v>
      </c>
      <c r="G1529" s="152" cm="1">
        <f t="array" ref="G1529">SUM(E1529/F1529)</f>
        <v>0.0772</v>
      </c>
      <c r="H1529" s="15"/>
    </row>
    <row r="1530" ht="13.65" customHeight="1">
      <c r="A1530" s="21">
        <v>123</v>
      </c>
      <c r="B1530" t="s" s="22">
        <v>103</v>
      </c>
      <c r="C1530" s="23">
        <v>40</v>
      </c>
      <c r="D1530" t="s" s="24">
        <v>104</v>
      </c>
      <c r="E1530" s="25">
        <v>3.2</v>
      </c>
      <c r="F1530" s="23">
        <v>40</v>
      </c>
      <c r="G1530" s="152" cm="1">
        <f t="array" ref="G1530">SUM(E1530/F1530)</f>
        <v>0.08</v>
      </c>
      <c r="H1530" s="15"/>
    </row>
    <row r="1531" ht="13.65" customHeight="1">
      <c r="A1531" s="21">
        <v>57</v>
      </c>
      <c r="B1531" t="s" s="22">
        <v>253</v>
      </c>
      <c r="C1531" t="s" s="24">
        <v>254</v>
      </c>
      <c r="D1531" t="s" s="24">
        <v>371</v>
      </c>
      <c r="E1531" s="25">
        <v>4.5</v>
      </c>
      <c r="F1531" s="23">
        <v>33</v>
      </c>
      <c r="G1531" s="152" cm="1">
        <f t="array" ref="G1531">SUM(E1531/F1531)</f>
        <v>0.136363636363636</v>
      </c>
      <c r="H1531" s="15"/>
    </row>
    <row r="1532" ht="13.65" customHeight="1">
      <c r="A1532" s="21">
        <v>86</v>
      </c>
      <c r="B1532" t="s" s="22">
        <v>107</v>
      </c>
      <c r="C1532" t="s" s="24">
        <v>108</v>
      </c>
      <c r="D1532" t="s" s="24">
        <v>102</v>
      </c>
      <c r="E1532" s="25">
        <v>0.32</v>
      </c>
      <c r="F1532" t="s" s="24">
        <v>387</v>
      </c>
      <c r="G1532" s="152" cm="1">
        <f t="array" ref="G1532">SUM(E1532*2)</f>
        <v>0.64</v>
      </c>
      <c r="H1532" s="15"/>
    </row>
    <row r="1533" ht="13.65" customHeight="1">
      <c r="A1533" s="21">
        <v>71</v>
      </c>
      <c r="B1533" t="s" s="22">
        <v>109</v>
      </c>
      <c r="C1533" s="23">
        <v>10</v>
      </c>
      <c r="D1533" t="s" s="24">
        <v>102</v>
      </c>
      <c r="E1533" s="25">
        <v>5.92</v>
      </c>
      <c r="F1533" s="23">
        <v>5</v>
      </c>
      <c r="G1533" s="152" cm="1">
        <f t="array" ref="G1533">SUM(E1533/F1533)</f>
        <v>1.184</v>
      </c>
      <c r="H1533" s="15"/>
    </row>
    <row r="1534" ht="13.65" customHeight="1">
      <c r="A1534" s="21">
        <v>87</v>
      </c>
      <c r="B1534" t="s" s="22">
        <v>110</v>
      </c>
      <c r="C1534" s="23">
        <v>50</v>
      </c>
      <c r="D1534" t="s" s="24">
        <v>102</v>
      </c>
      <c r="E1534" s="25">
        <v>9</v>
      </c>
      <c r="F1534" s="23">
        <v>25</v>
      </c>
      <c r="G1534" s="152" cm="1">
        <f t="array" ref="G1534">SUM(E1534/F1534)</f>
        <v>0.36</v>
      </c>
      <c r="H1534" s="15"/>
    </row>
    <row r="1535" ht="13.65" customHeight="1">
      <c r="A1535" s="21">
        <v>55</v>
      </c>
      <c r="B1535" t="s" s="22">
        <v>111</v>
      </c>
      <c r="C1535" t="s" s="24">
        <v>112</v>
      </c>
      <c r="D1535" t="s" s="24">
        <v>113</v>
      </c>
      <c r="E1535" s="25">
        <v>2.71</v>
      </c>
      <c r="F1535" s="23">
        <v>75</v>
      </c>
      <c r="G1535" s="152" cm="1">
        <f t="array" ref="G1535">SUM(E1535/F1535)</f>
        <v>0.0361333333333333</v>
      </c>
      <c r="H1535" s="15"/>
    </row>
    <row r="1536" ht="13.65" customHeight="1">
      <c r="A1536" s="21">
        <v>24</v>
      </c>
      <c r="B1536" t="s" s="22">
        <v>531</v>
      </c>
      <c r="C1536" s="23">
        <v>10</v>
      </c>
      <c r="D1536" t="s" s="24">
        <v>104</v>
      </c>
      <c r="E1536" s="25">
        <v>9.6</v>
      </c>
      <c r="F1536" s="23">
        <v>10</v>
      </c>
      <c r="G1536" s="152" cm="1">
        <f t="array" ref="G1536">SUM(E1536/F1536)</f>
        <v>0.96</v>
      </c>
      <c r="H1536" s="15"/>
    </row>
    <row r="1537" ht="13.65" customHeight="1">
      <c r="A1537" s="21">
        <v>124</v>
      </c>
      <c r="B1537" t="s" s="22">
        <v>532</v>
      </c>
      <c r="C1537" s="23">
        <v>1</v>
      </c>
      <c r="D1537" t="s" s="24">
        <v>373</v>
      </c>
      <c r="E1537" s="25">
        <v>2.2</v>
      </c>
      <c r="F1537" s="23">
        <v>15</v>
      </c>
      <c r="G1537" s="152" cm="1">
        <f t="array" ref="G1537">SUM(E1537/F1537)</f>
        <v>0.146666666666667</v>
      </c>
      <c r="H1537" s="15"/>
    </row>
    <row r="1538" ht="13.65" customHeight="1">
      <c r="A1538" s="21">
        <v>10</v>
      </c>
      <c r="B1538" t="s" s="22">
        <v>395</v>
      </c>
      <c r="C1538" t="s" s="24">
        <v>396</v>
      </c>
      <c r="D1538" t="s" s="24">
        <v>397</v>
      </c>
      <c r="E1538" s="25">
        <v>3.92</v>
      </c>
      <c r="F1538" s="23">
        <v>50</v>
      </c>
      <c r="G1538" s="152" cm="1">
        <f t="array" ref="G1538">SUM(E1538/F1538)</f>
        <v>0.0784</v>
      </c>
      <c r="H1538" s="15"/>
    </row>
    <row r="1539" ht="13.65" customHeight="1">
      <c r="A1539" s="21">
        <v>9</v>
      </c>
      <c r="B1539" t="s" s="22">
        <v>398</v>
      </c>
      <c r="C1539" s="23">
        <v>50</v>
      </c>
      <c r="D1539" t="s" s="24">
        <v>104</v>
      </c>
      <c r="E1539" s="25">
        <v>14</v>
      </c>
      <c r="F1539" s="23">
        <v>50</v>
      </c>
      <c r="G1539" s="152" cm="1">
        <f t="array" ref="G1539">SUM(E1539/F1539)</f>
        <v>0.28</v>
      </c>
      <c r="H1539" s="15"/>
    </row>
    <row r="1540" ht="13.65" customHeight="1">
      <c r="A1540" s="21">
        <v>6</v>
      </c>
      <c r="B1540" t="s" s="22">
        <v>399</v>
      </c>
      <c r="C1540" s="23">
        <v>100</v>
      </c>
      <c r="D1540" t="s" s="24">
        <v>104</v>
      </c>
      <c r="E1540" s="25">
        <v>19</v>
      </c>
      <c r="F1540" s="23">
        <v>100</v>
      </c>
      <c r="G1540" s="152" cm="1">
        <f t="array" ref="G1540">SUM(E1540/F1540)</f>
        <v>0.19</v>
      </c>
      <c r="H1540" s="15"/>
    </row>
    <row r="1541" ht="13.65" customHeight="1">
      <c r="A1541" s="21">
        <v>103</v>
      </c>
      <c r="B1541" t="s" s="22">
        <v>114</v>
      </c>
      <c r="C1541" s="23">
        <v>144</v>
      </c>
      <c r="D1541" t="s" s="24">
        <v>104</v>
      </c>
      <c r="E1541" s="25">
        <v>18</v>
      </c>
      <c r="F1541" s="23">
        <v>144</v>
      </c>
      <c r="G1541" s="152" cm="1">
        <f t="array" ref="G1541">SUM(E1541/F1541)</f>
        <v>0.125</v>
      </c>
      <c r="H1541" s="15"/>
    </row>
    <row r="1542" ht="13.65" customHeight="1">
      <c r="A1542" s="21">
        <v>79</v>
      </c>
      <c r="B1542" t="s" s="22">
        <v>439</v>
      </c>
      <c r="C1542" s="23">
        <v>20</v>
      </c>
      <c r="D1542" t="s" s="24">
        <v>104</v>
      </c>
      <c r="E1542" s="25">
        <v>25</v>
      </c>
      <c r="F1542" s="23">
        <v>20</v>
      </c>
      <c r="G1542" s="152" cm="1">
        <f t="array" ref="G1542">SUM(E1542/F1542)</f>
        <v>1.25</v>
      </c>
      <c r="H1542" s="15"/>
    </row>
    <row r="1543" ht="13.65" customHeight="1">
      <c r="A1543" s="21">
        <v>11</v>
      </c>
      <c r="B1543" t="s" s="22">
        <v>544</v>
      </c>
      <c r="C1543" t="s" s="24">
        <v>441</v>
      </c>
      <c r="D1543" t="s" s="24">
        <v>442</v>
      </c>
      <c r="E1543" s="25">
        <v>49</v>
      </c>
      <c r="F1543" s="23">
        <v>44</v>
      </c>
      <c r="G1543" s="152" cm="1">
        <f t="array" ref="G1543">SUM(E1543/F1543)</f>
        <v>1.11363636363636</v>
      </c>
      <c r="H1543" s="15"/>
    </row>
    <row r="1544" ht="13.65" customHeight="1">
      <c r="A1544" s="21">
        <v>19</v>
      </c>
      <c r="B1544" t="s" s="22">
        <v>437</v>
      </c>
      <c r="C1544" s="23">
        <v>1</v>
      </c>
      <c r="D1544" t="s" s="24">
        <v>116</v>
      </c>
      <c r="E1544" s="25">
        <v>5.2</v>
      </c>
      <c r="F1544" s="23">
        <v>10</v>
      </c>
      <c r="G1544" s="152" cm="1">
        <f t="array" ref="G1544">SUM(E1544/F1544)</f>
        <v>0.52</v>
      </c>
      <c r="H1544" s="15"/>
    </row>
    <row r="1545" ht="13.65" customHeight="1">
      <c r="A1545" s="21">
        <v>106</v>
      </c>
      <c r="B1545" t="s" s="22">
        <v>428</v>
      </c>
      <c r="C1545" s="23">
        <v>20</v>
      </c>
      <c r="D1545" t="s" s="24">
        <v>104</v>
      </c>
      <c r="E1545" s="25">
        <v>41.91</v>
      </c>
      <c r="F1545" s="23">
        <v>20</v>
      </c>
      <c r="G1545" s="152" cm="1">
        <f t="array" ref="G1545">SUM(E1545/F1545)</f>
        <v>2.0955</v>
      </c>
      <c r="H1545" s="15"/>
    </row>
    <row r="1546" ht="13.65" customHeight="1">
      <c r="A1546" s="21">
        <v>19</v>
      </c>
      <c r="B1546" t="s" s="22">
        <v>445</v>
      </c>
      <c r="C1546" s="23">
        <v>2</v>
      </c>
      <c r="D1546" t="s" s="24">
        <v>495</v>
      </c>
      <c r="E1546" s="25">
        <v>5.2</v>
      </c>
      <c r="F1546" s="23">
        <v>20</v>
      </c>
      <c r="G1546" s="152" cm="1">
        <f t="array" ref="G1546">SUM(E1546/F1546)</f>
        <v>0.26</v>
      </c>
      <c r="H1546" s="15"/>
    </row>
    <row r="1547" ht="13.65" customHeight="1">
      <c r="A1547" s="21">
        <v>113</v>
      </c>
      <c r="B1547" t="s" s="22">
        <v>536</v>
      </c>
      <c r="C1547" t="s" s="24">
        <v>537</v>
      </c>
      <c r="D1547" t="s" s="24">
        <v>401</v>
      </c>
      <c r="E1547" s="25">
        <v>61</v>
      </c>
      <c r="F1547" s="23">
        <v>30</v>
      </c>
      <c r="G1547" s="152" cm="1">
        <f t="array" ref="G1547">SUM(E1547/F1547)</f>
        <v>2.03333333333333</v>
      </c>
      <c r="H1547" s="15"/>
    </row>
    <row r="1548" ht="13.65" customHeight="1">
      <c r="A1548" s="21">
        <v>128</v>
      </c>
      <c r="B1548" t="s" s="22">
        <v>545</v>
      </c>
      <c r="C1548" s="23">
        <v>50</v>
      </c>
      <c r="D1548" t="s" s="24">
        <v>104</v>
      </c>
      <c r="E1548" s="25">
        <v>4.5</v>
      </c>
      <c r="F1548" s="23">
        <v>50</v>
      </c>
      <c r="G1548" s="152" cm="1">
        <f t="array" ref="G1548">SUM(E1548/F1548)</f>
        <v>0.09</v>
      </c>
      <c r="H1548" s="15"/>
    </row>
    <row r="1549" ht="13.65" customHeight="1">
      <c r="A1549" s="21">
        <v>43</v>
      </c>
      <c r="B1549" t="s" s="22">
        <v>546</v>
      </c>
      <c r="C1549" s="23">
        <v>20</v>
      </c>
      <c r="D1549" t="s" s="24">
        <v>547</v>
      </c>
      <c r="E1549" s="25">
        <v>11</v>
      </c>
      <c r="F1549" s="23">
        <v>160</v>
      </c>
      <c r="G1549" s="152" cm="1">
        <f t="array" ref="G1549">SUM(E1549/F1549)</f>
        <v>0.06875000000000001</v>
      </c>
      <c r="H1549" s="15"/>
    </row>
    <row r="1550" ht="13.65" customHeight="1">
      <c r="A1550" s="21">
        <v>4</v>
      </c>
      <c r="B1550" t="s" s="22">
        <v>512</v>
      </c>
      <c r="C1550" t="s" s="24">
        <v>538</v>
      </c>
      <c r="D1550" t="s" s="24">
        <v>508</v>
      </c>
      <c r="E1550" s="25">
        <v>64</v>
      </c>
      <c r="F1550" s="23">
        <v>80</v>
      </c>
      <c r="G1550" s="152" cm="1">
        <f t="array" ref="G1550">SUM(E1550/F1550)</f>
        <v>0.8</v>
      </c>
      <c r="H1550" s="15"/>
    </row>
    <row r="1551" ht="13.65" customHeight="1">
      <c r="A1551" s="21">
        <v>121</v>
      </c>
      <c r="B1551" t="s" s="22">
        <v>539</v>
      </c>
      <c r="C1551" t="s" s="24">
        <v>538</v>
      </c>
      <c r="D1551" t="s" s="24">
        <v>540</v>
      </c>
      <c r="E1551" s="25">
        <v>132</v>
      </c>
      <c r="F1551" s="23">
        <v>200</v>
      </c>
      <c r="G1551" s="152" cm="1">
        <f t="array" ref="G1551">SUM(E1551/F1551)</f>
        <v>0.66</v>
      </c>
      <c r="H1551" s="15"/>
    </row>
    <row r="1552" ht="13.65" customHeight="1">
      <c r="A1552" s="21">
        <v>132</v>
      </c>
      <c r="B1552" t="s" s="22">
        <v>515</v>
      </c>
      <c r="C1552" t="s" s="24">
        <v>408</v>
      </c>
      <c r="D1552" t="s" s="24">
        <v>516</v>
      </c>
      <c r="E1552" s="25">
        <v>18.4</v>
      </c>
      <c r="F1552" s="23">
        <v>10</v>
      </c>
      <c r="G1552" s="152" cm="1">
        <f t="array" ref="G1552">SUM(E1552/F1552)</f>
        <v>1.84</v>
      </c>
      <c r="H1552" s="15"/>
    </row>
    <row r="1553" ht="13.65" customHeight="1">
      <c r="A1553" s="21">
        <v>134</v>
      </c>
      <c r="B1553" t="s" s="22">
        <v>541</v>
      </c>
      <c r="C1553" s="23">
        <v>7</v>
      </c>
      <c r="D1553" t="s" s="24">
        <v>542</v>
      </c>
      <c r="E1553" s="25">
        <v>52</v>
      </c>
      <c r="F1553" s="23">
        <v>14</v>
      </c>
      <c r="G1553" s="152" cm="1">
        <f t="array" ref="G1553">SUM(E1553/F1553)</f>
        <v>3.71428571428571</v>
      </c>
      <c r="H1553" s="15"/>
    </row>
    <row r="1554" ht="13.65" customHeight="1">
      <c r="A1554" s="28"/>
      <c r="B1554" s="28"/>
      <c r="C1554" s="27"/>
      <c r="D1554" s="24"/>
      <c r="E1554" s="27"/>
      <c r="F1554" t="s" s="29">
        <v>118</v>
      </c>
      <c r="G1554" s="197" cm="1">
        <f t="array" ref="G1554">SUM(G1529:G1553)</f>
        <v>18.739269047619</v>
      </c>
      <c r="H1554" s="15"/>
    </row>
    <row r="1555" ht="13.65" customHeight="1">
      <c r="A1555" s="129"/>
      <c r="B1555" s="129"/>
      <c r="C1555" s="129"/>
      <c r="D1555" s="129"/>
      <c r="E1555" s="129"/>
      <c r="F1555" s="31"/>
      <c r="G1555" s="31"/>
      <c r="H1555" s="3"/>
    </row>
    <row r="1556" ht="11.7" customHeight="1">
      <c r="A1556" t="s" s="167">
        <v>136</v>
      </c>
      <c r="B1556" t="s" s="167">
        <v>281</v>
      </c>
      <c r="C1556" t="s" s="167">
        <v>282</v>
      </c>
      <c r="D1556" t="s" s="168">
        <v>283</v>
      </c>
      <c r="E1556" s="169"/>
      <c r="F1556" s="170"/>
      <c r="G1556" s="171"/>
      <c r="H1556" s="171"/>
    </row>
    <row r="1557" ht="13.65" customHeight="1">
      <c r="A1557" s="23">
        <v>40</v>
      </c>
      <c r="B1557" s="172" cm="1">
        <f t="array" ref="B1557">SUM(H256)</f>
        <v>2.47496540404041</v>
      </c>
      <c r="C1557" s="172" cm="1">
        <f t="array" ref="C1557">SUM(G1554)</f>
        <v>18.739269047619</v>
      </c>
      <c r="D1557" s="199" cm="1">
        <f t="array" ref="D1557">SUM(A1557*B1557)+(C1557)</f>
        <v>117.737885209235</v>
      </c>
      <c r="E1557" s="200"/>
      <c r="F1557" s="15"/>
      <c r="G1557" s="3"/>
      <c r="H1557" s="3"/>
    </row>
    <row r="1558" ht="13.65" customHeight="1">
      <c r="A1558" s="31"/>
      <c r="B1558" s="31"/>
      <c r="C1558" s="31"/>
      <c r="D1558" s="31"/>
      <c r="E1558" s="31"/>
      <c r="F1558" s="3"/>
      <c r="G1558" s="3"/>
      <c r="H1558" s="3"/>
    </row>
    <row r="1559" ht="13.65" customHeight="1">
      <c r="A1559" s="203"/>
      <c r="B1559" s="203"/>
      <c r="C1559" s="203"/>
      <c r="D1559" s="203"/>
      <c r="E1559" s="203"/>
      <c r="F1559" s="203"/>
      <c r="G1559" s="203"/>
      <c r="H1559" s="203"/>
    </row>
    <row r="1560" ht="13.65" customHeight="1">
      <c r="A1560" t="s" s="274">
        <v>284</v>
      </c>
      <c r="B1560" s="275"/>
      <c r="C1560" s="275"/>
      <c r="D1560" s="275"/>
      <c r="E1560" s="280"/>
      <c r="F1560" s="275"/>
      <c r="G1560" s="275"/>
      <c r="H1560" s="277"/>
    </row>
    <row r="1561" ht="13.65" customHeight="1">
      <c r="A1561" s="278"/>
      <c r="B1561" s="278"/>
      <c r="C1561" s="278"/>
      <c r="D1561" s="278"/>
      <c r="E1561" s="278"/>
      <c r="F1561" s="278"/>
      <c r="G1561" s="278"/>
      <c r="H1561" s="278"/>
    </row>
    <row r="1562" ht="13.65" customHeight="1">
      <c r="A1562" s="3"/>
      <c r="B1562" s="3"/>
      <c r="C1562" s="3"/>
      <c r="D1562" s="3"/>
      <c r="E1562" s="3"/>
      <c r="F1562" s="3"/>
      <c r="G1562" s="3"/>
      <c r="H1562" s="3"/>
    </row>
    <row r="1563" ht="13.65" customHeight="1">
      <c r="A1563" t="s" s="5">
        <v>548</v>
      </c>
      <c r="B1563" s="3"/>
      <c r="C1563" s="3"/>
      <c r="D1563" s="3"/>
      <c r="E1563" s="3"/>
      <c r="F1563" s="3"/>
      <c r="G1563" s="3"/>
      <c r="H1563" s="3"/>
    </row>
    <row r="1564" ht="13.65" customHeight="1">
      <c r="A1564" s="11"/>
      <c r="B1564" s="11"/>
      <c r="C1564" s="11"/>
      <c r="D1564" s="11"/>
      <c r="E1564" s="11"/>
      <c r="F1564" s="11"/>
      <c r="G1564" s="11"/>
      <c r="H1564" s="3"/>
    </row>
    <row r="1565" ht="13.65" customHeight="1">
      <c r="A1565" s="12"/>
      <c r="B1565" s="12"/>
      <c r="C1565" s="13"/>
      <c r="D1565" s="14"/>
      <c r="E1565" s="13"/>
      <c r="F1565" s="13"/>
      <c r="G1565" t="s" s="14">
        <v>252</v>
      </c>
      <c r="H1565" s="150"/>
    </row>
    <row r="1566" ht="13.65" customHeight="1">
      <c r="A1566" t="s" s="16">
        <v>93</v>
      </c>
      <c r="B1566" t="s" s="16">
        <v>94</v>
      </c>
      <c r="C1566" t="s" s="16">
        <v>95</v>
      </c>
      <c r="D1566" t="s" s="16">
        <v>96</v>
      </c>
      <c r="E1566" t="s" s="16">
        <v>97</v>
      </c>
      <c r="F1566" t="s" s="16">
        <v>98</v>
      </c>
      <c r="G1566" t="s" s="16">
        <v>99</v>
      </c>
      <c r="H1566" s="15"/>
    </row>
    <row r="1567" ht="13.65" customHeight="1">
      <c r="A1567" s="151"/>
      <c r="B1567" s="151"/>
      <c r="C1567" s="19"/>
      <c r="D1567" s="20"/>
      <c r="E1567" s="19"/>
      <c r="F1567" s="19"/>
      <c r="G1567" t="s" s="20">
        <v>100</v>
      </c>
      <c r="H1567" s="15"/>
    </row>
    <row r="1568" ht="13.65" customHeight="1">
      <c r="A1568" s="21">
        <v>72</v>
      </c>
      <c r="B1568" t="s" s="22">
        <v>101</v>
      </c>
      <c r="C1568" s="23">
        <v>50</v>
      </c>
      <c r="D1568" t="s" s="24">
        <v>102</v>
      </c>
      <c r="E1568" s="25">
        <v>1.93</v>
      </c>
      <c r="F1568" s="23">
        <v>25</v>
      </c>
      <c r="G1568" s="152" cm="1">
        <f t="array" ref="G1568">SUM(E1568/F1568)</f>
        <v>0.0772</v>
      </c>
      <c r="H1568" s="15"/>
    </row>
    <row r="1569" ht="13.65" customHeight="1">
      <c r="A1569" s="21">
        <v>123</v>
      </c>
      <c r="B1569" t="s" s="22">
        <v>103</v>
      </c>
      <c r="C1569" s="23">
        <v>40</v>
      </c>
      <c r="D1569" t="s" s="24">
        <v>104</v>
      </c>
      <c r="E1569" s="25">
        <v>3.2</v>
      </c>
      <c r="F1569" s="23">
        <v>40</v>
      </c>
      <c r="G1569" s="152" cm="1">
        <f t="array" ref="G1569">SUM(E1569/F1569)</f>
        <v>0.08</v>
      </c>
      <c r="H1569" s="15"/>
    </row>
    <row r="1570" ht="13.65" customHeight="1">
      <c r="A1570" s="21">
        <v>57</v>
      </c>
      <c r="B1570" t="s" s="22">
        <v>253</v>
      </c>
      <c r="C1570" t="s" s="24">
        <v>254</v>
      </c>
      <c r="D1570" t="s" s="24">
        <v>371</v>
      </c>
      <c r="E1570" s="25">
        <v>4.5</v>
      </c>
      <c r="F1570" s="23">
        <v>33</v>
      </c>
      <c r="G1570" s="152" cm="1">
        <f t="array" ref="G1570">SUM(E1570/F1570)</f>
        <v>0.136363636363636</v>
      </c>
      <c r="H1570" s="15"/>
    </row>
    <row r="1571" ht="13.65" customHeight="1">
      <c r="A1571" s="21">
        <v>86</v>
      </c>
      <c r="B1571" t="s" s="22">
        <v>107</v>
      </c>
      <c r="C1571" t="s" s="24">
        <v>108</v>
      </c>
      <c r="D1571" t="s" s="24">
        <v>102</v>
      </c>
      <c r="E1571" s="25">
        <v>0.32</v>
      </c>
      <c r="F1571" t="s" s="24">
        <v>387</v>
      </c>
      <c r="G1571" s="152" cm="1">
        <f t="array" ref="G1571">SUM(E1571*2)</f>
        <v>0.64</v>
      </c>
      <c r="H1571" s="15"/>
    </row>
    <row r="1572" ht="13.65" customHeight="1">
      <c r="A1572" s="21">
        <v>71</v>
      </c>
      <c r="B1572" t="s" s="22">
        <v>109</v>
      </c>
      <c r="C1572" s="23">
        <v>10</v>
      </c>
      <c r="D1572" t="s" s="24">
        <v>102</v>
      </c>
      <c r="E1572" s="25">
        <v>5.92</v>
      </c>
      <c r="F1572" s="23">
        <v>5</v>
      </c>
      <c r="G1572" s="152" cm="1">
        <f t="array" ref="G1572">SUM(E1572/F1572)</f>
        <v>1.184</v>
      </c>
      <c r="H1572" s="15"/>
    </row>
    <row r="1573" ht="13.65" customHeight="1">
      <c r="A1573" s="21">
        <v>87</v>
      </c>
      <c r="B1573" t="s" s="22">
        <v>110</v>
      </c>
      <c r="C1573" s="23">
        <v>50</v>
      </c>
      <c r="D1573" t="s" s="24">
        <v>102</v>
      </c>
      <c r="E1573" s="25">
        <v>9</v>
      </c>
      <c r="F1573" s="23">
        <v>25</v>
      </c>
      <c r="G1573" s="152" cm="1">
        <f t="array" ref="G1573">SUM(E1573/F1573)</f>
        <v>0.36</v>
      </c>
      <c r="H1573" s="15"/>
    </row>
    <row r="1574" ht="13.65" customHeight="1">
      <c r="A1574" s="21">
        <v>55</v>
      </c>
      <c r="B1574" t="s" s="22">
        <v>111</v>
      </c>
      <c r="C1574" t="s" s="24">
        <v>112</v>
      </c>
      <c r="D1574" t="s" s="24">
        <v>113</v>
      </c>
      <c r="E1574" s="25">
        <v>2.71</v>
      </c>
      <c r="F1574" s="23">
        <v>75</v>
      </c>
      <c r="G1574" s="152" cm="1">
        <f t="array" ref="G1574">SUM(E1574/F1574)</f>
        <v>0.0361333333333333</v>
      </c>
      <c r="H1574" s="15"/>
    </row>
    <row r="1575" ht="13.65" customHeight="1">
      <c r="A1575" s="21">
        <v>24</v>
      </c>
      <c r="B1575" t="s" s="22">
        <v>531</v>
      </c>
      <c r="C1575" s="23">
        <v>10</v>
      </c>
      <c r="D1575" t="s" s="24">
        <v>104</v>
      </c>
      <c r="E1575" s="25">
        <v>9.6</v>
      </c>
      <c r="F1575" s="23">
        <v>10</v>
      </c>
      <c r="G1575" s="152" cm="1">
        <f t="array" ref="G1575">SUM(E1575/F1575)</f>
        <v>0.96</v>
      </c>
      <c r="H1575" s="15"/>
    </row>
    <row r="1576" ht="13.65" customHeight="1">
      <c r="A1576" s="21">
        <v>124</v>
      </c>
      <c r="B1576" t="s" s="22">
        <v>532</v>
      </c>
      <c r="C1576" s="23">
        <v>1</v>
      </c>
      <c r="D1576" t="s" s="24">
        <v>373</v>
      </c>
      <c r="E1576" s="25">
        <v>2.2</v>
      </c>
      <c r="F1576" s="23">
        <v>15</v>
      </c>
      <c r="G1576" s="152" cm="1">
        <f t="array" ref="G1576">SUM(E1576/F1576)</f>
        <v>0.146666666666667</v>
      </c>
      <c r="H1576" s="15"/>
    </row>
    <row r="1577" ht="13.65" customHeight="1">
      <c r="A1577" s="21">
        <v>10</v>
      </c>
      <c r="B1577" t="s" s="22">
        <v>395</v>
      </c>
      <c r="C1577" t="s" s="24">
        <v>396</v>
      </c>
      <c r="D1577" t="s" s="24">
        <v>397</v>
      </c>
      <c r="E1577" s="25">
        <v>3.92</v>
      </c>
      <c r="F1577" s="23">
        <v>50</v>
      </c>
      <c r="G1577" s="152" cm="1">
        <f t="array" ref="G1577">SUM(E1577/F1577)</f>
        <v>0.0784</v>
      </c>
      <c r="H1577" s="15"/>
    </row>
    <row r="1578" ht="13.65" customHeight="1">
      <c r="A1578" s="21">
        <v>9</v>
      </c>
      <c r="B1578" t="s" s="22">
        <v>398</v>
      </c>
      <c r="C1578" s="23">
        <v>50</v>
      </c>
      <c r="D1578" t="s" s="24">
        <v>104</v>
      </c>
      <c r="E1578" s="25">
        <v>14</v>
      </c>
      <c r="F1578" s="23">
        <v>50</v>
      </c>
      <c r="G1578" s="152" cm="1">
        <f t="array" ref="G1578">SUM(E1578/F1578)</f>
        <v>0.28</v>
      </c>
      <c r="H1578" s="15"/>
    </row>
    <row r="1579" ht="13.65" customHeight="1">
      <c r="A1579" s="21">
        <v>6</v>
      </c>
      <c r="B1579" t="s" s="22">
        <v>399</v>
      </c>
      <c r="C1579" s="23">
        <v>100</v>
      </c>
      <c r="D1579" t="s" s="24">
        <v>104</v>
      </c>
      <c r="E1579" s="25">
        <v>19</v>
      </c>
      <c r="F1579" s="23">
        <v>100</v>
      </c>
      <c r="G1579" s="152" cm="1">
        <f t="array" ref="G1579">SUM(E1579/F1579)</f>
        <v>0.19</v>
      </c>
      <c r="H1579" s="15"/>
    </row>
    <row r="1580" ht="13.65" customHeight="1">
      <c r="A1580" s="21">
        <v>103</v>
      </c>
      <c r="B1580" t="s" s="22">
        <v>533</v>
      </c>
      <c r="C1580" s="23">
        <v>144</v>
      </c>
      <c r="D1580" t="s" s="24">
        <v>104</v>
      </c>
      <c r="E1580" s="25">
        <v>18</v>
      </c>
      <c r="F1580" s="23">
        <v>144</v>
      </c>
      <c r="G1580" s="152" cm="1">
        <f t="array" ref="G1580">SUM(E1580/F1580)</f>
        <v>0.125</v>
      </c>
      <c r="H1580" s="15"/>
    </row>
    <row r="1581" ht="13.65" customHeight="1">
      <c r="A1581" s="21">
        <v>79</v>
      </c>
      <c r="B1581" t="s" s="22">
        <v>439</v>
      </c>
      <c r="C1581" s="23">
        <v>20</v>
      </c>
      <c r="D1581" t="s" s="24">
        <v>104</v>
      </c>
      <c r="E1581" s="25">
        <v>25</v>
      </c>
      <c r="F1581" s="23">
        <v>20</v>
      </c>
      <c r="G1581" s="152" cm="1">
        <f t="array" ref="G1581">SUM(E1581/F1581)</f>
        <v>1.25</v>
      </c>
      <c r="H1581" s="15"/>
    </row>
    <row r="1582" ht="13.65" customHeight="1">
      <c r="A1582" s="21">
        <v>11</v>
      </c>
      <c r="B1582" t="s" s="22">
        <v>544</v>
      </c>
      <c r="C1582" t="s" s="24">
        <v>441</v>
      </c>
      <c r="D1582" t="s" s="24">
        <v>442</v>
      </c>
      <c r="E1582" s="25">
        <v>49</v>
      </c>
      <c r="F1582" s="23">
        <v>44</v>
      </c>
      <c r="G1582" s="152" cm="1">
        <f t="array" ref="G1582">SUM(E1582/F1582)</f>
        <v>1.11363636363636</v>
      </c>
      <c r="H1582" s="15"/>
    </row>
    <row r="1583" ht="13.65" customHeight="1">
      <c r="A1583" s="21">
        <v>19</v>
      </c>
      <c r="B1583" t="s" s="22">
        <v>437</v>
      </c>
      <c r="C1583" s="23">
        <v>1</v>
      </c>
      <c r="D1583" t="s" s="24">
        <v>116</v>
      </c>
      <c r="E1583" s="25">
        <v>5.2</v>
      </c>
      <c r="F1583" s="23">
        <v>10</v>
      </c>
      <c r="G1583" s="152" cm="1">
        <f t="array" ref="G1583">SUM(E1583/F1583)</f>
        <v>0.52</v>
      </c>
      <c r="H1583" s="15"/>
    </row>
    <row r="1584" ht="13.65" customHeight="1">
      <c r="A1584" s="21">
        <v>106</v>
      </c>
      <c r="B1584" t="s" s="22">
        <v>428</v>
      </c>
      <c r="C1584" s="23">
        <v>20</v>
      </c>
      <c r="D1584" t="s" s="24">
        <v>104</v>
      </c>
      <c r="E1584" s="25">
        <v>41.91</v>
      </c>
      <c r="F1584" s="23">
        <v>20</v>
      </c>
      <c r="G1584" s="152" cm="1">
        <f t="array" ref="G1584">SUM(E1584/F1584)</f>
        <v>2.0955</v>
      </c>
      <c r="H1584" s="15"/>
    </row>
    <row r="1585" ht="13.65" customHeight="1">
      <c r="A1585" s="21">
        <v>19</v>
      </c>
      <c r="B1585" t="s" s="22">
        <v>445</v>
      </c>
      <c r="C1585" s="23">
        <v>2</v>
      </c>
      <c r="D1585" t="s" s="24">
        <v>495</v>
      </c>
      <c r="E1585" s="25">
        <v>5.2</v>
      </c>
      <c r="F1585" s="23">
        <v>20</v>
      </c>
      <c r="G1585" s="152" cm="1">
        <f t="array" ref="G1585">SUM(E1585/F1585)</f>
        <v>0.26</v>
      </c>
      <c r="H1585" s="15"/>
    </row>
    <row r="1586" ht="13.65" customHeight="1">
      <c r="A1586" s="21">
        <v>113</v>
      </c>
      <c r="B1586" t="s" s="22">
        <v>536</v>
      </c>
      <c r="C1586" t="s" s="24">
        <v>537</v>
      </c>
      <c r="D1586" t="s" s="24">
        <v>549</v>
      </c>
      <c r="E1586" s="25">
        <v>61</v>
      </c>
      <c r="F1586" s="23">
        <v>30</v>
      </c>
      <c r="G1586" s="152" cm="1">
        <f t="array" ref="G1586">SUM(E1586/F1586)</f>
        <v>2.03333333333333</v>
      </c>
      <c r="H1586" s="15"/>
    </row>
    <row r="1587" ht="13.65" customHeight="1">
      <c r="A1587" s="21">
        <v>128</v>
      </c>
      <c r="B1587" t="s" s="22">
        <v>545</v>
      </c>
      <c r="C1587" s="23">
        <v>50</v>
      </c>
      <c r="D1587" t="s" s="24">
        <v>104</v>
      </c>
      <c r="E1587" s="25">
        <v>4.5</v>
      </c>
      <c r="F1587" s="23">
        <v>50</v>
      </c>
      <c r="G1587" s="152" cm="1">
        <f t="array" ref="G1587">SUM(E1587/F1587)</f>
        <v>0.09</v>
      </c>
      <c r="H1587" s="15"/>
    </row>
    <row r="1588" ht="13.65" customHeight="1">
      <c r="A1588" s="21">
        <v>43</v>
      </c>
      <c r="B1588" t="s" s="22">
        <v>546</v>
      </c>
      <c r="C1588" s="23">
        <v>20</v>
      </c>
      <c r="D1588" t="s" s="24">
        <v>550</v>
      </c>
      <c r="E1588" s="25">
        <v>11</v>
      </c>
      <c r="F1588" s="23">
        <v>160</v>
      </c>
      <c r="G1588" s="152" cm="1">
        <f t="array" ref="G1588">SUM(E1588/F1588)</f>
        <v>0.06875000000000001</v>
      </c>
      <c r="H1588" s="15"/>
    </row>
    <row r="1589" ht="13.65" customHeight="1">
      <c r="A1589" s="21">
        <v>4</v>
      </c>
      <c r="B1589" t="s" s="22">
        <v>512</v>
      </c>
      <c r="C1589" t="s" s="24">
        <v>538</v>
      </c>
      <c r="D1589" t="s" s="24">
        <v>397</v>
      </c>
      <c r="E1589" s="25">
        <v>64</v>
      </c>
      <c r="F1589" s="23">
        <v>50</v>
      </c>
      <c r="G1589" s="152" cm="1">
        <f t="array" ref="G1589">SUM(E1589/F1589)</f>
        <v>1.28</v>
      </c>
      <c r="H1589" s="15"/>
    </row>
    <row r="1590" ht="13.65" customHeight="1">
      <c r="A1590" s="21">
        <v>121</v>
      </c>
      <c r="B1590" t="s" s="22">
        <v>539</v>
      </c>
      <c r="C1590" t="s" s="24">
        <v>538</v>
      </c>
      <c r="D1590" t="s" s="24">
        <v>540</v>
      </c>
      <c r="E1590" s="25">
        <v>132</v>
      </c>
      <c r="F1590" s="23">
        <v>200</v>
      </c>
      <c r="G1590" s="152" cm="1">
        <f t="array" ref="G1590">SUM(E1590/F1590)</f>
        <v>0.66</v>
      </c>
      <c r="H1590" s="15"/>
    </row>
    <row r="1591" ht="13.65" customHeight="1">
      <c r="A1591" s="21">
        <v>132</v>
      </c>
      <c r="B1591" t="s" s="22">
        <v>515</v>
      </c>
      <c r="C1591" t="s" s="24">
        <v>408</v>
      </c>
      <c r="D1591" t="s" s="24">
        <v>516</v>
      </c>
      <c r="E1591" s="25">
        <v>18.4</v>
      </c>
      <c r="F1591" s="23">
        <v>10</v>
      </c>
      <c r="G1591" s="152" cm="1">
        <f t="array" ref="G1591">SUM(E1591/F1591)</f>
        <v>1.84</v>
      </c>
      <c r="H1591" s="15"/>
    </row>
    <row r="1592" ht="13.65" customHeight="1">
      <c r="A1592" s="21">
        <v>134</v>
      </c>
      <c r="B1592" t="s" s="22">
        <v>541</v>
      </c>
      <c r="C1592" s="23">
        <v>7</v>
      </c>
      <c r="D1592" t="s" s="24">
        <v>542</v>
      </c>
      <c r="E1592" s="25">
        <v>52</v>
      </c>
      <c r="F1592" s="23">
        <v>14</v>
      </c>
      <c r="G1592" s="152" cm="1">
        <f t="array" ref="G1592">SUM(E1592/F1592)</f>
        <v>3.71428571428571</v>
      </c>
      <c r="H1592" s="15"/>
    </row>
    <row r="1593" ht="13.65" customHeight="1">
      <c r="A1593" s="28"/>
      <c r="B1593" s="28"/>
      <c r="C1593" s="27"/>
      <c r="D1593" s="24"/>
      <c r="E1593" s="27"/>
      <c r="F1593" t="s" s="29">
        <v>118</v>
      </c>
      <c r="G1593" s="197" cm="1">
        <f t="array" ref="G1593">SUM(G1568:G1592)</f>
        <v>19.219269047619</v>
      </c>
      <c r="H1593" s="15"/>
    </row>
    <row r="1594" ht="13.65" customHeight="1">
      <c r="A1594" s="129"/>
      <c r="B1594" s="129"/>
      <c r="C1594" s="129"/>
      <c r="D1594" s="129"/>
      <c r="E1594" s="129"/>
      <c r="F1594" s="31"/>
      <c r="G1594" s="31"/>
      <c r="H1594" s="3"/>
    </row>
    <row r="1595" ht="11.7" customHeight="1">
      <c r="A1595" t="s" s="167">
        <v>136</v>
      </c>
      <c r="B1595" t="s" s="167">
        <v>281</v>
      </c>
      <c r="C1595" t="s" s="167">
        <v>282</v>
      </c>
      <c r="D1595" t="s" s="168">
        <v>283</v>
      </c>
      <c r="E1595" s="169"/>
      <c r="F1595" s="170"/>
      <c r="G1595" s="171"/>
      <c r="H1595" s="171"/>
    </row>
    <row r="1596" ht="13.65" customHeight="1">
      <c r="A1596" s="23">
        <v>65</v>
      </c>
      <c r="B1596" s="172" cm="1">
        <f t="array" ref="B1596">SUM(H256)</f>
        <v>2.47496540404041</v>
      </c>
      <c r="C1596" s="172" cm="1">
        <f t="array" ref="C1596">SUM(G1593)</f>
        <v>19.219269047619</v>
      </c>
      <c r="D1596" s="199" cm="1">
        <f t="array" ref="D1596">SUM(A1596*B1596)+(C1596)</f>
        <v>180.092020310246</v>
      </c>
      <c r="E1596" s="200"/>
      <c r="F1596" s="15"/>
      <c r="G1596" s="3"/>
      <c r="H1596" s="3"/>
    </row>
    <row r="1597" ht="13.65" customHeight="1">
      <c r="A1597" s="31"/>
      <c r="B1597" s="31"/>
      <c r="C1597" s="31"/>
      <c r="D1597" s="31"/>
      <c r="E1597" s="31"/>
      <c r="F1597" s="3"/>
      <c r="G1597" s="3"/>
      <c r="H1597" s="3"/>
    </row>
    <row r="1598" ht="13.65" customHeight="1">
      <c r="A1598" s="203"/>
      <c r="B1598" s="203"/>
      <c r="C1598" s="203"/>
      <c r="D1598" s="203"/>
      <c r="E1598" s="203"/>
      <c r="F1598" s="203"/>
      <c r="G1598" s="203"/>
      <c r="H1598" s="203"/>
    </row>
    <row r="1599" ht="13.65" customHeight="1">
      <c r="A1599" t="s" s="274">
        <v>284</v>
      </c>
      <c r="B1599" s="275"/>
      <c r="C1599" s="275"/>
      <c r="D1599" s="275"/>
      <c r="E1599" s="280"/>
      <c r="F1599" s="275"/>
      <c r="G1599" s="275"/>
      <c r="H1599" s="277"/>
    </row>
    <row r="1600" ht="13.65" customHeight="1">
      <c r="A1600" s="278"/>
      <c r="B1600" s="278"/>
      <c r="C1600" s="278"/>
      <c r="D1600" s="278"/>
      <c r="E1600" s="278"/>
      <c r="F1600" s="278"/>
      <c r="G1600" s="278"/>
      <c r="H1600" s="278"/>
    </row>
    <row r="1601" ht="13.65" customHeight="1">
      <c r="A1601" s="3"/>
      <c r="B1601" s="3"/>
      <c r="C1601" s="3"/>
      <c r="D1601" s="3"/>
      <c r="E1601" s="3"/>
      <c r="F1601" s="3"/>
      <c r="G1601" s="3"/>
      <c r="H1601" s="3"/>
    </row>
    <row r="1602" ht="13.65" customHeight="1">
      <c r="A1602" t="s" s="5">
        <v>551</v>
      </c>
      <c r="B1602" s="3"/>
      <c r="C1602" s="3"/>
      <c r="D1602" s="3"/>
      <c r="E1602" s="3"/>
      <c r="F1602" s="3"/>
      <c r="G1602" s="3"/>
      <c r="H1602" s="3"/>
    </row>
    <row r="1603" ht="13.65" customHeight="1">
      <c r="A1603" s="11"/>
      <c r="B1603" s="11"/>
      <c r="C1603" s="11"/>
      <c r="D1603" s="11"/>
      <c r="E1603" s="11"/>
      <c r="F1603" s="11"/>
      <c r="G1603" s="11"/>
      <c r="H1603" s="3"/>
    </row>
    <row r="1604" ht="13.65" customHeight="1">
      <c r="A1604" s="12"/>
      <c r="B1604" s="12"/>
      <c r="C1604" s="13"/>
      <c r="D1604" s="14"/>
      <c r="E1604" s="13"/>
      <c r="F1604" s="13"/>
      <c r="G1604" t="s" s="14">
        <v>252</v>
      </c>
      <c r="H1604" s="150"/>
    </row>
    <row r="1605" ht="13.65" customHeight="1">
      <c r="A1605" t="s" s="16">
        <v>93</v>
      </c>
      <c r="B1605" t="s" s="16">
        <v>94</v>
      </c>
      <c r="C1605" t="s" s="16">
        <v>95</v>
      </c>
      <c r="D1605" t="s" s="16">
        <v>96</v>
      </c>
      <c r="E1605" t="s" s="16">
        <v>97</v>
      </c>
      <c r="F1605" t="s" s="16">
        <v>98</v>
      </c>
      <c r="G1605" t="s" s="16">
        <v>99</v>
      </c>
      <c r="H1605" s="15"/>
    </row>
    <row r="1606" ht="13.65" customHeight="1">
      <c r="A1606" s="151"/>
      <c r="B1606" s="151"/>
      <c r="C1606" s="19"/>
      <c r="D1606" s="20"/>
      <c r="E1606" s="19"/>
      <c r="F1606" s="19"/>
      <c r="G1606" t="s" s="20">
        <v>100</v>
      </c>
      <c r="H1606" s="15"/>
    </row>
    <row r="1607" ht="13.65" customHeight="1">
      <c r="A1607" s="21">
        <v>72</v>
      </c>
      <c r="B1607" t="s" s="22">
        <v>101</v>
      </c>
      <c r="C1607" s="23">
        <v>50</v>
      </c>
      <c r="D1607" t="s" s="24">
        <v>102</v>
      </c>
      <c r="E1607" s="25">
        <v>1.93</v>
      </c>
      <c r="F1607" s="23">
        <v>25</v>
      </c>
      <c r="G1607" s="152" cm="1">
        <f t="array" ref="G1607">SUM(E1607/F1607)</f>
        <v>0.0772</v>
      </c>
      <c r="H1607" s="15"/>
    </row>
    <row r="1608" ht="13.65" customHeight="1">
      <c r="A1608" s="21">
        <v>123</v>
      </c>
      <c r="B1608" t="s" s="22">
        <v>103</v>
      </c>
      <c r="C1608" s="23">
        <v>40</v>
      </c>
      <c r="D1608" t="s" s="24">
        <v>104</v>
      </c>
      <c r="E1608" s="25">
        <v>3.2</v>
      </c>
      <c r="F1608" s="23">
        <v>40</v>
      </c>
      <c r="G1608" s="152" cm="1">
        <f t="array" ref="G1608">SUM(E1608/F1608)</f>
        <v>0.08</v>
      </c>
      <c r="H1608" s="15"/>
    </row>
    <row r="1609" ht="13.65" customHeight="1">
      <c r="A1609" s="21">
        <v>57</v>
      </c>
      <c r="B1609" t="s" s="22">
        <v>253</v>
      </c>
      <c r="C1609" t="s" s="24">
        <v>254</v>
      </c>
      <c r="D1609" t="s" s="24">
        <v>371</v>
      </c>
      <c r="E1609" s="25">
        <v>4.5</v>
      </c>
      <c r="F1609" s="23">
        <v>33</v>
      </c>
      <c r="G1609" s="152" cm="1">
        <f t="array" ref="G1609">SUM(E1609/F1609)</f>
        <v>0.136363636363636</v>
      </c>
      <c r="H1609" s="15"/>
    </row>
    <row r="1610" ht="13.65" customHeight="1">
      <c r="A1610" s="21">
        <v>86</v>
      </c>
      <c r="B1610" t="s" s="22">
        <v>107</v>
      </c>
      <c r="C1610" t="s" s="24">
        <v>108</v>
      </c>
      <c r="D1610" t="s" s="24">
        <v>102</v>
      </c>
      <c r="E1610" s="25">
        <v>0.32</v>
      </c>
      <c r="F1610" t="s" s="24">
        <v>387</v>
      </c>
      <c r="G1610" s="152" cm="1">
        <f t="array" ref="G1610">SUM(E1610*2)</f>
        <v>0.64</v>
      </c>
      <c r="H1610" s="15"/>
    </row>
    <row r="1611" ht="13.65" customHeight="1">
      <c r="A1611" s="21">
        <v>71</v>
      </c>
      <c r="B1611" t="s" s="22">
        <v>109</v>
      </c>
      <c r="C1611" s="23">
        <v>10</v>
      </c>
      <c r="D1611" t="s" s="24">
        <v>102</v>
      </c>
      <c r="E1611" s="25">
        <v>5.92</v>
      </c>
      <c r="F1611" s="23">
        <v>5</v>
      </c>
      <c r="G1611" s="152" cm="1">
        <f t="array" ref="G1611">SUM(E1611/F1611)</f>
        <v>1.184</v>
      </c>
      <c r="H1611" s="15"/>
    </row>
    <row r="1612" ht="13.65" customHeight="1">
      <c r="A1612" s="21">
        <v>87</v>
      </c>
      <c r="B1612" t="s" s="22">
        <v>110</v>
      </c>
      <c r="C1612" s="23">
        <v>50</v>
      </c>
      <c r="D1612" t="s" s="24">
        <v>102</v>
      </c>
      <c r="E1612" s="25">
        <v>9</v>
      </c>
      <c r="F1612" s="23">
        <v>25</v>
      </c>
      <c r="G1612" s="152" cm="1">
        <f t="array" ref="G1612">SUM(E1612/F1612)</f>
        <v>0.36</v>
      </c>
      <c r="H1612" s="15"/>
    </row>
    <row r="1613" ht="13.65" customHeight="1">
      <c r="A1613" s="21">
        <v>55</v>
      </c>
      <c r="B1613" t="s" s="22">
        <v>111</v>
      </c>
      <c r="C1613" t="s" s="24">
        <v>112</v>
      </c>
      <c r="D1613" t="s" s="24">
        <v>113</v>
      </c>
      <c r="E1613" s="25">
        <v>2.71</v>
      </c>
      <c r="F1613" s="23">
        <v>75</v>
      </c>
      <c r="G1613" s="152" cm="1">
        <f t="array" ref="G1613">SUM(E1613/F1613)</f>
        <v>0.0361333333333333</v>
      </c>
      <c r="H1613" s="15"/>
    </row>
    <row r="1614" ht="13.65" customHeight="1">
      <c r="A1614" s="21">
        <v>24</v>
      </c>
      <c r="B1614" t="s" s="22">
        <v>531</v>
      </c>
      <c r="C1614" s="23">
        <v>10</v>
      </c>
      <c r="D1614" t="s" s="24">
        <v>104</v>
      </c>
      <c r="E1614" s="25">
        <v>9.6</v>
      </c>
      <c r="F1614" s="23">
        <v>10</v>
      </c>
      <c r="G1614" s="152" cm="1">
        <f t="array" ref="G1614">SUM(E1614/F1614)</f>
        <v>0.96</v>
      </c>
      <c r="H1614" s="15"/>
    </row>
    <row r="1615" ht="13.65" customHeight="1">
      <c r="A1615" s="21">
        <v>124</v>
      </c>
      <c r="B1615" t="s" s="22">
        <v>532</v>
      </c>
      <c r="C1615" s="23">
        <v>1</v>
      </c>
      <c r="D1615" t="s" s="24">
        <v>373</v>
      </c>
      <c r="E1615" s="25">
        <v>2.2</v>
      </c>
      <c r="F1615" s="23">
        <v>15</v>
      </c>
      <c r="G1615" s="152" cm="1">
        <f t="array" ref="G1615">SUM(E1615/F1615)</f>
        <v>0.146666666666667</v>
      </c>
      <c r="H1615" s="15"/>
    </row>
    <row r="1616" ht="13.65" customHeight="1">
      <c r="A1616" s="21">
        <v>10</v>
      </c>
      <c r="B1616" t="s" s="22">
        <v>395</v>
      </c>
      <c r="C1616" t="s" s="24">
        <v>396</v>
      </c>
      <c r="D1616" t="s" s="24">
        <v>397</v>
      </c>
      <c r="E1616" s="25">
        <v>3.92</v>
      </c>
      <c r="F1616" s="23">
        <v>50</v>
      </c>
      <c r="G1616" s="152" cm="1">
        <f t="array" ref="G1616">SUM(E1616/F1616)</f>
        <v>0.0784</v>
      </c>
      <c r="H1616" s="15"/>
    </row>
    <row r="1617" ht="13.65" customHeight="1">
      <c r="A1617" s="21">
        <v>9</v>
      </c>
      <c r="B1617" t="s" s="22">
        <v>398</v>
      </c>
      <c r="C1617" s="23">
        <v>50</v>
      </c>
      <c r="D1617" t="s" s="24">
        <v>104</v>
      </c>
      <c r="E1617" s="25">
        <v>14</v>
      </c>
      <c r="F1617" s="23">
        <v>50</v>
      </c>
      <c r="G1617" s="152" cm="1">
        <f t="array" ref="G1617">SUM(E1617/F1617)</f>
        <v>0.28</v>
      </c>
      <c r="H1617" s="15"/>
    </row>
    <row r="1618" ht="13.65" customHeight="1">
      <c r="A1618" s="21">
        <v>6</v>
      </c>
      <c r="B1618" t="s" s="22">
        <v>399</v>
      </c>
      <c r="C1618" s="23">
        <v>100</v>
      </c>
      <c r="D1618" t="s" s="24">
        <v>104</v>
      </c>
      <c r="E1618" s="25">
        <v>19</v>
      </c>
      <c r="F1618" s="23">
        <v>100</v>
      </c>
      <c r="G1618" s="152" cm="1">
        <f t="array" ref="G1618">SUM(E1618/F1618)</f>
        <v>0.19</v>
      </c>
      <c r="H1618" s="15"/>
    </row>
    <row r="1619" ht="13.65" customHeight="1">
      <c r="A1619" s="21">
        <v>103</v>
      </c>
      <c r="B1619" t="s" s="22">
        <v>114</v>
      </c>
      <c r="C1619" s="23">
        <v>144</v>
      </c>
      <c r="D1619" t="s" s="24">
        <v>104</v>
      </c>
      <c r="E1619" s="25">
        <v>18</v>
      </c>
      <c r="F1619" s="23">
        <v>144</v>
      </c>
      <c r="G1619" s="152" cm="1">
        <f t="array" ref="G1619">SUM(E1619/F1619)</f>
        <v>0.125</v>
      </c>
      <c r="H1619" s="15"/>
    </row>
    <row r="1620" ht="13.65" customHeight="1">
      <c r="A1620" s="21">
        <v>79</v>
      </c>
      <c r="B1620" t="s" s="22">
        <v>439</v>
      </c>
      <c r="C1620" s="23">
        <v>20</v>
      </c>
      <c r="D1620" t="s" s="24">
        <v>104</v>
      </c>
      <c r="E1620" s="25">
        <v>25</v>
      </c>
      <c r="F1620" s="23">
        <v>20</v>
      </c>
      <c r="G1620" s="152" cm="1">
        <f t="array" ref="G1620">SUM(E1620/F1620)</f>
        <v>1.25</v>
      </c>
      <c r="H1620" s="15"/>
    </row>
    <row r="1621" ht="13.65" customHeight="1">
      <c r="A1621" s="21">
        <v>11</v>
      </c>
      <c r="B1621" t="s" s="22">
        <v>544</v>
      </c>
      <c r="C1621" t="s" s="24">
        <v>441</v>
      </c>
      <c r="D1621" t="s" s="24">
        <v>442</v>
      </c>
      <c r="E1621" s="25">
        <v>49</v>
      </c>
      <c r="F1621" s="23">
        <v>44</v>
      </c>
      <c r="G1621" s="152" cm="1">
        <f t="array" ref="G1621">SUM(E1621/F1621)</f>
        <v>1.11363636363636</v>
      </c>
      <c r="H1621" s="15"/>
    </row>
    <row r="1622" ht="13.65" customHeight="1">
      <c r="A1622" s="21">
        <v>19</v>
      </c>
      <c r="B1622" t="s" s="22">
        <v>437</v>
      </c>
      <c r="C1622" s="23">
        <v>1</v>
      </c>
      <c r="D1622" t="s" s="24">
        <v>116</v>
      </c>
      <c r="E1622" s="25">
        <v>5.2</v>
      </c>
      <c r="F1622" s="23">
        <v>10</v>
      </c>
      <c r="G1622" s="152" cm="1">
        <f t="array" ref="G1622">SUM(E1622/F1622)</f>
        <v>0.52</v>
      </c>
      <c r="H1622" s="15"/>
    </row>
    <row r="1623" ht="13.65" customHeight="1">
      <c r="A1623" s="21">
        <v>19</v>
      </c>
      <c r="B1623" t="s" s="22">
        <v>445</v>
      </c>
      <c r="C1623" s="23">
        <v>2</v>
      </c>
      <c r="D1623" t="s" s="24">
        <v>495</v>
      </c>
      <c r="E1623" s="25">
        <v>5.2</v>
      </c>
      <c r="F1623" s="23">
        <v>20</v>
      </c>
      <c r="G1623" s="152" cm="1">
        <f t="array" ref="G1623">SUM(E1623/F1623)</f>
        <v>0.26</v>
      </c>
      <c r="H1623" s="15"/>
    </row>
    <row r="1624" ht="13.65" customHeight="1">
      <c r="A1624" s="21">
        <v>113</v>
      </c>
      <c r="B1624" t="s" s="22">
        <v>536</v>
      </c>
      <c r="C1624" t="s" s="24">
        <v>537</v>
      </c>
      <c r="D1624" t="s" s="24">
        <v>549</v>
      </c>
      <c r="E1624" s="25">
        <v>61</v>
      </c>
      <c r="F1624" s="23">
        <v>15</v>
      </c>
      <c r="G1624" s="152" cm="1">
        <f t="array" ref="G1624">SUM(E1624/F1624)</f>
        <v>4.06666666666667</v>
      </c>
      <c r="H1624" s="15"/>
    </row>
    <row r="1625" ht="13.65" customHeight="1">
      <c r="A1625" s="21">
        <v>128</v>
      </c>
      <c r="B1625" t="s" s="22">
        <v>545</v>
      </c>
      <c r="C1625" s="23">
        <v>50</v>
      </c>
      <c r="D1625" t="s" s="24">
        <v>104</v>
      </c>
      <c r="E1625" s="25">
        <v>4.5</v>
      </c>
      <c r="F1625" s="23">
        <v>50</v>
      </c>
      <c r="G1625" s="152" cm="1">
        <f t="array" ref="G1625">SUM(E1625/F1625)</f>
        <v>0.09</v>
      </c>
      <c r="H1625" s="15"/>
    </row>
    <row r="1626" ht="13.65" customHeight="1">
      <c r="A1626" s="21">
        <v>4</v>
      </c>
      <c r="B1626" t="s" s="22">
        <v>512</v>
      </c>
      <c r="C1626" t="s" s="24">
        <v>538</v>
      </c>
      <c r="D1626" t="s" s="24">
        <v>397</v>
      </c>
      <c r="E1626" s="25">
        <v>64</v>
      </c>
      <c r="F1626" s="23">
        <v>50</v>
      </c>
      <c r="G1626" s="152" cm="1">
        <f t="array" ref="G1626">SUM(E1626/F1626)</f>
        <v>1.28</v>
      </c>
      <c r="H1626" s="15"/>
    </row>
    <row r="1627" ht="13.65" customHeight="1">
      <c r="A1627" s="21">
        <v>43</v>
      </c>
      <c r="B1627" t="s" s="22">
        <v>552</v>
      </c>
      <c r="C1627" s="23">
        <v>100</v>
      </c>
      <c r="D1627" t="s" s="24">
        <v>102</v>
      </c>
      <c r="E1627" s="25">
        <v>11</v>
      </c>
      <c r="F1627" s="23">
        <v>50</v>
      </c>
      <c r="G1627" s="152" cm="1">
        <f t="array" ref="G1627">SUM(E1627/F1627)</f>
        <v>0.22</v>
      </c>
      <c r="H1627" s="15"/>
    </row>
    <row r="1628" ht="13.65" customHeight="1">
      <c r="A1628" s="21">
        <v>121</v>
      </c>
      <c r="B1628" t="s" s="22">
        <v>539</v>
      </c>
      <c r="C1628" t="s" s="24">
        <v>538</v>
      </c>
      <c r="D1628" t="s" s="24">
        <v>540</v>
      </c>
      <c r="E1628" s="25">
        <v>132</v>
      </c>
      <c r="F1628" s="23">
        <v>200</v>
      </c>
      <c r="G1628" s="152" cm="1">
        <f t="array" ref="G1628">SUM(E1628/F1628)</f>
        <v>0.66</v>
      </c>
      <c r="H1628" s="15"/>
    </row>
    <row r="1629" ht="13.65" customHeight="1">
      <c r="A1629" s="21">
        <v>132</v>
      </c>
      <c r="B1629" t="s" s="22">
        <v>515</v>
      </c>
      <c r="C1629" t="s" s="24">
        <v>408</v>
      </c>
      <c r="D1629" t="s" s="24">
        <v>516</v>
      </c>
      <c r="E1629" s="25">
        <v>18.4</v>
      </c>
      <c r="F1629" s="23">
        <v>10</v>
      </c>
      <c r="G1629" s="152" cm="1">
        <f t="array" ref="G1629">SUM(E1629/F1629)</f>
        <v>1.84</v>
      </c>
      <c r="H1629" s="15"/>
    </row>
    <row r="1630" ht="13.65" customHeight="1">
      <c r="A1630" s="21">
        <v>134</v>
      </c>
      <c r="B1630" t="s" s="22">
        <v>541</v>
      </c>
      <c r="C1630" s="23">
        <v>7</v>
      </c>
      <c r="D1630" t="s" s="24">
        <v>542</v>
      </c>
      <c r="E1630" s="25">
        <v>52</v>
      </c>
      <c r="F1630" s="23">
        <v>14</v>
      </c>
      <c r="G1630" s="152" cm="1">
        <f t="array" ref="G1630">SUM(E1630/F1630)</f>
        <v>3.71428571428571</v>
      </c>
      <c r="H1630" s="15"/>
    </row>
    <row r="1631" ht="13.65" customHeight="1">
      <c r="A1631" s="28"/>
      <c r="B1631" s="28"/>
      <c r="C1631" s="27"/>
      <c r="D1631" s="24"/>
      <c r="E1631" s="27"/>
      <c r="F1631" t="s" s="29">
        <v>118</v>
      </c>
      <c r="G1631" s="197" cm="1">
        <f t="array" ref="G1631">SUM(G1607:G1630)</f>
        <v>19.3083523809524</v>
      </c>
      <c r="H1631" s="15"/>
    </row>
    <row r="1632" ht="13.65" customHeight="1">
      <c r="A1632" s="129"/>
      <c r="B1632" s="129"/>
      <c r="C1632" s="129"/>
      <c r="D1632" s="129"/>
      <c r="E1632" s="129"/>
      <c r="F1632" s="31"/>
      <c r="G1632" s="31"/>
      <c r="H1632" s="3"/>
    </row>
    <row r="1633" ht="11.7" customHeight="1">
      <c r="A1633" t="s" s="167">
        <v>136</v>
      </c>
      <c r="B1633" t="s" s="167">
        <v>281</v>
      </c>
      <c r="C1633" t="s" s="167">
        <v>282</v>
      </c>
      <c r="D1633" t="s" s="168">
        <v>283</v>
      </c>
      <c r="E1633" s="169"/>
      <c r="F1633" s="170"/>
      <c r="G1633" s="171"/>
      <c r="H1633" s="171"/>
    </row>
    <row r="1634" ht="13.65" customHeight="1">
      <c r="A1634" s="23">
        <v>75</v>
      </c>
      <c r="B1634" s="172" cm="1">
        <f t="array" ref="B1634">SUM(H256)</f>
        <v>2.47496540404041</v>
      </c>
      <c r="C1634" s="172" cm="1">
        <f t="array" ref="C1634">SUM(G1631)</f>
        <v>19.3083523809524</v>
      </c>
      <c r="D1634" s="199" cm="1">
        <f t="array" ref="D1634">SUM(A1634*B1634)+(C1634)</f>
        <v>204.930757683983</v>
      </c>
      <c r="E1634" s="200"/>
      <c r="F1634" s="15"/>
      <c r="G1634" s="3"/>
      <c r="H1634" s="3"/>
    </row>
    <row r="1635" ht="13.65" customHeight="1">
      <c r="A1635" s="31"/>
      <c r="B1635" s="31"/>
      <c r="C1635" s="31"/>
      <c r="D1635" s="31"/>
      <c r="E1635" s="31"/>
      <c r="F1635" s="3"/>
      <c r="G1635" s="3"/>
      <c r="H1635" s="3"/>
    </row>
    <row r="1636" ht="13.65" customHeight="1">
      <c r="A1636" s="203"/>
      <c r="B1636" s="203"/>
      <c r="C1636" s="203"/>
      <c r="D1636" s="203"/>
      <c r="E1636" s="203"/>
      <c r="F1636" s="203"/>
      <c r="G1636" s="203"/>
      <c r="H1636" s="203"/>
    </row>
    <row r="1637" ht="13.65" customHeight="1">
      <c r="A1637" t="s" s="274">
        <v>185</v>
      </c>
      <c r="B1637" s="275"/>
      <c r="C1637" s="275"/>
      <c r="D1637" s="275"/>
      <c r="E1637" s="280"/>
      <c r="F1637" s="275"/>
      <c r="G1637" s="275"/>
      <c r="H1637" s="277"/>
    </row>
    <row r="1638" ht="13.65" customHeight="1">
      <c r="A1638" s="278"/>
      <c r="B1638" s="278"/>
      <c r="C1638" s="278"/>
      <c r="D1638" s="278"/>
      <c r="E1638" s="278"/>
      <c r="F1638" s="278"/>
      <c r="G1638" s="278"/>
      <c r="H1638" s="278"/>
    </row>
    <row r="1639" ht="13.65" customHeight="1">
      <c r="A1639" s="3"/>
      <c r="B1639" s="3"/>
      <c r="C1639" s="3"/>
      <c r="D1639" s="3"/>
      <c r="E1639" s="3"/>
      <c r="F1639" s="3"/>
      <c r="G1639" s="3"/>
      <c r="H1639" s="3"/>
    </row>
    <row r="1640" ht="13.65" customHeight="1">
      <c r="A1640" t="s" s="5">
        <v>553</v>
      </c>
      <c r="B1640" s="3"/>
      <c r="C1640" s="3"/>
      <c r="D1640" s="3"/>
      <c r="E1640" s="3"/>
      <c r="F1640" s="3"/>
      <c r="G1640" s="3"/>
      <c r="H1640" s="3"/>
    </row>
    <row r="1641" ht="13.65" customHeight="1">
      <c r="A1641" s="11"/>
      <c r="B1641" s="11"/>
      <c r="C1641" s="11"/>
      <c r="D1641" s="11"/>
      <c r="E1641" s="11"/>
      <c r="F1641" s="11"/>
      <c r="G1641" s="11"/>
      <c r="H1641" s="3"/>
    </row>
    <row r="1642" ht="13.65" customHeight="1">
      <c r="A1642" s="12"/>
      <c r="B1642" s="12"/>
      <c r="C1642" s="13"/>
      <c r="D1642" s="14"/>
      <c r="E1642" s="13"/>
      <c r="F1642" s="13"/>
      <c r="G1642" t="s" s="14">
        <v>252</v>
      </c>
      <c r="H1642" s="150"/>
    </row>
    <row r="1643" ht="13.65" customHeight="1">
      <c r="A1643" t="s" s="16">
        <v>93</v>
      </c>
      <c r="B1643" t="s" s="16">
        <v>94</v>
      </c>
      <c r="C1643" t="s" s="16">
        <v>95</v>
      </c>
      <c r="D1643" t="s" s="16">
        <v>96</v>
      </c>
      <c r="E1643" t="s" s="16">
        <v>97</v>
      </c>
      <c r="F1643" t="s" s="16">
        <v>98</v>
      </c>
      <c r="G1643" t="s" s="16">
        <v>99</v>
      </c>
      <c r="H1643" s="15"/>
    </row>
    <row r="1644" ht="13.65" customHeight="1">
      <c r="A1644" s="151"/>
      <c r="B1644" s="151"/>
      <c r="C1644" s="19"/>
      <c r="D1644" s="20"/>
      <c r="E1644" s="19"/>
      <c r="F1644" s="19"/>
      <c r="G1644" t="s" s="20">
        <v>100</v>
      </c>
      <c r="H1644" s="15"/>
    </row>
    <row r="1645" ht="13.65" customHeight="1">
      <c r="A1645" s="21">
        <v>72</v>
      </c>
      <c r="B1645" t="s" s="22">
        <v>101</v>
      </c>
      <c r="C1645" s="23">
        <v>50</v>
      </c>
      <c r="D1645" t="s" s="24">
        <v>102</v>
      </c>
      <c r="E1645" s="25">
        <v>1.93</v>
      </c>
      <c r="F1645" s="23">
        <v>25</v>
      </c>
      <c r="G1645" s="152" cm="1">
        <f t="array" ref="G1645">SUM(E1645/F1645)</f>
        <v>0.0772</v>
      </c>
      <c r="H1645" s="15"/>
    </row>
    <row r="1646" ht="13.65" customHeight="1">
      <c r="A1646" s="21">
        <v>123</v>
      </c>
      <c r="B1646" t="s" s="22">
        <v>103</v>
      </c>
      <c r="C1646" s="23">
        <v>40</v>
      </c>
      <c r="D1646" t="s" s="24">
        <v>104</v>
      </c>
      <c r="E1646" s="25">
        <v>3.2</v>
      </c>
      <c r="F1646" s="23">
        <v>40</v>
      </c>
      <c r="G1646" s="152" cm="1">
        <f t="array" ref="G1646">SUM(E1646/F1646)</f>
        <v>0.08</v>
      </c>
      <c r="H1646" s="15"/>
    </row>
    <row r="1647" ht="13.65" customHeight="1">
      <c r="A1647" s="21">
        <v>57</v>
      </c>
      <c r="B1647" t="s" s="22">
        <v>253</v>
      </c>
      <c r="C1647" t="s" s="24">
        <v>254</v>
      </c>
      <c r="D1647" t="s" s="24">
        <v>371</v>
      </c>
      <c r="E1647" s="25">
        <v>4.5</v>
      </c>
      <c r="F1647" s="23">
        <v>33</v>
      </c>
      <c r="G1647" s="152" cm="1">
        <f t="array" ref="G1647">SUM(E1647/F1647)</f>
        <v>0.136363636363636</v>
      </c>
      <c r="H1647" s="15"/>
    </row>
    <row r="1648" ht="13.65" customHeight="1">
      <c r="A1648" s="21">
        <v>86</v>
      </c>
      <c r="B1648" t="s" s="22">
        <v>107</v>
      </c>
      <c r="C1648" t="s" s="24">
        <v>108</v>
      </c>
      <c r="D1648" t="s" s="24">
        <v>102</v>
      </c>
      <c r="E1648" s="25">
        <v>0.32</v>
      </c>
      <c r="F1648" t="s" s="24">
        <v>387</v>
      </c>
      <c r="G1648" s="152" cm="1">
        <f t="array" ref="G1648">SUM(E1648*2)</f>
        <v>0.64</v>
      </c>
      <c r="H1648" s="15"/>
    </row>
    <row r="1649" ht="13.65" customHeight="1">
      <c r="A1649" s="21">
        <v>71</v>
      </c>
      <c r="B1649" t="s" s="22">
        <v>109</v>
      </c>
      <c r="C1649" s="23">
        <v>10</v>
      </c>
      <c r="D1649" t="s" s="24">
        <v>102</v>
      </c>
      <c r="E1649" s="25">
        <v>5.92</v>
      </c>
      <c r="F1649" s="23">
        <v>5</v>
      </c>
      <c r="G1649" s="152" cm="1">
        <f t="array" ref="G1649">SUM(E1649/F1649)</f>
        <v>1.184</v>
      </c>
      <c r="H1649" s="15"/>
    </row>
    <row r="1650" ht="13.65" customHeight="1">
      <c r="A1650" s="21">
        <v>87</v>
      </c>
      <c r="B1650" t="s" s="22">
        <v>110</v>
      </c>
      <c r="C1650" s="23">
        <v>50</v>
      </c>
      <c r="D1650" t="s" s="24">
        <v>102</v>
      </c>
      <c r="E1650" s="25">
        <v>9</v>
      </c>
      <c r="F1650" s="23">
        <v>25</v>
      </c>
      <c r="G1650" s="152" cm="1">
        <f t="array" ref="G1650">SUM(E1650/F1650)</f>
        <v>0.36</v>
      </c>
      <c r="H1650" s="15"/>
    </row>
    <row r="1651" ht="13.65" customHeight="1">
      <c r="A1651" s="21">
        <v>55</v>
      </c>
      <c r="B1651" t="s" s="22">
        <v>111</v>
      </c>
      <c r="C1651" t="s" s="24">
        <v>112</v>
      </c>
      <c r="D1651" t="s" s="24">
        <v>113</v>
      </c>
      <c r="E1651" s="25">
        <v>2.71</v>
      </c>
      <c r="F1651" s="23">
        <v>75</v>
      </c>
      <c r="G1651" s="152" cm="1">
        <f t="array" ref="G1651">SUM(E1651/F1651)</f>
        <v>0.0361333333333333</v>
      </c>
      <c r="H1651" s="15"/>
    </row>
    <row r="1652" ht="13.65" customHeight="1">
      <c r="A1652" s="21">
        <v>10</v>
      </c>
      <c r="B1652" t="s" s="22">
        <v>554</v>
      </c>
      <c r="C1652" t="s" s="24">
        <v>396</v>
      </c>
      <c r="D1652" t="s" s="24">
        <v>397</v>
      </c>
      <c r="E1652" s="25">
        <v>3.92</v>
      </c>
      <c r="F1652" s="23">
        <v>50</v>
      </c>
      <c r="G1652" s="152" cm="1">
        <f t="array" ref="G1652">SUM(E1652/F1652)</f>
        <v>0.0784</v>
      </c>
      <c r="H1652" s="15"/>
    </row>
    <row r="1653" ht="13.65" customHeight="1">
      <c r="A1653" s="21">
        <v>9</v>
      </c>
      <c r="B1653" t="s" s="22">
        <v>555</v>
      </c>
      <c r="C1653" s="23">
        <v>50</v>
      </c>
      <c r="D1653" t="s" s="24">
        <v>104</v>
      </c>
      <c r="E1653" s="25">
        <v>14</v>
      </c>
      <c r="F1653" s="23">
        <v>50</v>
      </c>
      <c r="G1653" s="152" cm="1">
        <f t="array" ref="G1653">SUM(E1653/F1653)</f>
        <v>0.28</v>
      </c>
      <c r="H1653" s="15"/>
    </row>
    <row r="1654" ht="13.65" customHeight="1">
      <c r="A1654" s="21">
        <v>6</v>
      </c>
      <c r="B1654" t="s" s="22">
        <v>556</v>
      </c>
      <c r="C1654" s="23">
        <v>100</v>
      </c>
      <c r="D1654" t="s" s="24">
        <v>104</v>
      </c>
      <c r="E1654" s="25">
        <v>19</v>
      </c>
      <c r="F1654" s="23">
        <v>100</v>
      </c>
      <c r="G1654" s="152" cm="1">
        <f t="array" ref="G1654">SUM(E1654/F1654)</f>
        <v>0.19</v>
      </c>
      <c r="H1654" s="15"/>
    </row>
    <row r="1655" ht="13.65" customHeight="1">
      <c r="A1655" s="21">
        <v>79</v>
      </c>
      <c r="B1655" t="s" s="22">
        <v>439</v>
      </c>
      <c r="C1655" s="23">
        <v>20</v>
      </c>
      <c r="D1655" t="s" s="24">
        <v>104</v>
      </c>
      <c r="E1655" s="25">
        <v>25</v>
      </c>
      <c r="F1655" s="23">
        <v>20</v>
      </c>
      <c r="G1655" s="152" cm="1">
        <f t="array" ref="G1655">SUM(E1655/F1655)</f>
        <v>1.25</v>
      </c>
      <c r="H1655" s="15"/>
    </row>
    <row r="1656" ht="13.65" customHeight="1">
      <c r="A1656" s="21">
        <v>11</v>
      </c>
      <c r="B1656" t="s" s="22">
        <v>557</v>
      </c>
      <c r="C1656" t="s" s="24">
        <v>441</v>
      </c>
      <c r="D1656" t="s" s="24">
        <v>442</v>
      </c>
      <c r="E1656" s="25">
        <v>49</v>
      </c>
      <c r="F1656" s="23">
        <v>44</v>
      </c>
      <c r="G1656" s="152" cm="1">
        <f t="array" ref="G1656">SUM(E1656/F1656)</f>
        <v>1.11363636363636</v>
      </c>
      <c r="H1656" s="15"/>
    </row>
    <row r="1657" ht="13.65" customHeight="1">
      <c r="A1657" s="21">
        <v>19</v>
      </c>
      <c r="B1657" t="s" s="22">
        <v>437</v>
      </c>
      <c r="C1657" s="23">
        <v>2</v>
      </c>
      <c r="D1657" t="s" s="24">
        <v>495</v>
      </c>
      <c r="E1657" s="25">
        <v>5.2</v>
      </c>
      <c r="F1657" s="23">
        <v>20</v>
      </c>
      <c r="G1657" s="152" cm="1">
        <f t="array" ref="G1657">SUM(E1657/F1657)</f>
        <v>0.26</v>
      </c>
      <c r="H1657" s="15"/>
    </row>
    <row r="1658" ht="13.65" customHeight="1">
      <c r="A1658" s="21">
        <v>19</v>
      </c>
      <c r="B1658" t="s" s="22">
        <v>445</v>
      </c>
      <c r="C1658" s="23">
        <v>2</v>
      </c>
      <c r="D1658" t="s" s="24">
        <v>495</v>
      </c>
      <c r="E1658" s="25">
        <v>5.2</v>
      </c>
      <c r="F1658" s="23">
        <v>20</v>
      </c>
      <c r="G1658" s="152" cm="1">
        <f t="array" ref="G1658">SUM(E1658/F1658)</f>
        <v>0.26</v>
      </c>
      <c r="H1658" s="15"/>
    </row>
    <row r="1659" ht="13.65" customHeight="1">
      <c r="A1659" s="21">
        <v>106</v>
      </c>
      <c r="B1659" t="s" s="22">
        <v>558</v>
      </c>
      <c r="C1659" s="23">
        <v>20</v>
      </c>
      <c r="D1659" t="s" s="24">
        <v>104</v>
      </c>
      <c r="E1659" s="25">
        <v>41.91</v>
      </c>
      <c r="F1659" s="23">
        <v>20</v>
      </c>
      <c r="G1659" s="152" cm="1">
        <f t="array" ref="G1659">SUM(E1659/F1659)</f>
        <v>2.0955</v>
      </c>
      <c r="H1659" s="15"/>
    </row>
    <row r="1660" ht="13.65" customHeight="1">
      <c r="A1660" s="21">
        <v>75</v>
      </c>
      <c r="B1660" t="s" s="22">
        <v>425</v>
      </c>
      <c r="C1660" t="s" s="24">
        <v>559</v>
      </c>
      <c r="D1660" t="s" s="24">
        <v>373</v>
      </c>
      <c r="E1660" s="25">
        <v>42</v>
      </c>
      <c r="F1660" s="23">
        <v>15</v>
      </c>
      <c r="G1660" s="152" cm="1">
        <f t="array" ref="G1660">SUM(E1660/F1660)</f>
        <v>2.8</v>
      </c>
      <c r="H1660" s="15"/>
    </row>
    <row r="1661" ht="13.65" customHeight="1">
      <c r="A1661" s="28"/>
      <c r="B1661" s="28"/>
      <c r="C1661" t="s" s="24">
        <v>560</v>
      </c>
      <c r="D1661" t="s" s="24">
        <v>561</v>
      </c>
      <c r="E1661" s="25">
        <v>12</v>
      </c>
      <c r="F1661" s="23">
        <v>30</v>
      </c>
      <c r="G1661" s="152" cm="1">
        <f t="array" ref="G1661">SUM(E1661/F1661)</f>
        <v>0.4</v>
      </c>
      <c r="H1661" s="15"/>
    </row>
    <row r="1662" ht="13.65" customHeight="1">
      <c r="A1662" s="21">
        <v>89</v>
      </c>
      <c r="B1662" t="s" s="22">
        <v>562</v>
      </c>
      <c r="C1662" t="s" s="24">
        <v>563</v>
      </c>
      <c r="D1662" t="s" s="24">
        <v>564</v>
      </c>
      <c r="E1662" s="25">
        <v>1.5</v>
      </c>
      <c r="F1662" s="23">
        <v>8</v>
      </c>
      <c r="G1662" s="152" cm="1">
        <f t="array" ref="G1662">SUM(E1662/F1662)</f>
        <v>0.1875</v>
      </c>
      <c r="H1662" s="15"/>
    </row>
    <row r="1663" ht="13.65" customHeight="1">
      <c r="A1663" s="21">
        <v>42</v>
      </c>
      <c r="B1663" t="s" s="22">
        <v>528</v>
      </c>
      <c r="C1663" s="23">
        <v>100</v>
      </c>
      <c r="D1663" t="s" s="24">
        <v>102</v>
      </c>
      <c r="E1663" s="25">
        <v>11</v>
      </c>
      <c r="F1663" s="23">
        <v>50</v>
      </c>
      <c r="G1663" s="152" cm="1">
        <f t="array" ref="G1663">SUM(E1663/F1663)</f>
        <v>0.22</v>
      </c>
      <c r="H1663" s="15"/>
    </row>
    <row r="1664" ht="13.65" customHeight="1">
      <c r="A1664" s="28"/>
      <c r="B1664" s="28"/>
      <c r="C1664" s="27"/>
      <c r="D1664" s="24"/>
      <c r="E1664" s="27"/>
      <c r="F1664" t="s" s="29">
        <v>118</v>
      </c>
      <c r="G1664" s="197" cm="1">
        <f t="array" ref="G1664">SUM(G1645:G1663)</f>
        <v>11.6487333333333</v>
      </c>
      <c r="H1664" s="15"/>
    </row>
    <row r="1665" ht="13.65" customHeight="1">
      <c r="A1665" s="129"/>
      <c r="B1665" s="129"/>
      <c r="C1665" s="129"/>
      <c r="D1665" s="129"/>
      <c r="E1665" s="129"/>
      <c r="F1665" s="31"/>
      <c r="G1665" s="31"/>
      <c r="H1665" s="3"/>
    </row>
    <row r="1666" ht="11.7" customHeight="1">
      <c r="A1666" t="s" s="167">
        <v>136</v>
      </c>
      <c r="B1666" t="s" s="167">
        <v>281</v>
      </c>
      <c r="C1666" t="s" s="167">
        <v>282</v>
      </c>
      <c r="D1666" t="s" s="168">
        <v>283</v>
      </c>
      <c r="E1666" s="169"/>
      <c r="F1666" s="170"/>
      <c r="G1666" s="171"/>
      <c r="H1666" s="171"/>
    </row>
    <row r="1667" ht="13.65" customHeight="1">
      <c r="A1667" s="23">
        <v>45</v>
      </c>
      <c r="B1667" s="172" cm="1">
        <f t="array" ref="B1667">SUM(H256)</f>
        <v>2.47496540404041</v>
      </c>
      <c r="C1667" s="172" cm="1">
        <f t="array" ref="C1667">SUM(G1664)</f>
        <v>11.6487333333333</v>
      </c>
      <c r="D1667" s="199" cm="1">
        <f t="array" ref="D1667">SUM(A1667*B1667)+(C1667)</f>
        <v>123.022176515152</v>
      </c>
      <c r="E1667" s="200"/>
      <c r="F1667" s="15"/>
      <c r="G1667" s="3"/>
      <c r="H1667" s="3"/>
    </row>
    <row r="1668" ht="13.65" customHeight="1">
      <c r="A1668" s="31"/>
      <c r="B1668" s="31"/>
      <c r="C1668" s="31"/>
      <c r="D1668" s="31"/>
      <c r="E1668" s="31"/>
      <c r="F1668" s="3"/>
      <c r="G1668" s="3"/>
      <c r="H1668" s="3"/>
    </row>
    <row r="1669" ht="13.65" customHeight="1">
      <c r="A1669" s="3"/>
      <c r="B1669" s="3"/>
      <c r="C1669" s="3"/>
      <c r="D1669" s="3"/>
      <c r="E1669" s="3"/>
      <c r="F1669" s="3"/>
      <c r="G1669" s="3"/>
      <c r="H1669" s="3"/>
    </row>
    <row r="1670" ht="13.65" customHeight="1">
      <c r="A1670" t="s" s="5">
        <v>565</v>
      </c>
      <c r="B1670" s="3"/>
      <c r="C1670" s="3"/>
      <c r="D1670" s="3"/>
      <c r="E1670" s="3"/>
      <c r="F1670" s="3"/>
      <c r="G1670" s="3"/>
      <c r="H1670" s="3"/>
    </row>
    <row r="1671" ht="13.65" customHeight="1">
      <c r="A1671" s="11"/>
      <c r="B1671" s="11"/>
      <c r="C1671" s="11"/>
      <c r="D1671" s="11"/>
      <c r="E1671" s="11"/>
      <c r="F1671" s="11"/>
      <c r="G1671" s="11"/>
      <c r="H1671" s="3"/>
    </row>
    <row r="1672" ht="13.65" customHeight="1">
      <c r="A1672" s="12"/>
      <c r="B1672" s="12"/>
      <c r="C1672" s="13"/>
      <c r="D1672" s="14"/>
      <c r="E1672" s="13"/>
      <c r="F1672" s="13"/>
      <c r="G1672" t="s" s="14">
        <v>252</v>
      </c>
      <c r="H1672" s="150"/>
    </row>
    <row r="1673" ht="13.65" customHeight="1">
      <c r="A1673" t="s" s="16">
        <v>93</v>
      </c>
      <c r="B1673" t="s" s="16">
        <v>94</v>
      </c>
      <c r="C1673" t="s" s="16">
        <v>95</v>
      </c>
      <c r="D1673" t="s" s="16">
        <v>96</v>
      </c>
      <c r="E1673" t="s" s="16">
        <v>97</v>
      </c>
      <c r="F1673" t="s" s="16">
        <v>98</v>
      </c>
      <c r="G1673" t="s" s="16">
        <v>99</v>
      </c>
      <c r="H1673" s="15"/>
    </row>
    <row r="1674" ht="13.65" customHeight="1">
      <c r="A1674" s="151"/>
      <c r="B1674" s="151"/>
      <c r="C1674" s="19"/>
      <c r="D1674" s="20"/>
      <c r="E1674" s="19"/>
      <c r="F1674" s="19"/>
      <c r="G1674" t="s" s="20">
        <v>100</v>
      </c>
      <c r="H1674" s="15"/>
    </row>
    <row r="1675" ht="13.65" customHeight="1">
      <c r="A1675" s="21">
        <v>72</v>
      </c>
      <c r="B1675" t="s" s="22">
        <v>101</v>
      </c>
      <c r="C1675" s="23">
        <v>50</v>
      </c>
      <c r="D1675" t="s" s="24">
        <v>102</v>
      </c>
      <c r="E1675" s="25">
        <v>1.93</v>
      </c>
      <c r="F1675" s="23">
        <v>25</v>
      </c>
      <c r="G1675" s="152" cm="1">
        <f t="array" ref="G1675">SUM(E1675/F1675)</f>
        <v>0.0772</v>
      </c>
      <c r="H1675" s="15"/>
    </row>
    <row r="1676" ht="13.65" customHeight="1">
      <c r="A1676" s="21">
        <v>123</v>
      </c>
      <c r="B1676" t="s" s="22">
        <v>103</v>
      </c>
      <c r="C1676" s="23">
        <v>40</v>
      </c>
      <c r="D1676" t="s" s="24">
        <v>104</v>
      </c>
      <c r="E1676" s="25">
        <v>3.2</v>
      </c>
      <c r="F1676" s="23">
        <v>40</v>
      </c>
      <c r="G1676" s="152" cm="1">
        <f t="array" ref="G1676">SUM(E1676/F1676)</f>
        <v>0.08</v>
      </c>
      <c r="H1676" s="15"/>
    </row>
    <row r="1677" ht="13.65" customHeight="1">
      <c r="A1677" s="21">
        <v>57</v>
      </c>
      <c r="B1677" t="s" s="22">
        <v>253</v>
      </c>
      <c r="C1677" t="s" s="24">
        <v>254</v>
      </c>
      <c r="D1677" t="s" s="24">
        <v>371</v>
      </c>
      <c r="E1677" s="25">
        <v>4.5</v>
      </c>
      <c r="F1677" s="23">
        <v>33</v>
      </c>
      <c r="G1677" s="152" cm="1">
        <f t="array" ref="G1677">SUM(E1677/F1677)</f>
        <v>0.136363636363636</v>
      </c>
      <c r="H1677" s="15"/>
    </row>
    <row r="1678" ht="13.65" customHeight="1">
      <c r="A1678" s="21">
        <v>86</v>
      </c>
      <c r="B1678" t="s" s="22">
        <v>107</v>
      </c>
      <c r="C1678" t="s" s="24">
        <v>108</v>
      </c>
      <c r="D1678" t="s" s="24">
        <v>102</v>
      </c>
      <c r="E1678" s="25">
        <v>0.32</v>
      </c>
      <c r="F1678" t="s" s="24">
        <v>387</v>
      </c>
      <c r="G1678" s="152" cm="1">
        <f t="array" ref="G1678">SUM(E1678*2)</f>
        <v>0.64</v>
      </c>
      <c r="H1678" s="15"/>
    </row>
    <row r="1679" ht="13.65" customHeight="1">
      <c r="A1679" s="21">
        <v>71</v>
      </c>
      <c r="B1679" t="s" s="22">
        <v>109</v>
      </c>
      <c r="C1679" s="23">
        <v>10</v>
      </c>
      <c r="D1679" t="s" s="24">
        <v>102</v>
      </c>
      <c r="E1679" s="25">
        <v>5.92</v>
      </c>
      <c r="F1679" s="23">
        <v>5</v>
      </c>
      <c r="G1679" s="152" cm="1">
        <f t="array" ref="G1679">SUM(E1679/F1679)</f>
        <v>1.184</v>
      </c>
      <c r="H1679" s="15"/>
    </row>
    <row r="1680" ht="13.65" customHeight="1">
      <c r="A1680" s="21">
        <v>87</v>
      </c>
      <c r="B1680" t="s" s="22">
        <v>110</v>
      </c>
      <c r="C1680" s="23">
        <v>50</v>
      </c>
      <c r="D1680" t="s" s="24">
        <v>102</v>
      </c>
      <c r="E1680" s="25">
        <v>9</v>
      </c>
      <c r="F1680" s="23">
        <v>25</v>
      </c>
      <c r="G1680" s="152" cm="1">
        <f t="array" ref="G1680">SUM(E1680/F1680)</f>
        <v>0.36</v>
      </c>
      <c r="H1680" s="15"/>
    </row>
    <row r="1681" ht="13.65" customHeight="1">
      <c r="A1681" s="21">
        <v>55</v>
      </c>
      <c r="B1681" t="s" s="22">
        <v>111</v>
      </c>
      <c r="C1681" t="s" s="24">
        <v>112</v>
      </c>
      <c r="D1681" t="s" s="24">
        <v>113</v>
      </c>
      <c r="E1681" s="25">
        <v>2.71</v>
      </c>
      <c r="F1681" s="23">
        <v>75</v>
      </c>
      <c r="G1681" s="152" cm="1">
        <f t="array" ref="G1681">SUM(E1681/F1681)</f>
        <v>0.0361333333333333</v>
      </c>
      <c r="H1681" s="15"/>
    </row>
    <row r="1682" ht="13.65" customHeight="1">
      <c r="A1682" s="21">
        <v>10</v>
      </c>
      <c r="B1682" t="s" s="22">
        <v>554</v>
      </c>
      <c r="C1682" t="s" s="24">
        <v>566</v>
      </c>
      <c r="D1682" t="s" s="24">
        <v>397</v>
      </c>
      <c r="E1682" s="25">
        <v>3.92</v>
      </c>
      <c r="F1682" s="23">
        <v>50</v>
      </c>
      <c r="G1682" s="152" cm="1">
        <f t="array" ref="G1682">SUM(E1682/F1682)</f>
        <v>0.0784</v>
      </c>
      <c r="H1682" s="15"/>
    </row>
    <row r="1683" ht="13.65" customHeight="1">
      <c r="A1683" s="21">
        <v>9</v>
      </c>
      <c r="B1683" t="s" s="22">
        <v>555</v>
      </c>
      <c r="C1683" s="23">
        <v>50</v>
      </c>
      <c r="D1683" t="s" s="24">
        <v>104</v>
      </c>
      <c r="E1683" s="25">
        <v>14</v>
      </c>
      <c r="F1683" s="23">
        <v>50</v>
      </c>
      <c r="G1683" s="152" cm="1">
        <f t="array" ref="G1683">SUM(E1683/F1683)</f>
        <v>0.28</v>
      </c>
      <c r="H1683" s="15"/>
    </row>
    <row r="1684" ht="13.65" customHeight="1">
      <c r="A1684" s="21">
        <v>6</v>
      </c>
      <c r="B1684" t="s" s="22">
        <v>399</v>
      </c>
      <c r="C1684" s="23">
        <v>100</v>
      </c>
      <c r="D1684" t="s" s="24">
        <v>104</v>
      </c>
      <c r="E1684" s="25">
        <v>19</v>
      </c>
      <c r="F1684" s="23">
        <v>100</v>
      </c>
      <c r="G1684" s="152" cm="1">
        <f t="array" ref="G1684">SUM(E1684/F1684)</f>
        <v>0.19</v>
      </c>
      <c r="H1684" s="15"/>
    </row>
    <row r="1685" ht="13.65" customHeight="1">
      <c r="A1685" s="21">
        <v>79</v>
      </c>
      <c r="B1685" t="s" s="22">
        <v>439</v>
      </c>
      <c r="C1685" s="23">
        <v>20</v>
      </c>
      <c r="D1685" t="s" s="24">
        <v>104</v>
      </c>
      <c r="E1685" s="25">
        <v>25</v>
      </c>
      <c r="F1685" s="23">
        <v>20</v>
      </c>
      <c r="G1685" s="152" cm="1">
        <f t="array" ref="G1685">SUM(E1685/F1685)</f>
        <v>1.25</v>
      </c>
      <c r="H1685" s="15"/>
    </row>
    <row r="1686" ht="13.65" customHeight="1">
      <c r="A1686" s="21">
        <v>19</v>
      </c>
      <c r="B1686" t="s" s="22">
        <v>437</v>
      </c>
      <c r="C1686" s="23">
        <v>2</v>
      </c>
      <c r="D1686" t="s" s="24">
        <v>495</v>
      </c>
      <c r="E1686" s="25">
        <v>5.2</v>
      </c>
      <c r="F1686" s="23">
        <v>20</v>
      </c>
      <c r="G1686" s="152" cm="1">
        <f t="array" ref="G1686">SUM(E1686/F1686)</f>
        <v>0.26</v>
      </c>
      <c r="H1686" s="15"/>
    </row>
    <row r="1687" ht="13.65" customHeight="1">
      <c r="A1687" s="21">
        <v>19</v>
      </c>
      <c r="B1687" t="s" s="22">
        <v>445</v>
      </c>
      <c r="C1687" s="23">
        <v>2</v>
      </c>
      <c r="D1687" t="s" s="24">
        <v>495</v>
      </c>
      <c r="E1687" s="25">
        <v>5.2</v>
      </c>
      <c r="F1687" s="23">
        <v>20</v>
      </c>
      <c r="G1687" s="152" cm="1">
        <f t="array" ref="G1687">SUM(E1687/F1687)</f>
        <v>0.26</v>
      </c>
      <c r="H1687" s="15"/>
    </row>
    <row r="1688" ht="13.65" customHeight="1">
      <c r="A1688" s="21">
        <v>114</v>
      </c>
      <c r="B1688" t="s" s="22">
        <v>567</v>
      </c>
      <c r="C1688" t="s" s="24">
        <v>537</v>
      </c>
      <c r="D1688" t="s" s="24">
        <v>116</v>
      </c>
      <c r="E1688" s="25">
        <v>63</v>
      </c>
      <c r="F1688" s="23">
        <v>10</v>
      </c>
      <c r="G1688" s="152" cm="1">
        <f t="array" ref="G1688">SUM(E1688/F1688)</f>
        <v>6.3</v>
      </c>
      <c r="H1688" s="15"/>
    </row>
    <row r="1689" ht="13.65" customHeight="1">
      <c r="A1689" s="21">
        <v>4</v>
      </c>
      <c r="B1689" t="s" s="22">
        <v>512</v>
      </c>
      <c r="C1689" t="s" s="24">
        <v>538</v>
      </c>
      <c r="D1689" t="s" s="24">
        <v>508</v>
      </c>
      <c r="E1689" s="25">
        <v>64</v>
      </c>
      <c r="F1689" s="23">
        <v>80</v>
      </c>
      <c r="G1689" s="152" cm="1">
        <f t="array" ref="G1689">SUM(E1689/F1689)</f>
        <v>0.8</v>
      </c>
      <c r="H1689" s="15"/>
    </row>
    <row r="1690" ht="13.65" customHeight="1">
      <c r="A1690" s="21">
        <v>128</v>
      </c>
      <c r="B1690" t="s" s="22">
        <v>545</v>
      </c>
      <c r="C1690" s="23">
        <v>50</v>
      </c>
      <c r="D1690" t="s" s="24">
        <v>104</v>
      </c>
      <c r="E1690" s="25">
        <v>4.5</v>
      </c>
      <c r="F1690" s="23">
        <v>50</v>
      </c>
      <c r="G1690" s="152" cm="1">
        <f t="array" ref="G1690">SUM(E1690/F1690)</f>
        <v>0.09</v>
      </c>
      <c r="H1690" s="15"/>
    </row>
    <row r="1691" ht="13.65" customHeight="1">
      <c r="A1691" s="21">
        <v>43</v>
      </c>
      <c r="B1691" t="s" s="22">
        <v>552</v>
      </c>
      <c r="C1691" s="23">
        <v>20</v>
      </c>
      <c r="D1691" t="s" s="24">
        <v>547</v>
      </c>
      <c r="E1691" s="25">
        <v>11</v>
      </c>
      <c r="F1691" s="23">
        <v>160</v>
      </c>
      <c r="G1691" s="152" cm="1">
        <f t="array" ref="G1691">SUM(E1691/F1691)</f>
        <v>0.06875000000000001</v>
      </c>
      <c r="H1691" s="15"/>
    </row>
    <row r="1692" ht="13.65" customHeight="1">
      <c r="A1692" s="28"/>
      <c r="B1692" s="28"/>
      <c r="C1692" s="27"/>
      <c r="D1692" s="24"/>
      <c r="E1692" s="27"/>
      <c r="F1692" t="s" s="29">
        <v>118</v>
      </c>
      <c r="G1692" s="197" cm="1">
        <f t="array" ref="G1692">SUM(G1675:G1691)</f>
        <v>12.090846969697</v>
      </c>
      <c r="H1692" s="15"/>
    </row>
    <row r="1693" ht="13.65" customHeight="1">
      <c r="A1693" s="129"/>
      <c r="B1693" s="129"/>
      <c r="C1693" s="129"/>
      <c r="D1693" s="129"/>
      <c r="E1693" s="129"/>
      <c r="F1693" s="31"/>
      <c r="G1693" s="31"/>
      <c r="H1693" s="3"/>
    </row>
    <row r="1694" ht="11.7" customHeight="1">
      <c r="A1694" t="s" s="167">
        <v>136</v>
      </c>
      <c r="B1694" t="s" s="167">
        <v>281</v>
      </c>
      <c r="C1694" t="s" s="167">
        <v>282</v>
      </c>
      <c r="D1694" t="s" s="168">
        <v>283</v>
      </c>
      <c r="E1694" s="169"/>
      <c r="F1694" s="170"/>
      <c r="G1694" s="171"/>
      <c r="H1694" s="171"/>
    </row>
    <row r="1695" ht="13.65" customHeight="1">
      <c r="A1695" s="23">
        <v>60</v>
      </c>
      <c r="B1695" s="172" cm="1">
        <f t="array" ref="B1695">SUM(H256)</f>
        <v>2.47496540404041</v>
      </c>
      <c r="C1695" s="172" cm="1">
        <f t="array" ref="C1695">SUM(G1692)</f>
        <v>12.090846969697</v>
      </c>
      <c r="D1695" s="199" cm="1">
        <f t="array" ref="D1695">SUM(A1695*B1695)+(C1695)</f>
        <v>160.588771212122</v>
      </c>
      <c r="E1695" s="200"/>
      <c r="F1695" s="15"/>
      <c r="G1695" s="3"/>
      <c r="H1695" s="3"/>
    </row>
    <row r="1696" ht="13.65" customHeight="1">
      <c r="A1696" s="289"/>
      <c r="B1696" s="289"/>
      <c r="C1696" s="289"/>
      <c r="D1696" s="289"/>
      <c r="E1696" s="289"/>
      <c r="F1696" s="203"/>
      <c r="G1696" s="203"/>
      <c r="H1696" s="203"/>
    </row>
    <row r="1697" ht="13.65" customHeight="1">
      <c r="A1697" t="s" s="274">
        <v>185</v>
      </c>
      <c r="B1697" s="275"/>
      <c r="C1697" s="275"/>
      <c r="D1697" s="275"/>
      <c r="E1697" s="280"/>
      <c r="F1697" s="275"/>
      <c r="G1697" s="275"/>
      <c r="H1697" s="277"/>
    </row>
    <row r="1698" ht="13.65" customHeight="1">
      <c r="A1698" s="278"/>
      <c r="B1698" s="278"/>
      <c r="C1698" s="278"/>
      <c r="D1698" s="278"/>
      <c r="E1698" s="278"/>
      <c r="F1698" s="278"/>
      <c r="G1698" s="278"/>
      <c r="H1698" s="278"/>
    </row>
    <row r="1699" ht="13.65" customHeight="1">
      <c r="A1699" s="3"/>
      <c r="B1699" s="3"/>
      <c r="C1699" s="3"/>
      <c r="D1699" s="3"/>
      <c r="E1699" s="3"/>
      <c r="F1699" s="3"/>
      <c r="G1699" s="3"/>
      <c r="H1699" s="3"/>
    </row>
    <row r="1700" ht="13.65" customHeight="1">
      <c r="A1700" t="s" s="5">
        <v>568</v>
      </c>
      <c r="B1700" s="3"/>
      <c r="C1700" s="3"/>
      <c r="D1700" s="3"/>
      <c r="E1700" s="3"/>
      <c r="F1700" s="3"/>
      <c r="G1700" s="3"/>
      <c r="H1700" s="3"/>
    </row>
    <row r="1701" ht="13.65" customHeight="1">
      <c r="A1701" s="11"/>
      <c r="B1701" s="11"/>
      <c r="C1701" s="11"/>
      <c r="D1701" s="11"/>
      <c r="E1701" s="11"/>
      <c r="F1701" s="11"/>
      <c r="G1701" s="11"/>
      <c r="H1701" s="3"/>
    </row>
    <row r="1702" ht="13.65" customHeight="1">
      <c r="A1702" s="12"/>
      <c r="B1702" s="12"/>
      <c r="C1702" s="13"/>
      <c r="D1702" s="14"/>
      <c r="E1702" s="13"/>
      <c r="F1702" s="13"/>
      <c r="G1702" t="s" s="14">
        <v>252</v>
      </c>
      <c r="H1702" s="150"/>
    </row>
    <row r="1703" ht="13.65" customHeight="1">
      <c r="A1703" t="s" s="16">
        <v>93</v>
      </c>
      <c r="B1703" t="s" s="16">
        <v>94</v>
      </c>
      <c r="C1703" t="s" s="16">
        <v>95</v>
      </c>
      <c r="D1703" t="s" s="16">
        <v>96</v>
      </c>
      <c r="E1703" t="s" s="16">
        <v>97</v>
      </c>
      <c r="F1703" t="s" s="16">
        <v>98</v>
      </c>
      <c r="G1703" t="s" s="16">
        <v>99</v>
      </c>
      <c r="H1703" s="15"/>
    </row>
    <row r="1704" ht="13.65" customHeight="1">
      <c r="A1704" s="151"/>
      <c r="B1704" s="151"/>
      <c r="C1704" s="19"/>
      <c r="D1704" s="20"/>
      <c r="E1704" s="19"/>
      <c r="F1704" s="19"/>
      <c r="G1704" t="s" s="20">
        <v>100</v>
      </c>
      <c r="H1704" s="15"/>
    </row>
    <row r="1705" ht="13.65" customHeight="1">
      <c r="A1705" s="21">
        <v>72</v>
      </c>
      <c r="B1705" t="s" s="22">
        <v>101</v>
      </c>
      <c r="C1705" s="23">
        <v>50</v>
      </c>
      <c r="D1705" t="s" s="24">
        <v>102</v>
      </c>
      <c r="E1705" s="25">
        <v>1.93</v>
      </c>
      <c r="F1705" s="23">
        <v>25</v>
      </c>
      <c r="G1705" s="152" cm="1">
        <f t="array" ref="G1705">SUM(E1705/F1705)</f>
        <v>0.0772</v>
      </c>
      <c r="H1705" s="15"/>
    </row>
    <row r="1706" ht="13.65" customHeight="1">
      <c r="A1706" s="21">
        <v>123</v>
      </c>
      <c r="B1706" t="s" s="22">
        <v>103</v>
      </c>
      <c r="C1706" s="23">
        <v>40</v>
      </c>
      <c r="D1706" t="s" s="24">
        <v>104</v>
      </c>
      <c r="E1706" s="25">
        <v>3.2</v>
      </c>
      <c r="F1706" s="23">
        <v>40</v>
      </c>
      <c r="G1706" s="152" cm="1">
        <f t="array" ref="G1706">SUM(E1706/F1706)</f>
        <v>0.08</v>
      </c>
      <c r="H1706" s="15"/>
    </row>
    <row r="1707" ht="13.65" customHeight="1">
      <c r="A1707" s="21">
        <v>57</v>
      </c>
      <c r="B1707" t="s" s="22">
        <v>253</v>
      </c>
      <c r="C1707" t="s" s="24">
        <v>254</v>
      </c>
      <c r="D1707" t="s" s="24">
        <v>371</v>
      </c>
      <c r="E1707" s="25">
        <v>4.5</v>
      </c>
      <c r="F1707" s="23">
        <v>33</v>
      </c>
      <c r="G1707" s="152" cm="1">
        <f t="array" ref="G1707">SUM(E1707/F1707)</f>
        <v>0.136363636363636</v>
      </c>
      <c r="H1707" s="15"/>
    </row>
    <row r="1708" ht="13.65" customHeight="1">
      <c r="A1708" s="21">
        <v>86</v>
      </c>
      <c r="B1708" t="s" s="22">
        <v>107</v>
      </c>
      <c r="C1708" t="s" s="24">
        <v>108</v>
      </c>
      <c r="D1708" t="s" s="24">
        <v>102</v>
      </c>
      <c r="E1708" s="25">
        <v>0.32</v>
      </c>
      <c r="F1708" t="s" s="24">
        <v>387</v>
      </c>
      <c r="G1708" s="152" cm="1">
        <f t="array" ref="G1708">SUM(E1708*2)</f>
        <v>0.64</v>
      </c>
      <c r="H1708" s="15"/>
    </row>
    <row r="1709" ht="13.65" customHeight="1">
      <c r="A1709" s="21">
        <v>71</v>
      </c>
      <c r="B1709" t="s" s="22">
        <v>109</v>
      </c>
      <c r="C1709" s="23">
        <v>10</v>
      </c>
      <c r="D1709" t="s" s="24">
        <v>102</v>
      </c>
      <c r="E1709" s="25">
        <v>5.92</v>
      </c>
      <c r="F1709" s="23">
        <v>5</v>
      </c>
      <c r="G1709" s="152" cm="1">
        <f t="array" ref="G1709">SUM(E1709/F1709)</f>
        <v>1.184</v>
      </c>
      <c r="H1709" s="15"/>
    </row>
    <row r="1710" ht="13.65" customHeight="1">
      <c r="A1710" s="21">
        <v>87</v>
      </c>
      <c r="B1710" t="s" s="22">
        <v>110</v>
      </c>
      <c r="C1710" s="23">
        <v>50</v>
      </c>
      <c r="D1710" t="s" s="24">
        <v>102</v>
      </c>
      <c r="E1710" s="25">
        <v>9</v>
      </c>
      <c r="F1710" s="23">
        <v>25</v>
      </c>
      <c r="G1710" s="152" cm="1">
        <f t="array" ref="G1710">SUM(E1710/F1710)</f>
        <v>0.36</v>
      </c>
      <c r="H1710" s="15"/>
    </row>
    <row r="1711" ht="13.65" customHeight="1">
      <c r="A1711" s="21">
        <v>55</v>
      </c>
      <c r="B1711" t="s" s="22">
        <v>111</v>
      </c>
      <c r="C1711" t="s" s="24">
        <v>112</v>
      </c>
      <c r="D1711" t="s" s="24">
        <v>113</v>
      </c>
      <c r="E1711" s="25">
        <v>2.71</v>
      </c>
      <c r="F1711" s="23">
        <v>75</v>
      </c>
      <c r="G1711" s="152" cm="1">
        <f t="array" ref="G1711">SUM(E1711/F1711)</f>
        <v>0.0361333333333333</v>
      </c>
      <c r="H1711" s="15"/>
    </row>
    <row r="1712" ht="13.65" customHeight="1">
      <c r="A1712" s="21">
        <v>10</v>
      </c>
      <c r="B1712" t="s" s="22">
        <v>554</v>
      </c>
      <c r="C1712" t="s" s="24">
        <v>566</v>
      </c>
      <c r="D1712" t="s" s="24">
        <v>397</v>
      </c>
      <c r="E1712" s="25">
        <v>3.92</v>
      </c>
      <c r="F1712" s="23">
        <v>50</v>
      </c>
      <c r="G1712" s="152" cm="1">
        <f t="array" ref="G1712">SUM(E1712/F1712)</f>
        <v>0.0784</v>
      </c>
      <c r="H1712" s="15"/>
    </row>
    <row r="1713" ht="13.65" customHeight="1">
      <c r="A1713" s="21">
        <v>9</v>
      </c>
      <c r="B1713" t="s" s="22">
        <v>555</v>
      </c>
      <c r="C1713" s="23">
        <v>50</v>
      </c>
      <c r="D1713" t="s" s="24">
        <v>104</v>
      </c>
      <c r="E1713" s="25">
        <v>14</v>
      </c>
      <c r="F1713" s="23">
        <v>50</v>
      </c>
      <c r="G1713" s="152" cm="1">
        <f t="array" ref="G1713">SUM(E1713/F1713)</f>
        <v>0.28</v>
      </c>
      <c r="H1713" s="15"/>
    </row>
    <row r="1714" ht="13.65" customHeight="1">
      <c r="A1714" s="21">
        <v>6</v>
      </c>
      <c r="B1714" t="s" s="22">
        <v>399</v>
      </c>
      <c r="C1714" s="23">
        <v>100</v>
      </c>
      <c r="D1714" t="s" s="24">
        <v>104</v>
      </c>
      <c r="E1714" s="25">
        <v>19</v>
      </c>
      <c r="F1714" s="23">
        <v>100</v>
      </c>
      <c r="G1714" s="152" cm="1">
        <f t="array" ref="G1714">SUM(E1714/F1714)</f>
        <v>0.19</v>
      </c>
      <c r="H1714" s="15"/>
    </row>
    <row r="1715" ht="13.65" customHeight="1">
      <c r="A1715" s="21">
        <v>79</v>
      </c>
      <c r="B1715" t="s" s="22">
        <v>439</v>
      </c>
      <c r="C1715" s="23">
        <v>20</v>
      </c>
      <c r="D1715" t="s" s="24">
        <v>104</v>
      </c>
      <c r="E1715" s="25">
        <v>25</v>
      </c>
      <c r="F1715" s="23">
        <v>20</v>
      </c>
      <c r="G1715" s="152" cm="1">
        <f t="array" ref="G1715">SUM(E1715/F1715)</f>
        <v>1.25</v>
      </c>
      <c r="H1715" s="15"/>
    </row>
    <row r="1716" ht="13.65" customHeight="1">
      <c r="A1716" s="21">
        <v>11</v>
      </c>
      <c r="B1716" t="s" s="22">
        <v>569</v>
      </c>
      <c r="C1716" t="s" s="24">
        <v>441</v>
      </c>
      <c r="D1716" t="s" s="24">
        <v>442</v>
      </c>
      <c r="E1716" s="25">
        <v>49</v>
      </c>
      <c r="F1716" s="23">
        <v>44</v>
      </c>
      <c r="G1716" s="152" cm="1">
        <f t="array" ref="G1716">SUM(E1716/F1716)</f>
        <v>1.11363636363636</v>
      </c>
      <c r="H1716" s="15"/>
    </row>
    <row r="1717" ht="13.65" customHeight="1">
      <c r="A1717" s="21">
        <v>19</v>
      </c>
      <c r="B1717" t="s" s="22">
        <v>437</v>
      </c>
      <c r="C1717" s="23">
        <v>2</v>
      </c>
      <c r="D1717" t="s" s="24">
        <v>495</v>
      </c>
      <c r="E1717" s="25">
        <v>5.2</v>
      </c>
      <c r="F1717" s="23">
        <v>20</v>
      </c>
      <c r="G1717" s="152" cm="1">
        <f t="array" ref="G1717">SUM(E1717/F1717)</f>
        <v>0.26</v>
      </c>
      <c r="H1717" s="15"/>
    </row>
    <row r="1718" ht="13.65" customHeight="1">
      <c r="A1718" s="21">
        <v>19</v>
      </c>
      <c r="B1718" t="s" s="22">
        <v>445</v>
      </c>
      <c r="C1718" s="23">
        <v>2</v>
      </c>
      <c r="D1718" t="s" s="24">
        <v>495</v>
      </c>
      <c r="E1718" s="25">
        <v>5.2</v>
      </c>
      <c r="F1718" s="23">
        <v>20</v>
      </c>
      <c r="G1718" s="152" cm="1">
        <f t="array" ref="G1718">SUM(E1718/F1718)</f>
        <v>0.26</v>
      </c>
      <c r="H1718" s="15"/>
    </row>
    <row r="1719" ht="13.65" customHeight="1">
      <c r="A1719" s="21">
        <v>90</v>
      </c>
      <c r="B1719" t="s" s="22">
        <v>507</v>
      </c>
      <c r="C1719" t="s" s="24">
        <v>380</v>
      </c>
      <c r="D1719" t="s" s="24">
        <v>401</v>
      </c>
      <c r="E1719" s="25">
        <v>13.5</v>
      </c>
      <c r="F1719" s="23">
        <v>30</v>
      </c>
      <c r="G1719" s="152" cm="1">
        <f t="array" ref="G1719">SUM(E1719/F1719)</f>
        <v>0.45</v>
      </c>
      <c r="H1719" s="15"/>
    </row>
    <row r="1720" ht="13.65" customHeight="1">
      <c r="A1720" s="21">
        <v>81</v>
      </c>
      <c r="B1720" t="s" s="22">
        <v>509</v>
      </c>
      <c r="C1720" t="s" s="24">
        <v>510</v>
      </c>
      <c r="D1720" t="s" s="24">
        <v>570</v>
      </c>
      <c r="E1720" s="25">
        <v>41</v>
      </c>
      <c r="F1720" s="23">
        <v>16</v>
      </c>
      <c r="G1720" s="152" cm="1">
        <f t="array" ref="G1720">SUM(E1720/F1720)</f>
        <v>2.5625</v>
      </c>
      <c r="H1720" s="15"/>
    </row>
    <row r="1721" ht="13.65" customHeight="1">
      <c r="A1721" s="21">
        <v>89</v>
      </c>
      <c r="B1721" t="s" s="22">
        <v>519</v>
      </c>
      <c r="C1721" t="s" s="24">
        <v>255</v>
      </c>
      <c r="D1721" t="s" s="24">
        <v>520</v>
      </c>
      <c r="E1721" s="25">
        <v>1.5</v>
      </c>
      <c r="F1721" s="23">
        <v>8</v>
      </c>
      <c r="G1721" s="152" cm="1">
        <f t="array" ref="G1721">SUM(E1721/F1721)</f>
        <v>0.1875</v>
      </c>
      <c r="H1721" s="15"/>
    </row>
    <row r="1722" ht="13.65" customHeight="1">
      <c r="A1722" s="21">
        <v>42</v>
      </c>
      <c r="B1722" t="s" s="22">
        <v>521</v>
      </c>
      <c r="C1722" s="23">
        <v>100</v>
      </c>
      <c r="D1722" t="s" s="24">
        <v>102</v>
      </c>
      <c r="E1722" s="25">
        <v>11</v>
      </c>
      <c r="F1722" s="23">
        <v>50</v>
      </c>
      <c r="G1722" s="152" cm="1">
        <f t="array" ref="G1722">SUM(E1722/F1722)</f>
        <v>0.22</v>
      </c>
      <c r="H1722" s="15"/>
    </row>
    <row r="1723" ht="13.65" customHeight="1">
      <c r="A1723" s="21">
        <v>4</v>
      </c>
      <c r="B1723" t="s" s="22">
        <v>512</v>
      </c>
      <c r="C1723" t="s" s="24">
        <v>513</v>
      </c>
      <c r="D1723" t="s" s="24">
        <v>514</v>
      </c>
      <c r="E1723" s="25">
        <v>64</v>
      </c>
      <c r="F1723" s="23">
        <v>22</v>
      </c>
      <c r="G1723" s="152" cm="1">
        <f t="array" ref="G1723">SUM(E1723/F1723)</f>
        <v>2.90909090909091</v>
      </c>
      <c r="H1723" s="15"/>
    </row>
    <row r="1724" ht="13.65" customHeight="1">
      <c r="A1724" s="28"/>
      <c r="B1724" s="28"/>
      <c r="C1724" s="27"/>
      <c r="D1724" s="24"/>
      <c r="E1724" s="27"/>
      <c r="F1724" t="s" s="29">
        <v>118</v>
      </c>
      <c r="G1724" s="197" cm="1">
        <f t="array" ref="G1724">SUM(G1705:G1723)</f>
        <v>12.2748242424242</v>
      </c>
      <c r="H1724" s="15"/>
    </row>
    <row r="1725" ht="13.65" customHeight="1">
      <c r="A1725" s="129"/>
      <c r="B1725" s="129"/>
      <c r="C1725" s="129"/>
      <c r="D1725" s="129"/>
      <c r="E1725" s="129"/>
      <c r="F1725" s="31"/>
      <c r="G1725" s="31"/>
      <c r="H1725" s="3"/>
    </row>
    <row r="1726" ht="11.7" customHeight="1">
      <c r="A1726" t="s" s="167">
        <v>136</v>
      </c>
      <c r="B1726" t="s" s="167">
        <v>281</v>
      </c>
      <c r="C1726" t="s" s="167">
        <v>282</v>
      </c>
      <c r="D1726" t="s" s="168">
        <v>283</v>
      </c>
      <c r="E1726" s="169"/>
      <c r="F1726" s="170"/>
      <c r="G1726" s="171"/>
      <c r="H1726" s="171"/>
    </row>
    <row r="1727" ht="13.65" customHeight="1">
      <c r="A1727" s="23">
        <v>60</v>
      </c>
      <c r="B1727" s="172" cm="1">
        <f t="array" ref="B1727">SUM(H256)</f>
        <v>2.47496540404041</v>
      </c>
      <c r="C1727" s="172" cm="1">
        <f t="array" ref="C1727">SUM(G1724)</f>
        <v>12.2748242424242</v>
      </c>
      <c r="D1727" s="199" cm="1">
        <f t="array" ref="D1727">SUM(A1727*B1727)+(C1727)</f>
        <v>160.772748484849</v>
      </c>
      <c r="E1727" s="200"/>
      <c r="F1727" s="15"/>
      <c r="G1727" s="3"/>
      <c r="H1727" s="3"/>
    </row>
    <row r="1728" ht="13.65" customHeight="1">
      <c r="A1728" s="31"/>
      <c r="B1728" s="31"/>
      <c r="C1728" s="31"/>
      <c r="D1728" s="31"/>
      <c r="E1728" s="31"/>
      <c r="F1728" s="3"/>
      <c r="G1728" s="3"/>
      <c r="H1728" s="3"/>
    </row>
    <row r="1729" ht="13.65" customHeight="1">
      <c r="A1729" s="3"/>
      <c r="B1729" s="3"/>
      <c r="C1729" s="3"/>
      <c r="D1729" s="3"/>
      <c r="E1729" s="3"/>
      <c r="F1729" s="3"/>
      <c r="G1729" s="3"/>
      <c r="H1729" s="3"/>
    </row>
    <row r="1730" ht="13.65" customHeight="1">
      <c r="A1730" t="s" s="5">
        <v>571</v>
      </c>
      <c r="B1730" s="3"/>
      <c r="C1730" s="3"/>
      <c r="D1730" s="3"/>
      <c r="E1730" s="3"/>
      <c r="F1730" s="3"/>
      <c r="G1730" s="3"/>
      <c r="H1730" s="3"/>
    </row>
    <row r="1731" ht="13.65" customHeight="1">
      <c r="A1731" s="11"/>
      <c r="B1731" s="11"/>
      <c r="C1731" s="11"/>
      <c r="D1731" s="11"/>
      <c r="E1731" s="11"/>
      <c r="F1731" s="11"/>
      <c r="G1731" s="11"/>
      <c r="H1731" s="3"/>
    </row>
    <row r="1732" ht="13.65" customHeight="1">
      <c r="A1732" s="12"/>
      <c r="B1732" s="12"/>
      <c r="C1732" s="13"/>
      <c r="D1732" s="14"/>
      <c r="E1732" s="13"/>
      <c r="F1732" s="13"/>
      <c r="G1732" t="s" s="14">
        <v>252</v>
      </c>
      <c r="H1732" s="150"/>
    </row>
    <row r="1733" ht="13.65" customHeight="1">
      <c r="A1733" t="s" s="16">
        <v>93</v>
      </c>
      <c r="B1733" t="s" s="16">
        <v>94</v>
      </c>
      <c r="C1733" t="s" s="16">
        <v>95</v>
      </c>
      <c r="D1733" t="s" s="16">
        <v>96</v>
      </c>
      <c r="E1733" t="s" s="16">
        <v>97</v>
      </c>
      <c r="F1733" t="s" s="16">
        <v>98</v>
      </c>
      <c r="G1733" t="s" s="16">
        <v>99</v>
      </c>
      <c r="H1733" s="15"/>
    </row>
    <row r="1734" ht="13.65" customHeight="1">
      <c r="A1734" s="151"/>
      <c r="B1734" s="151"/>
      <c r="C1734" s="19"/>
      <c r="D1734" s="20"/>
      <c r="E1734" s="19"/>
      <c r="F1734" s="19"/>
      <c r="G1734" t="s" s="20">
        <v>100</v>
      </c>
      <c r="H1734" s="15"/>
    </row>
    <row r="1735" ht="13.65" customHeight="1">
      <c r="A1735" s="21">
        <v>42</v>
      </c>
      <c r="B1735" t="s" s="22">
        <v>101</v>
      </c>
      <c r="C1735" s="23">
        <v>50</v>
      </c>
      <c r="D1735" t="s" s="24">
        <v>274</v>
      </c>
      <c r="E1735" s="25">
        <v>1.93</v>
      </c>
      <c r="F1735" s="23">
        <v>12.5</v>
      </c>
      <c r="G1735" s="152" cm="1">
        <f t="array" ref="G1735">SUM(E1735/F1735)</f>
        <v>0.1544</v>
      </c>
      <c r="H1735" s="15"/>
    </row>
    <row r="1736" ht="13.65" customHeight="1">
      <c r="A1736" s="21">
        <v>123</v>
      </c>
      <c r="B1736" t="s" s="22">
        <v>103</v>
      </c>
      <c r="C1736" s="23">
        <v>40</v>
      </c>
      <c r="D1736" t="s" s="24">
        <v>104</v>
      </c>
      <c r="E1736" s="25">
        <v>3.2</v>
      </c>
      <c r="F1736" s="23">
        <v>40</v>
      </c>
      <c r="G1736" s="152" cm="1">
        <f t="array" ref="G1736">SUM(E1736/F1736)</f>
        <v>0.08</v>
      </c>
      <c r="H1736" s="15"/>
    </row>
    <row r="1737" ht="13.65" customHeight="1">
      <c r="A1737" s="21">
        <v>86</v>
      </c>
      <c r="B1737" t="s" s="22">
        <v>107</v>
      </c>
      <c r="C1737" t="s" s="24">
        <v>108</v>
      </c>
      <c r="D1737" t="s" s="24">
        <v>274</v>
      </c>
      <c r="E1737" s="25">
        <v>0.32</v>
      </c>
      <c r="F1737" t="s" s="24">
        <v>301</v>
      </c>
      <c r="G1737" s="152" cm="1">
        <f t="array" ref="G1737">SUM(E1737*4)</f>
        <v>1.28</v>
      </c>
      <c r="H1737" s="15"/>
    </row>
    <row r="1738" ht="13.65" customHeight="1">
      <c r="A1738" s="21">
        <v>71</v>
      </c>
      <c r="B1738" t="s" s="22">
        <v>109</v>
      </c>
      <c r="C1738" s="23">
        <v>10</v>
      </c>
      <c r="D1738" t="s" s="24">
        <v>274</v>
      </c>
      <c r="E1738" s="25">
        <v>5.92</v>
      </c>
      <c r="F1738" s="23">
        <v>2.5</v>
      </c>
      <c r="G1738" s="152" cm="1">
        <f t="array" ref="G1738">SUM(E1738/F1738)</f>
        <v>2.368</v>
      </c>
      <c r="H1738" s="15"/>
    </row>
    <row r="1739" ht="13.65" customHeight="1">
      <c r="A1739" s="21">
        <v>87</v>
      </c>
      <c r="B1739" t="s" s="22">
        <v>110</v>
      </c>
      <c r="C1739" s="23">
        <v>50</v>
      </c>
      <c r="D1739" t="s" s="24">
        <v>274</v>
      </c>
      <c r="E1739" s="25">
        <v>9</v>
      </c>
      <c r="F1739" s="23">
        <v>12.5</v>
      </c>
      <c r="G1739" s="152" cm="1">
        <f t="array" ref="G1739">SUM(E1739/F1739)</f>
        <v>0.72</v>
      </c>
      <c r="H1739" s="15"/>
    </row>
    <row r="1740" ht="13.65" customHeight="1">
      <c r="A1740" s="21">
        <v>55</v>
      </c>
      <c r="B1740" t="s" s="22">
        <v>111</v>
      </c>
      <c r="C1740" t="s" s="24">
        <v>112</v>
      </c>
      <c r="D1740" t="s" s="24">
        <v>113</v>
      </c>
      <c r="E1740" s="25">
        <v>2.71</v>
      </c>
      <c r="F1740" s="23">
        <v>75</v>
      </c>
      <c r="G1740" s="152" cm="1">
        <f t="array" ref="G1740">SUM(E1740/F1740)</f>
        <v>0.0361333333333333</v>
      </c>
      <c r="H1740" s="15"/>
    </row>
    <row r="1741" ht="13.65" customHeight="1">
      <c r="A1741" s="21">
        <v>24</v>
      </c>
      <c r="B1741" t="s" s="22">
        <v>572</v>
      </c>
      <c r="C1741" s="23">
        <v>10</v>
      </c>
      <c r="D1741" t="s" s="24">
        <v>102</v>
      </c>
      <c r="E1741" s="25">
        <v>9.6</v>
      </c>
      <c r="F1741" s="23">
        <v>5</v>
      </c>
      <c r="G1741" s="152" cm="1">
        <f t="array" ref="G1741">SUM(E1741/F1741)</f>
        <v>1.92</v>
      </c>
      <c r="H1741" s="15"/>
    </row>
    <row r="1742" ht="13.65" customHeight="1">
      <c r="A1742" s="21">
        <v>107</v>
      </c>
      <c r="B1742" t="s" s="22">
        <v>573</v>
      </c>
      <c r="C1742" s="23">
        <v>1</v>
      </c>
      <c r="D1742" t="s" s="24">
        <v>401</v>
      </c>
      <c r="E1742" s="25">
        <v>2.54</v>
      </c>
      <c r="F1742" s="23">
        <v>30</v>
      </c>
      <c r="G1742" s="152" cm="1">
        <f t="array" ref="G1742">SUM(E1742/F1742)</f>
        <v>0.0846666666666667</v>
      </c>
      <c r="H1742" s="15"/>
    </row>
    <row r="1743" ht="13.65" customHeight="1">
      <c r="A1743" s="21">
        <v>18</v>
      </c>
      <c r="B1743" t="s" s="22">
        <v>574</v>
      </c>
      <c r="C1743" s="23">
        <v>2</v>
      </c>
      <c r="D1743" t="s" s="24">
        <v>575</v>
      </c>
      <c r="E1743" s="25">
        <v>25</v>
      </c>
      <c r="F1743" s="23">
        <v>5</v>
      </c>
      <c r="G1743" s="152" cm="1">
        <f t="array" ref="G1743">SUM(E1743/F1743)</f>
        <v>5</v>
      </c>
      <c r="H1743" s="15"/>
    </row>
    <row r="1744" ht="13.65" customHeight="1">
      <c r="A1744" s="21">
        <v>124</v>
      </c>
      <c r="B1744" t="s" s="22">
        <v>372</v>
      </c>
      <c r="C1744" s="23">
        <v>1</v>
      </c>
      <c r="D1744" t="s" s="24">
        <v>373</v>
      </c>
      <c r="E1744" s="25">
        <v>2.2</v>
      </c>
      <c r="F1744" s="23">
        <v>15</v>
      </c>
      <c r="G1744" s="152" cm="1">
        <f t="array" ref="G1744">SUM(E1744/F1744)</f>
        <v>0.146666666666667</v>
      </c>
      <c r="H1744" s="15"/>
    </row>
    <row r="1745" ht="13.65" customHeight="1">
      <c r="A1745" s="21">
        <v>101</v>
      </c>
      <c r="B1745" t="s" s="22">
        <v>407</v>
      </c>
      <c r="C1745" t="s" s="24">
        <v>380</v>
      </c>
      <c r="D1745" t="s" s="24">
        <v>424</v>
      </c>
      <c r="E1745" s="25">
        <v>7.5</v>
      </c>
      <c r="F1745" s="23">
        <v>100</v>
      </c>
      <c r="G1745" s="152" cm="1">
        <f t="array" ref="G1745">SUM(E1745/F1745)</f>
        <v>0.075</v>
      </c>
      <c r="H1745" s="15"/>
    </row>
    <row r="1746" ht="13.65" customHeight="1">
      <c r="A1746" s="21">
        <v>61</v>
      </c>
      <c r="B1746" t="s" s="22">
        <v>388</v>
      </c>
      <c r="C1746" t="s" s="24">
        <v>389</v>
      </c>
      <c r="D1746" t="s" s="24">
        <v>390</v>
      </c>
      <c r="E1746" s="25">
        <v>3</v>
      </c>
      <c r="F1746" s="23">
        <v>10</v>
      </c>
      <c r="G1746" s="152" cm="1">
        <f t="array" ref="G1746">SUM(E1746/F1746)</f>
        <v>0.3</v>
      </c>
      <c r="H1746" s="15"/>
    </row>
    <row r="1747" ht="13.65" customHeight="1">
      <c r="A1747" s="28"/>
      <c r="B1747" s="28"/>
      <c r="C1747" s="27"/>
      <c r="D1747" s="24"/>
      <c r="E1747" s="27"/>
      <c r="F1747" t="s" s="29">
        <v>118</v>
      </c>
      <c r="G1747" s="197" cm="1">
        <f t="array" ref="G1747">SUM(G1735:G1746)</f>
        <v>12.1648666666667</v>
      </c>
      <c r="H1747" s="15"/>
    </row>
    <row r="1748" ht="13.65" customHeight="1">
      <c r="A1748" s="129"/>
      <c r="B1748" s="129"/>
      <c r="C1748" s="129"/>
      <c r="D1748" s="129"/>
      <c r="E1748" s="129"/>
      <c r="F1748" s="31"/>
      <c r="G1748" s="31"/>
      <c r="H1748" s="3"/>
    </row>
    <row r="1749" ht="11.7" customHeight="1">
      <c r="A1749" t="s" s="167">
        <v>136</v>
      </c>
      <c r="B1749" t="s" s="167">
        <v>281</v>
      </c>
      <c r="C1749" t="s" s="167">
        <v>282</v>
      </c>
      <c r="D1749" t="s" s="168">
        <v>283</v>
      </c>
      <c r="E1749" s="169"/>
      <c r="F1749" s="170"/>
      <c r="G1749" s="171"/>
      <c r="H1749" s="171"/>
    </row>
    <row r="1750" ht="13.65" customHeight="1">
      <c r="A1750" s="23">
        <v>45</v>
      </c>
      <c r="B1750" s="172" cm="1">
        <f t="array" ref="B1750">SUM(H256)</f>
        <v>2.47496540404041</v>
      </c>
      <c r="C1750" s="172" cm="1">
        <f t="array" ref="C1750">SUM(G1747)</f>
        <v>12.1648666666667</v>
      </c>
      <c r="D1750" s="199" cm="1">
        <f t="array" ref="D1750">SUM(A1750*B1750)+(C1750)</f>
        <v>123.538309848485</v>
      </c>
      <c r="E1750" s="200"/>
      <c r="F1750" s="15"/>
      <c r="G1750" s="3"/>
      <c r="H1750" s="3"/>
    </row>
    <row r="1751" ht="13.65" customHeight="1">
      <c r="A1751" s="31"/>
      <c r="B1751" s="31"/>
      <c r="C1751" s="31"/>
      <c r="D1751" s="31"/>
      <c r="E1751" s="31"/>
      <c r="F1751" s="3"/>
      <c r="G1751" s="3"/>
      <c r="H1751" s="3"/>
    </row>
    <row r="1752" ht="13.65" customHeight="1">
      <c r="A1752" s="203"/>
      <c r="B1752" s="203"/>
      <c r="C1752" s="203"/>
      <c r="D1752" s="203"/>
      <c r="E1752" s="203"/>
      <c r="F1752" s="203"/>
      <c r="G1752" s="203"/>
      <c r="H1752" s="203"/>
    </row>
    <row r="1753" ht="13.65" customHeight="1">
      <c r="A1753" t="s" s="274">
        <v>185</v>
      </c>
      <c r="B1753" s="275"/>
      <c r="C1753" s="275"/>
      <c r="D1753" s="275"/>
      <c r="E1753" s="280"/>
      <c r="F1753" s="275"/>
      <c r="G1753" s="275"/>
      <c r="H1753" s="277"/>
    </row>
    <row r="1754" ht="13.65" customHeight="1">
      <c r="A1754" s="278"/>
      <c r="B1754" s="278"/>
      <c r="C1754" s="278"/>
      <c r="D1754" s="278"/>
      <c r="E1754" s="278"/>
      <c r="F1754" s="278"/>
      <c r="G1754" s="278"/>
      <c r="H1754" s="278"/>
    </row>
    <row r="1755" ht="13.65" customHeight="1">
      <c r="A1755" s="3"/>
      <c r="B1755" s="3"/>
      <c r="C1755" s="3"/>
      <c r="D1755" s="3"/>
      <c r="E1755" s="3"/>
      <c r="F1755" s="3"/>
      <c r="G1755" s="3"/>
      <c r="H1755" s="3"/>
    </row>
    <row r="1756" ht="13.65" customHeight="1">
      <c r="A1756" t="s" s="5">
        <v>576</v>
      </c>
      <c r="B1756" s="3"/>
      <c r="C1756" s="3"/>
      <c r="D1756" s="3"/>
      <c r="E1756" s="3"/>
      <c r="F1756" s="3"/>
      <c r="G1756" s="3"/>
      <c r="H1756" s="3"/>
    </row>
    <row r="1757" ht="13.65" customHeight="1">
      <c r="A1757" s="11"/>
      <c r="B1757" s="11"/>
      <c r="C1757" s="11"/>
      <c r="D1757" s="11"/>
      <c r="E1757" s="11"/>
      <c r="F1757" s="11"/>
      <c r="G1757" s="11"/>
      <c r="H1757" s="3"/>
    </row>
    <row r="1758" ht="13.65" customHeight="1">
      <c r="A1758" s="12"/>
      <c r="B1758" s="12"/>
      <c r="C1758" s="13"/>
      <c r="D1758" s="14"/>
      <c r="E1758" s="13"/>
      <c r="F1758" s="13"/>
      <c r="G1758" t="s" s="14">
        <v>252</v>
      </c>
      <c r="H1758" s="150"/>
    </row>
    <row r="1759" ht="13.65" customHeight="1">
      <c r="A1759" t="s" s="16">
        <v>93</v>
      </c>
      <c r="B1759" t="s" s="16">
        <v>94</v>
      </c>
      <c r="C1759" t="s" s="16">
        <v>95</v>
      </c>
      <c r="D1759" t="s" s="16">
        <v>96</v>
      </c>
      <c r="E1759" t="s" s="16">
        <v>97</v>
      </c>
      <c r="F1759" t="s" s="16">
        <v>98</v>
      </c>
      <c r="G1759" t="s" s="16">
        <v>99</v>
      </c>
      <c r="H1759" s="15"/>
    </row>
    <row r="1760" ht="13.65" customHeight="1">
      <c r="A1760" s="151"/>
      <c r="B1760" s="151"/>
      <c r="C1760" s="19"/>
      <c r="D1760" s="20"/>
      <c r="E1760" s="19"/>
      <c r="F1760" s="19"/>
      <c r="G1760" t="s" s="20">
        <v>100</v>
      </c>
      <c r="H1760" s="15"/>
    </row>
    <row r="1761" ht="13.65" customHeight="1">
      <c r="A1761" s="21">
        <v>72</v>
      </c>
      <c r="B1761" t="s" s="22">
        <v>101</v>
      </c>
      <c r="C1761" s="23">
        <v>50</v>
      </c>
      <c r="D1761" t="s" s="24">
        <v>274</v>
      </c>
      <c r="E1761" s="25">
        <v>1.93</v>
      </c>
      <c r="F1761" s="23">
        <v>12.5</v>
      </c>
      <c r="G1761" s="152" cm="1">
        <f t="array" ref="G1761">SUM(E1761/F1761)</f>
        <v>0.1544</v>
      </c>
      <c r="H1761" s="15"/>
    </row>
    <row r="1762" ht="13.65" customHeight="1">
      <c r="A1762" s="21">
        <v>123</v>
      </c>
      <c r="B1762" t="s" s="22">
        <v>103</v>
      </c>
      <c r="C1762" s="23">
        <v>40</v>
      </c>
      <c r="D1762" t="s" s="24">
        <v>102</v>
      </c>
      <c r="E1762" s="25">
        <v>3.2</v>
      </c>
      <c r="F1762" s="23">
        <v>20</v>
      </c>
      <c r="G1762" s="152" cm="1">
        <f t="array" ref="G1762">SUM(E1762/F1762)</f>
        <v>0.16</v>
      </c>
      <c r="H1762" s="15"/>
    </row>
    <row r="1763" ht="13.65" customHeight="1">
      <c r="A1763" s="21">
        <v>117</v>
      </c>
      <c r="B1763" t="s" s="22">
        <v>105</v>
      </c>
      <c r="C1763" s="23">
        <v>100</v>
      </c>
      <c r="D1763" t="s" s="24">
        <v>106</v>
      </c>
      <c r="E1763" s="25">
        <v>1.2</v>
      </c>
      <c r="F1763" s="23">
        <v>10</v>
      </c>
      <c r="G1763" s="152" cm="1">
        <f t="array" ref="G1763">SUM(E1763/F1763)</f>
        <v>0.12</v>
      </c>
      <c r="H1763" s="15"/>
    </row>
    <row r="1764" ht="13.65" customHeight="1">
      <c r="A1764" s="21">
        <v>86</v>
      </c>
      <c r="B1764" t="s" s="22">
        <v>107</v>
      </c>
      <c r="C1764" t="s" s="24">
        <v>108</v>
      </c>
      <c r="D1764" t="s" s="24">
        <v>274</v>
      </c>
      <c r="E1764" s="25">
        <v>0.32</v>
      </c>
      <c r="F1764" t="s" s="24">
        <v>301</v>
      </c>
      <c r="G1764" s="152" cm="1">
        <f t="array" ref="G1764">SUM(E1764*4)</f>
        <v>1.28</v>
      </c>
      <c r="H1764" s="15"/>
    </row>
    <row r="1765" ht="13.65" customHeight="1">
      <c r="A1765" s="21">
        <v>71</v>
      </c>
      <c r="B1765" t="s" s="22">
        <v>109</v>
      </c>
      <c r="C1765" s="23">
        <v>10</v>
      </c>
      <c r="D1765" t="s" s="24">
        <v>274</v>
      </c>
      <c r="E1765" s="25">
        <v>5.92</v>
      </c>
      <c r="F1765" s="23">
        <v>2.5</v>
      </c>
      <c r="G1765" s="152" cm="1">
        <f t="array" ref="G1765">SUM(E1765/F1765)</f>
        <v>2.368</v>
      </c>
      <c r="H1765" s="15"/>
    </row>
    <row r="1766" ht="13.65" customHeight="1">
      <c r="A1766" s="21">
        <v>87</v>
      </c>
      <c r="B1766" t="s" s="22">
        <v>110</v>
      </c>
      <c r="C1766" s="23">
        <v>50</v>
      </c>
      <c r="D1766" t="s" s="24">
        <v>274</v>
      </c>
      <c r="E1766" s="25">
        <v>9</v>
      </c>
      <c r="F1766" s="23">
        <v>12.5</v>
      </c>
      <c r="G1766" s="152" cm="1">
        <f t="array" ref="G1766">SUM(E1766/F1766)</f>
        <v>0.72</v>
      </c>
      <c r="H1766" s="15"/>
    </row>
    <row r="1767" ht="13.65" customHeight="1">
      <c r="A1767" s="21">
        <v>55</v>
      </c>
      <c r="B1767" t="s" s="22">
        <v>111</v>
      </c>
      <c r="C1767" t="s" s="24">
        <v>112</v>
      </c>
      <c r="D1767" t="s" s="24">
        <v>461</v>
      </c>
      <c r="E1767" s="25">
        <v>2.71</v>
      </c>
      <c r="F1767" s="23">
        <v>37.5</v>
      </c>
      <c r="G1767" s="152" cm="1">
        <f t="array" ref="G1767">SUM(E1767/F1767)</f>
        <v>0.0722666666666667</v>
      </c>
      <c r="H1767" s="15"/>
    </row>
    <row r="1768" ht="13.65" customHeight="1">
      <c r="A1768" s="21">
        <v>24</v>
      </c>
      <c r="B1768" t="s" s="22">
        <v>531</v>
      </c>
      <c r="C1768" s="23">
        <v>10</v>
      </c>
      <c r="D1768" t="s" s="24">
        <v>104</v>
      </c>
      <c r="E1768" s="25">
        <v>9.6</v>
      </c>
      <c r="F1768" s="23">
        <v>10</v>
      </c>
      <c r="G1768" s="152" cm="1">
        <f t="array" ref="G1768">SUM(E1768/F1768)</f>
        <v>0.96</v>
      </c>
      <c r="H1768" s="15"/>
    </row>
    <row r="1769" ht="13.65" customHeight="1">
      <c r="A1769" s="21">
        <v>19</v>
      </c>
      <c r="B1769" t="s" s="22">
        <v>577</v>
      </c>
      <c r="C1769" s="23">
        <v>1</v>
      </c>
      <c r="D1769" t="s" s="24">
        <v>116</v>
      </c>
      <c r="E1769" s="25">
        <v>5.2</v>
      </c>
      <c r="F1769" s="23">
        <v>10</v>
      </c>
      <c r="G1769" s="152" cm="1">
        <f t="array" ref="G1769">SUM(E1769/F1769)</f>
        <v>0.52</v>
      </c>
      <c r="H1769" s="15"/>
    </row>
    <row r="1770" ht="13.65" customHeight="1">
      <c r="A1770" s="21">
        <v>114</v>
      </c>
      <c r="B1770" t="s" s="22">
        <v>578</v>
      </c>
      <c r="C1770" t="s" s="24">
        <v>537</v>
      </c>
      <c r="D1770" t="s" s="24">
        <v>116</v>
      </c>
      <c r="E1770" s="25">
        <v>63</v>
      </c>
      <c r="F1770" s="23">
        <v>10</v>
      </c>
      <c r="G1770" s="152" cm="1">
        <f t="array" ref="G1770">SUM(E1770/F1770)</f>
        <v>6.3</v>
      </c>
      <c r="H1770" s="15"/>
    </row>
    <row r="1771" ht="13.65" customHeight="1">
      <c r="A1771" s="21">
        <v>109</v>
      </c>
      <c r="B1771" t="s" s="22">
        <v>579</v>
      </c>
      <c r="C1771" s="23">
        <v>1</v>
      </c>
      <c r="D1771" t="s" s="24">
        <v>116</v>
      </c>
      <c r="E1771" s="25">
        <v>2.2</v>
      </c>
      <c r="F1771" s="23">
        <v>10</v>
      </c>
      <c r="G1771" s="152" cm="1">
        <f t="array" ref="G1771">SUM(E1771/F1771)</f>
        <v>0.22</v>
      </c>
      <c r="H1771" s="15"/>
    </row>
    <row r="1772" ht="13.65" customHeight="1">
      <c r="A1772" s="21">
        <v>4</v>
      </c>
      <c r="B1772" t="s" s="22">
        <v>512</v>
      </c>
      <c r="C1772" t="s" s="24">
        <v>513</v>
      </c>
      <c r="D1772" t="s" s="24">
        <v>514</v>
      </c>
      <c r="E1772" s="25">
        <v>64</v>
      </c>
      <c r="F1772" s="23">
        <v>22</v>
      </c>
      <c r="G1772" s="152" cm="1">
        <f t="array" ref="G1772">SUM(E1772/F1772)</f>
        <v>2.90909090909091</v>
      </c>
      <c r="H1772" s="15"/>
    </row>
    <row r="1773" ht="13.65" customHeight="1">
      <c r="A1773" s="21">
        <v>104</v>
      </c>
      <c r="B1773" t="s" s="22">
        <v>580</v>
      </c>
      <c r="C1773" s="23">
        <v>5</v>
      </c>
      <c r="D1773" t="s" s="24">
        <v>104</v>
      </c>
      <c r="E1773" s="25">
        <v>261</v>
      </c>
      <c r="F1773" s="23">
        <v>5</v>
      </c>
      <c r="G1773" s="152" cm="1">
        <f t="array" ref="G1773">SUM(E1773/F1773)</f>
        <v>52.2</v>
      </c>
      <c r="H1773" s="15"/>
    </row>
    <row r="1774" ht="13.65" customHeight="1">
      <c r="A1774" s="28"/>
      <c r="B1774" s="28"/>
      <c r="C1774" s="27"/>
      <c r="D1774" s="24"/>
      <c r="E1774" s="27"/>
      <c r="F1774" t="s" s="29">
        <v>118</v>
      </c>
      <c r="G1774" s="197" cm="1">
        <f t="array" ref="G1774">SUM(G1761:G1773)</f>
        <v>67.98375757575759</v>
      </c>
      <c r="H1774" s="15"/>
    </row>
    <row r="1775" ht="13.65" customHeight="1">
      <c r="A1775" s="129"/>
      <c r="B1775" s="129"/>
      <c r="C1775" s="129"/>
      <c r="D1775" s="129"/>
      <c r="E1775" s="129"/>
      <c r="F1775" s="31"/>
      <c r="G1775" s="31"/>
      <c r="H1775" s="3"/>
    </row>
    <row r="1776" ht="11.7" customHeight="1">
      <c r="A1776" t="s" s="167">
        <v>136</v>
      </c>
      <c r="B1776" t="s" s="167">
        <v>281</v>
      </c>
      <c r="C1776" t="s" s="167">
        <v>282</v>
      </c>
      <c r="D1776" t="s" s="168">
        <v>283</v>
      </c>
      <c r="E1776" s="169"/>
      <c r="F1776" s="170"/>
      <c r="G1776" s="171"/>
      <c r="H1776" s="171"/>
    </row>
    <row r="1777" ht="13.65" customHeight="1">
      <c r="A1777" s="23">
        <v>80</v>
      </c>
      <c r="B1777" s="172" cm="1">
        <f t="array" ref="B1777">SUM(H256)</f>
        <v>2.47496540404041</v>
      </c>
      <c r="C1777" s="172" cm="1">
        <f t="array" ref="C1777">SUM(G1774)</f>
        <v>67.98375757575759</v>
      </c>
      <c r="D1777" s="199" cm="1">
        <f t="array" ref="D1777">SUM(A1777*B1777)+(C1777)</f>
        <v>265.980989898990</v>
      </c>
      <c r="E1777" s="200"/>
      <c r="F1777" s="15"/>
      <c r="G1777" s="3"/>
      <c r="H1777" s="3"/>
    </row>
    <row r="1778" ht="13.65" customHeight="1">
      <c r="A1778" s="31"/>
      <c r="B1778" s="31"/>
      <c r="C1778" s="31"/>
      <c r="D1778" s="31"/>
      <c r="E1778" s="31"/>
      <c r="F1778" s="3"/>
      <c r="G1778" s="3"/>
      <c r="H1778" s="3"/>
    </row>
    <row r="1779" ht="13.65" customHeight="1">
      <c r="A1779" s="3"/>
      <c r="B1779" s="3"/>
      <c r="C1779" s="3"/>
      <c r="D1779" s="3"/>
      <c r="E1779" s="3"/>
      <c r="F1779" s="3"/>
      <c r="G1779" s="3"/>
      <c r="H1779" s="3"/>
    </row>
    <row r="1780" ht="13.65" customHeight="1">
      <c r="A1780" t="s" s="5">
        <v>581</v>
      </c>
      <c r="B1780" s="3"/>
      <c r="C1780" s="3"/>
      <c r="D1780" s="3"/>
      <c r="E1780" s="3"/>
      <c r="F1780" s="3"/>
      <c r="G1780" s="3"/>
      <c r="H1780" s="3"/>
    </row>
    <row r="1781" ht="13.65" customHeight="1">
      <c r="A1781" s="11"/>
      <c r="B1781" s="11"/>
      <c r="C1781" s="11"/>
      <c r="D1781" s="11"/>
      <c r="E1781" s="11"/>
      <c r="F1781" s="11"/>
      <c r="G1781" s="11"/>
      <c r="H1781" s="3"/>
    </row>
    <row r="1782" ht="13.65" customHeight="1">
      <c r="A1782" s="12"/>
      <c r="B1782" s="12"/>
      <c r="C1782" s="13"/>
      <c r="D1782" s="14"/>
      <c r="E1782" s="13"/>
      <c r="F1782" s="13"/>
      <c r="G1782" t="s" s="14">
        <v>252</v>
      </c>
      <c r="H1782" s="150"/>
    </row>
    <row r="1783" ht="13.65" customHeight="1">
      <c r="A1783" t="s" s="16">
        <v>93</v>
      </c>
      <c r="B1783" t="s" s="16">
        <v>94</v>
      </c>
      <c r="C1783" t="s" s="16">
        <v>95</v>
      </c>
      <c r="D1783" t="s" s="16">
        <v>96</v>
      </c>
      <c r="E1783" t="s" s="16">
        <v>97</v>
      </c>
      <c r="F1783" t="s" s="16">
        <v>98</v>
      </c>
      <c r="G1783" t="s" s="16">
        <v>99</v>
      </c>
      <c r="H1783" s="15"/>
    </row>
    <row r="1784" ht="13.65" customHeight="1">
      <c r="A1784" s="151"/>
      <c r="B1784" s="151"/>
      <c r="C1784" s="19"/>
      <c r="D1784" s="20"/>
      <c r="E1784" s="19"/>
      <c r="F1784" s="19"/>
      <c r="G1784" t="s" s="20">
        <v>100</v>
      </c>
      <c r="H1784" s="15"/>
    </row>
    <row r="1785" ht="13.65" customHeight="1">
      <c r="A1785" s="21">
        <v>72</v>
      </c>
      <c r="B1785" t="s" s="22">
        <v>101</v>
      </c>
      <c r="C1785" s="23">
        <v>50</v>
      </c>
      <c r="D1785" t="s" s="24">
        <v>102</v>
      </c>
      <c r="E1785" s="25">
        <v>1.93</v>
      </c>
      <c r="F1785" s="23">
        <v>25</v>
      </c>
      <c r="G1785" s="152" cm="1">
        <f t="array" ref="G1785">SUM(E1785/F1785)</f>
        <v>0.0772</v>
      </c>
      <c r="H1785" s="15"/>
    </row>
    <row r="1786" ht="13.65" customHeight="1">
      <c r="A1786" s="21">
        <v>123</v>
      </c>
      <c r="B1786" t="s" s="22">
        <v>103</v>
      </c>
      <c r="C1786" s="23">
        <v>40</v>
      </c>
      <c r="D1786" t="s" s="24">
        <v>104</v>
      </c>
      <c r="E1786" s="25">
        <v>3.2</v>
      </c>
      <c r="F1786" s="23">
        <v>40</v>
      </c>
      <c r="G1786" s="152" cm="1">
        <f t="array" ref="G1786">SUM(E1786/F1786)</f>
        <v>0.08</v>
      </c>
      <c r="H1786" s="15"/>
    </row>
    <row r="1787" ht="13.65" customHeight="1">
      <c r="A1787" s="21">
        <v>86</v>
      </c>
      <c r="B1787" t="s" s="22">
        <v>107</v>
      </c>
      <c r="C1787" t="s" s="24">
        <v>108</v>
      </c>
      <c r="D1787" t="s" s="24">
        <v>102</v>
      </c>
      <c r="E1787" s="25">
        <v>0.32</v>
      </c>
      <c r="F1787" t="s" s="24">
        <v>387</v>
      </c>
      <c r="G1787" s="152" cm="1">
        <f t="array" ref="G1787">SUM(E1787*2)</f>
        <v>0.64</v>
      </c>
      <c r="H1787" s="15"/>
    </row>
    <row r="1788" ht="13.65" customHeight="1">
      <c r="A1788" s="21">
        <v>71</v>
      </c>
      <c r="B1788" t="s" s="22">
        <v>109</v>
      </c>
      <c r="C1788" s="23">
        <v>10</v>
      </c>
      <c r="D1788" t="s" s="24">
        <v>102</v>
      </c>
      <c r="E1788" s="25">
        <v>5.92</v>
      </c>
      <c r="F1788" s="23">
        <v>5</v>
      </c>
      <c r="G1788" s="152" cm="1">
        <f t="array" ref="G1788">SUM(E1788/F1788)</f>
        <v>1.184</v>
      </c>
      <c r="H1788" s="15"/>
    </row>
    <row r="1789" ht="13.65" customHeight="1">
      <c r="A1789" s="21">
        <v>87</v>
      </c>
      <c r="B1789" t="s" s="22">
        <v>110</v>
      </c>
      <c r="C1789" s="23">
        <v>50</v>
      </c>
      <c r="D1789" t="s" s="24">
        <v>102</v>
      </c>
      <c r="E1789" s="25">
        <v>9</v>
      </c>
      <c r="F1789" s="23">
        <v>25</v>
      </c>
      <c r="G1789" s="152" cm="1">
        <f t="array" ref="G1789">SUM(E1789/F1789)</f>
        <v>0.36</v>
      </c>
      <c r="H1789" s="15"/>
    </row>
    <row r="1790" ht="13.65" customHeight="1">
      <c r="A1790" s="21">
        <v>55</v>
      </c>
      <c r="B1790" t="s" s="22">
        <v>111</v>
      </c>
      <c r="C1790" t="s" s="24">
        <v>112</v>
      </c>
      <c r="D1790" t="s" s="24">
        <v>113</v>
      </c>
      <c r="E1790" s="25">
        <v>2.71</v>
      </c>
      <c r="F1790" s="23">
        <v>75</v>
      </c>
      <c r="G1790" s="152" cm="1">
        <f t="array" ref="G1790">SUM(E1790/F1790)</f>
        <v>0.0361333333333333</v>
      </c>
      <c r="H1790" s="15"/>
    </row>
    <row r="1791" ht="13.65" customHeight="1">
      <c r="A1791" s="21">
        <v>35</v>
      </c>
      <c r="B1791" t="s" s="22">
        <v>582</v>
      </c>
      <c r="C1791" s="23">
        <v>18</v>
      </c>
      <c r="D1791" t="s" s="24">
        <v>104</v>
      </c>
      <c r="E1791" s="25">
        <v>47</v>
      </c>
      <c r="F1791" s="23">
        <v>18</v>
      </c>
      <c r="G1791" s="152" cm="1">
        <f t="array" ref="G1791">SUM(E1791/F1791)</f>
        <v>2.61111111111111</v>
      </c>
      <c r="H1791" s="15"/>
    </row>
    <row r="1792" ht="13.65" customHeight="1">
      <c r="A1792" s="21">
        <v>124</v>
      </c>
      <c r="B1792" t="s" s="22">
        <v>532</v>
      </c>
      <c r="C1792" s="23">
        <v>1</v>
      </c>
      <c r="D1792" t="s" s="24">
        <v>373</v>
      </c>
      <c r="E1792" s="25">
        <v>2.2</v>
      </c>
      <c r="F1792" s="23">
        <v>15</v>
      </c>
      <c r="G1792" s="152" cm="1">
        <f t="array" ref="G1792">SUM(E1792/F1792)</f>
        <v>0.146666666666667</v>
      </c>
      <c r="H1792" s="15"/>
    </row>
    <row r="1793" ht="13.65" customHeight="1">
      <c r="A1793" s="21">
        <v>101</v>
      </c>
      <c r="B1793" t="s" s="22">
        <v>583</v>
      </c>
      <c r="C1793" t="s" s="24">
        <v>380</v>
      </c>
      <c r="D1793" t="s" s="24">
        <v>424</v>
      </c>
      <c r="E1793" s="25">
        <v>7.5</v>
      </c>
      <c r="F1793" s="23">
        <v>100</v>
      </c>
      <c r="G1793" s="152" cm="1">
        <f t="array" ref="G1793">SUM(E1793/F1793)</f>
        <v>0.075</v>
      </c>
      <c r="H1793" s="15"/>
    </row>
    <row r="1794" ht="13.65" customHeight="1">
      <c r="A1794" s="21">
        <v>79</v>
      </c>
      <c r="B1794" t="s" s="22">
        <v>584</v>
      </c>
      <c r="C1794" s="23">
        <v>20</v>
      </c>
      <c r="D1794" t="s" s="24">
        <v>104</v>
      </c>
      <c r="E1794" s="25">
        <v>25</v>
      </c>
      <c r="F1794" s="23">
        <v>20</v>
      </c>
      <c r="G1794" s="152" cm="1">
        <f t="array" ref="G1794">SUM(E1794/F1794)</f>
        <v>1.25</v>
      </c>
      <c r="H1794" s="15"/>
    </row>
    <row r="1795" ht="13.65" customHeight="1">
      <c r="A1795" s="28"/>
      <c r="B1795" s="28"/>
      <c r="C1795" s="27"/>
      <c r="D1795" s="24"/>
      <c r="E1795" s="27"/>
      <c r="F1795" t="s" s="29">
        <v>118</v>
      </c>
      <c r="G1795" s="197" cm="1">
        <f t="array" ref="G1795">SUM(G1785:G1794)</f>
        <v>6.46011111111111</v>
      </c>
      <c r="H1795" s="15"/>
    </row>
    <row r="1796" ht="13.65" customHeight="1">
      <c r="A1796" s="129"/>
      <c r="B1796" s="129"/>
      <c r="C1796" s="129"/>
      <c r="D1796" s="129"/>
      <c r="E1796" s="129"/>
      <c r="F1796" s="31"/>
      <c r="G1796" s="31"/>
      <c r="H1796" s="293"/>
    </row>
    <row r="1797" ht="11.7" customHeight="1">
      <c r="A1797" t="s" s="167">
        <v>136</v>
      </c>
      <c r="B1797" t="s" s="167">
        <v>281</v>
      </c>
      <c r="C1797" t="s" s="167">
        <v>282</v>
      </c>
      <c r="D1797" t="s" s="168">
        <v>283</v>
      </c>
      <c r="E1797" s="169"/>
      <c r="F1797" s="170"/>
      <c r="G1797" s="171"/>
      <c r="H1797" s="171"/>
    </row>
    <row r="1798" ht="13.65" customHeight="1">
      <c r="A1798" s="23">
        <v>30</v>
      </c>
      <c r="B1798" s="172" cm="1">
        <f t="array" ref="B1798">SUM(H256)</f>
        <v>2.47496540404041</v>
      </c>
      <c r="C1798" s="172" cm="1">
        <f t="array" ref="C1798">SUM(G1795)</f>
        <v>6.46011111111111</v>
      </c>
      <c r="D1798" s="199" cm="1">
        <f t="array" ref="D1798">SUM(A1798*B1798)+(C1798)</f>
        <v>80.70907323232341</v>
      </c>
      <c r="E1798" s="200"/>
      <c r="F1798" s="15"/>
      <c r="G1798" s="3"/>
      <c r="H1798" s="3"/>
    </row>
    <row r="1799" ht="13.65" customHeight="1">
      <c r="A1799" s="31"/>
      <c r="B1799" s="31"/>
      <c r="C1799" s="31"/>
      <c r="D1799" s="31"/>
      <c r="E1799" s="31"/>
      <c r="F1799" s="3"/>
      <c r="G1799" s="3"/>
      <c r="H1799" s="3"/>
    </row>
    <row r="1800" ht="13.65" customHeight="1">
      <c r="A1800" s="203"/>
      <c r="B1800" s="203"/>
      <c r="C1800" s="203"/>
      <c r="D1800" s="203"/>
      <c r="E1800" s="203"/>
      <c r="F1800" s="203"/>
      <c r="G1800" s="203"/>
      <c r="H1800" s="203"/>
    </row>
    <row r="1801" ht="13.65" customHeight="1">
      <c r="A1801" t="s" s="274">
        <v>185</v>
      </c>
      <c r="B1801" s="275"/>
      <c r="C1801" s="275"/>
      <c r="D1801" s="275"/>
      <c r="E1801" s="280"/>
      <c r="F1801" s="275"/>
      <c r="G1801" s="275"/>
      <c r="H1801" s="277"/>
    </row>
    <row r="1802" ht="13.65" customHeight="1">
      <c r="A1802" s="278"/>
      <c r="B1802" s="278"/>
      <c r="C1802" s="278"/>
      <c r="D1802" s="278"/>
      <c r="E1802" s="278"/>
      <c r="F1802" s="278"/>
      <c r="G1802" s="278"/>
      <c r="H1802" s="278"/>
    </row>
    <row r="1803" ht="13.65" customHeight="1">
      <c r="A1803" s="3"/>
      <c r="B1803" s="3"/>
      <c r="C1803" s="3"/>
      <c r="D1803" s="3"/>
      <c r="E1803" s="3"/>
      <c r="F1803" s="3"/>
      <c r="G1803" s="3"/>
      <c r="H1803" s="3"/>
    </row>
    <row r="1804" ht="13.65" customHeight="1">
      <c r="A1804" t="s" s="5">
        <v>585</v>
      </c>
      <c r="B1804" s="3"/>
      <c r="C1804" s="3"/>
      <c r="D1804" s="3"/>
      <c r="E1804" s="3"/>
      <c r="F1804" s="3"/>
      <c r="G1804" s="3"/>
      <c r="H1804" s="3"/>
    </row>
    <row r="1805" ht="13.65" customHeight="1">
      <c r="A1805" s="11"/>
      <c r="B1805" s="11"/>
      <c r="C1805" s="11"/>
      <c r="D1805" s="11"/>
      <c r="E1805" s="11"/>
      <c r="F1805" s="11"/>
      <c r="G1805" s="11"/>
      <c r="H1805" s="3"/>
    </row>
    <row r="1806" ht="13.65" customHeight="1">
      <c r="A1806" s="12"/>
      <c r="B1806" s="12"/>
      <c r="C1806" s="13"/>
      <c r="D1806" s="14"/>
      <c r="E1806" s="13"/>
      <c r="F1806" s="13"/>
      <c r="G1806" t="s" s="14">
        <v>252</v>
      </c>
      <c r="H1806" s="150"/>
    </row>
    <row r="1807" ht="13.65" customHeight="1">
      <c r="A1807" t="s" s="16">
        <v>93</v>
      </c>
      <c r="B1807" t="s" s="16">
        <v>94</v>
      </c>
      <c r="C1807" t="s" s="16">
        <v>95</v>
      </c>
      <c r="D1807" t="s" s="16">
        <v>96</v>
      </c>
      <c r="E1807" t="s" s="16">
        <v>97</v>
      </c>
      <c r="F1807" t="s" s="16">
        <v>98</v>
      </c>
      <c r="G1807" t="s" s="16">
        <v>99</v>
      </c>
      <c r="H1807" s="15"/>
    </row>
    <row r="1808" ht="13.65" customHeight="1">
      <c r="A1808" s="151"/>
      <c r="B1808" s="151"/>
      <c r="C1808" s="19"/>
      <c r="D1808" s="20"/>
      <c r="E1808" s="19"/>
      <c r="F1808" s="19"/>
      <c r="G1808" t="s" s="20">
        <v>100</v>
      </c>
      <c r="H1808" s="15"/>
    </row>
    <row r="1809" ht="13.65" customHeight="1">
      <c r="A1809" s="21">
        <v>72</v>
      </c>
      <c r="B1809" t="s" s="22">
        <v>101</v>
      </c>
      <c r="C1809" s="23">
        <v>50</v>
      </c>
      <c r="D1809" t="s" s="24">
        <v>274</v>
      </c>
      <c r="E1809" s="25">
        <v>1.93</v>
      </c>
      <c r="F1809" s="23">
        <v>12.5</v>
      </c>
      <c r="G1809" s="152" cm="1">
        <f t="array" ref="G1809">SUM(E1809/F1809)</f>
        <v>0.1544</v>
      </c>
      <c r="H1809" s="15"/>
    </row>
    <row r="1810" ht="13.65" customHeight="1">
      <c r="A1810" s="21">
        <v>123</v>
      </c>
      <c r="B1810" t="s" s="22">
        <v>103</v>
      </c>
      <c r="C1810" s="23">
        <v>40</v>
      </c>
      <c r="D1810" t="s" s="24">
        <v>102</v>
      </c>
      <c r="E1810" s="25">
        <v>3.2</v>
      </c>
      <c r="F1810" s="23">
        <v>20</v>
      </c>
      <c r="G1810" s="152" cm="1">
        <f t="array" ref="G1810">SUM(E1810/F1810)</f>
        <v>0.16</v>
      </c>
      <c r="H1810" s="15"/>
    </row>
    <row r="1811" ht="13.65" customHeight="1">
      <c r="A1811" s="21">
        <v>57</v>
      </c>
      <c r="B1811" t="s" s="22">
        <v>253</v>
      </c>
      <c r="C1811" t="s" s="24">
        <v>389</v>
      </c>
      <c r="D1811" t="s" s="24">
        <v>371</v>
      </c>
      <c r="E1811" s="25">
        <v>4.5</v>
      </c>
      <c r="F1811" s="23">
        <v>33</v>
      </c>
      <c r="G1811" s="152" cm="1">
        <f t="array" ref="G1811">SUM(E1811/F1811)</f>
        <v>0.136363636363636</v>
      </c>
      <c r="H1811" s="15"/>
    </row>
    <row r="1812" ht="13.65" customHeight="1">
      <c r="A1812" s="21">
        <v>117</v>
      </c>
      <c r="B1812" t="s" s="22">
        <v>586</v>
      </c>
      <c r="C1812" s="23">
        <v>100</v>
      </c>
      <c r="D1812" t="s" s="24">
        <v>106</v>
      </c>
      <c r="E1812" s="25">
        <v>1.2</v>
      </c>
      <c r="F1812" s="23">
        <v>10</v>
      </c>
      <c r="G1812" s="152" cm="1">
        <f t="array" ref="G1812">SUM(E1812/F1812)</f>
        <v>0.12</v>
      </c>
      <c r="H1812" s="15"/>
    </row>
    <row r="1813" ht="13.65" customHeight="1">
      <c r="A1813" s="21">
        <v>86</v>
      </c>
      <c r="B1813" t="s" s="22">
        <v>107</v>
      </c>
      <c r="C1813" s="23">
        <v>1</v>
      </c>
      <c r="D1813" t="s" s="24">
        <v>274</v>
      </c>
      <c r="E1813" s="25">
        <v>0.32</v>
      </c>
      <c r="F1813" t="s" s="24">
        <v>301</v>
      </c>
      <c r="G1813" s="152" cm="1">
        <f t="array" ref="G1813">SUM(E1813*4)</f>
        <v>1.28</v>
      </c>
      <c r="H1813" s="15"/>
    </row>
    <row r="1814" ht="13.65" customHeight="1">
      <c r="A1814" s="21">
        <v>71</v>
      </c>
      <c r="B1814" t="s" s="22">
        <v>109</v>
      </c>
      <c r="C1814" s="23">
        <v>10</v>
      </c>
      <c r="D1814" t="s" s="24">
        <v>274</v>
      </c>
      <c r="E1814" s="25">
        <v>5.92</v>
      </c>
      <c r="F1814" s="23">
        <v>2.5</v>
      </c>
      <c r="G1814" s="152" cm="1">
        <f t="array" ref="G1814">SUM(E1814/F1814)</f>
        <v>2.368</v>
      </c>
      <c r="H1814" s="15"/>
    </row>
    <row r="1815" ht="13.65" customHeight="1">
      <c r="A1815" s="21">
        <v>87</v>
      </c>
      <c r="B1815" t="s" s="22">
        <v>110</v>
      </c>
      <c r="C1815" s="23">
        <v>50</v>
      </c>
      <c r="D1815" t="s" s="24">
        <v>274</v>
      </c>
      <c r="E1815" s="25">
        <v>9</v>
      </c>
      <c r="F1815" s="23">
        <v>12.5</v>
      </c>
      <c r="G1815" s="152" cm="1">
        <f t="array" ref="G1815">SUM(E1815/F1815)</f>
        <v>0.72</v>
      </c>
      <c r="H1815" s="15"/>
    </row>
    <row r="1816" ht="13.65" customHeight="1">
      <c r="A1816" s="21">
        <v>55</v>
      </c>
      <c r="B1816" t="s" s="22">
        <v>111</v>
      </c>
      <c r="C1816" t="s" s="24">
        <v>112</v>
      </c>
      <c r="D1816" t="s" s="24">
        <v>461</v>
      </c>
      <c r="E1816" s="25">
        <v>2.71</v>
      </c>
      <c r="F1816" s="23">
        <v>37.5</v>
      </c>
      <c r="G1816" s="152" cm="1">
        <f t="array" ref="G1816">SUM(E1816/F1816)</f>
        <v>0.0722666666666667</v>
      </c>
      <c r="H1816" s="15"/>
    </row>
    <row r="1817" ht="13.65" customHeight="1">
      <c r="A1817" s="21">
        <v>24</v>
      </c>
      <c r="B1817" t="s" s="22">
        <v>531</v>
      </c>
      <c r="C1817" s="23">
        <v>10</v>
      </c>
      <c r="D1817" t="s" s="24">
        <v>104</v>
      </c>
      <c r="E1817" s="25">
        <v>9.6</v>
      </c>
      <c r="F1817" s="23">
        <v>10</v>
      </c>
      <c r="G1817" s="152" cm="1">
        <f t="array" ref="G1817">SUM(E1817/F1817)</f>
        <v>0.96</v>
      </c>
      <c r="H1817" s="15"/>
    </row>
    <row r="1818" ht="13.65" customHeight="1">
      <c r="A1818" s="21">
        <v>101</v>
      </c>
      <c r="B1818" t="s" s="22">
        <v>407</v>
      </c>
      <c r="C1818" t="s" s="24">
        <v>380</v>
      </c>
      <c r="D1818" t="s" s="24">
        <v>537</v>
      </c>
      <c r="E1818" s="25">
        <v>7.5</v>
      </c>
      <c r="F1818" s="23">
        <v>25</v>
      </c>
      <c r="G1818" s="152" cm="1">
        <f t="array" ref="G1818">SUM(E1818/F1818)</f>
        <v>0.3</v>
      </c>
      <c r="H1818" s="15"/>
    </row>
    <row r="1819" ht="13.65" customHeight="1">
      <c r="A1819" s="21">
        <v>19</v>
      </c>
      <c r="B1819" t="s" s="22">
        <v>587</v>
      </c>
      <c r="C1819" s="23">
        <v>6</v>
      </c>
      <c r="D1819" t="s" s="24">
        <v>444</v>
      </c>
      <c r="E1819" s="25">
        <v>5.2</v>
      </c>
      <c r="F1819" s="23">
        <v>10</v>
      </c>
      <c r="G1819" s="152" cm="1">
        <f t="array" ref="G1819">SUM(E1819/F1819)</f>
        <v>0.52</v>
      </c>
      <c r="H1819" s="15"/>
    </row>
    <row r="1820" ht="13.65" customHeight="1">
      <c r="A1820" s="21">
        <v>19</v>
      </c>
      <c r="B1820" t="s" s="22">
        <v>437</v>
      </c>
      <c r="C1820" s="23">
        <v>2</v>
      </c>
      <c r="D1820" t="s" s="24">
        <v>588</v>
      </c>
      <c r="E1820" s="25">
        <v>5.2</v>
      </c>
      <c r="F1820" s="23">
        <v>5</v>
      </c>
      <c r="G1820" s="152" cm="1">
        <f t="array" ref="G1820">SUM(E1820/F1820)</f>
        <v>1.04</v>
      </c>
      <c r="H1820" s="15"/>
    </row>
    <row r="1821" ht="13.65" customHeight="1">
      <c r="A1821" s="21">
        <v>30</v>
      </c>
      <c r="B1821" t="s" s="22">
        <v>589</v>
      </c>
      <c r="C1821" t="s" s="24">
        <v>538</v>
      </c>
      <c r="D1821" t="s" s="24">
        <v>518</v>
      </c>
      <c r="E1821" s="25">
        <v>423</v>
      </c>
      <c r="F1821" s="23">
        <v>40</v>
      </c>
      <c r="G1821" s="152" cm="1">
        <f t="array" ref="G1821">SUM(E1821/F1821)</f>
        <v>10.575</v>
      </c>
      <c r="H1821" s="15"/>
    </row>
    <row r="1822" ht="13.65" customHeight="1">
      <c r="A1822" s="21">
        <v>130</v>
      </c>
      <c r="B1822" t="s" s="22">
        <v>590</v>
      </c>
      <c r="C1822" t="s" s="24">
        <v>390</v>
      </c>
      <c r="D1822" t="s" s="24">
        <v>540</v>
      </c>
      <c r="E1822" s="25">
        <v>12</v>
      </c>
      <c r="F1822" s="23">
        <v>200</v>
      </c>
      <c r="G1822" s="152" cm="1">
        <f t="array" ref="G1822">SUM(E1822/F1822)</f>
        <v>0.06</v>
      </c>
      <c r="H1822" s="15"/>
    </row>
    <row r="1823" ht="13.65" customHeight="1">
      <c r="A1823" s="21">
        <v>59</v>
      </c>
      <c r="B1823" t="s" s="22">
        <v>591</v>
      </c>
      <c r="C1823" t="s" s="24">
        <v>592</v>
      </c>
      <c r="D1823" t="s" s="24">
        <v>593</v>
      </c>
      <c r="E1823" s="25">
        <v>18</v>
      </c>
      <c r="F1823" s="23">
        <v>36</v>
      </c>
      <c r="G1823" s="152" cm="1">
        <f t="array" ref="G1823">SUM(E1823/F1823)</f>
        <v>0.5</v>
      </c>
      <c r="H1823" s="15"/>
    </row>
    <row r="1824" ht="13.65" customHeight="1">
      <c r="A1824" s="21">
        <v>27</v>
      </c>
      <c r="B1824" t="s" s="22">
        <v>594</v>
      </c>
      <c r="C1824" s="23">
        <v>18</v>
      </c>
      <c r="D1824" t="s" s="24">
        <v>104</v>
      </c>
      <c r="E1824" s="25">
        <v>6.5</v>
      </c>
      <c r="F1824" s="23">
        <v>18</v>
      </c>
      <c r="G1824" s="152" cm="1">
        <f t="array" ref="G1824">SUM(E1824/F1824)</f>
        <v>0.361111111111111</v>
      </c>
      <c r="H1824" s="15"/>
    </row>
    <row r="1825" ht="13.65" customHeight="1">
      <c r="A1825" s="21">
        <v>120</v>
      </c>
      <c r="B1825" t="s" s="22">
        <v>595</v>
      </c>
      <c r="C1825" t="s" s="24">
        <v>538</v>
      </c>
      <c r="D1825" t="s" s="24">
        <v>401</v>
      </c>
      <c r="E1825" s="25">
        <v>165</v>
      </c>
      <c r="F1825" s="23">
        <v>30</v>
      </c>
      <c r="G1825" s="152" cm="1">
        <f t="array" ref="G1825">SUM(E1825/F1825)</f>
        <v>5.5</v>
      </c>
      <c r="H1825" s="15"/>
    </row>
    <row r="1826" ht="13.65" customHeight="1">
      <c r="A1826" s="21">
        <v>111</v>
      </c>
      <c r="B1826" t="s" s="22">
        <v>476</v>
      </c>
      <c r="C1826" s="23">
        <v>1</v>
      </c>
      <c r="D1826" t="s" s="24">
        <v>401</v>
      </c>
      <c r="E1826" s="25">
        <v>2.7</v>
      </c>
      <c r="F1826" s="23">
        <v>30</v>
      </c>
      <c r="G1826" s="152" cm="1">
        <f t="array" ref="G1826">SUM(E1826/F1826)</f>
        <v>0.09</v>
      </c>
      <c r="H1826" s="15"/>
    </row>
    <row r="1827" ht="13.65" customHeight="1">
      <c r="A1827" s="21">
        <v>49</v>
      </c>
      <c r="B1827" t="s" s="22">
        <v>596</v>
      </c>
      <c r="C1827" s="23">
        <v>120</v>
      </c>
      <c r="D1827" t="s" s="24">
        <v>256</v>
      </c>
      <c r="E1827" s="25">
        <v>132</v>
      </c>
      <c r="F1827" s="23">
        <v>40</v>
      </c>
      <c r="G1827" s="152" cm="1">
        <f t="array" ref="G1827">SUM(E1827/F1827)</f>
        <v>3.3</v>
      </c>
      <c r="H1827" s="15"/>
    </row>
    <row r="1828" ht="13.65" customHeight="1">
      <c r="A1828" s="21">
        <v>7</v>
      </c>
      <c r="B1828" t="s" s="22">
        <v>477</v>
      </c>
      <c r="C1828" t="s" s="24">
        <v>478</v>
      </c>
      <c r="D1828" t="s" s="24">
        <v>479</v>
      </c>
      <c r="E1828" s="25">
        <v>14</v>
      </c>
      <c r="F1828" s="23">
        <v>10</v>
      </c>
      <c r="G1828" s="152" cm="1">
        <f t="array" ref="G1828">SUM(E1828/F1828)</f>
        <v>1.4</v>
      </c>
      <c r="H1828" s="15"/>
    </row>
    <row r="1829" ht="13.65" customHeight="1">
      <c r="A1829" s="21">
        <v>68</v>
      </c>
      <c r="B1829" t="s" s="22">
        <v>480</v>
      </c>
      <c r="C1829" t="s" s="24">
        <v>481</v>
      </c>
      <c r="D1829" t="s" s="24">
        <v>597</v>
      </c>
      <c r="E1829" s="25">
        <v>16</v>
      </c>
      <c r="F1829" s="23">
        <v>5</v>
      </c>
      <c r="G1829" s="152" cm="1">
        <f t="array" ref="G1829">SUM(E1829/F1829)</f>
        <v>3.2</v>
      </c>
      <c r="H1829" s="15"/>
    </row>
    <row r="1830" ht="13.65" customHeight="1">
      <c r="A1830" s="21">
        <v>69</v>
      </c>
      <c r="B1830" t="s" s="22">
        <v>598</v>
      </c>
      <c r="C1830" t="s" s="24">
        <v>481</v>
      </c>
      <c r="D1830" t="s" s="24">
        <v>597</v>
      </c>
      <c r="E1830" s="25">
        <v>3.5</v>
      </c>
      <c r="F1830" s="23">
        <v>5</v>
      </c>
      <c r="G1830" s="152" cm="1">
        <f t="array" ref="G1830">SUM(E1830/F1830)</f>
        <v>0.7</v>
      </c>
      <c r="H1830" s="15"/>
    </row>
    <row r="1831" ht="13.65" customHeight="1">
      <c r="A1831" s="21">
        <v>76</v>
      </c>
      <c r="B1831" t="s" s="22">
        <v>599</v>
      </c>
      <c r="C1831" t="s" s="24">
        <v>384</v>
      </c>
      <c r="D1831" t="s" s="24">
        <v>418</v>
      </c>
      <c r="E1831" s="25">
        <v>18</v>
      </c>
      <c r="F1831" s="23">
        <v>100</v>
      </c>
      <c r="G1831" s="152" cm="1">
        <f t="array" ref="G1831">SUM(E1831/F1831)</f>
        <v>0.18</v>
      </c>
      <c r="H1831" s="15"/>
    </row>
    <row r="1832" ht="13.65" customHeight="1">
      <c r="A1832" s="21">
        <v>105</v>
      </c>
      <c r="B1832" t="s" s="22">
        <v>600</v>
      </c>
      <c r="C1832" s="23">
        <v>1</v>
      </c>
      <c r="D1832" t="s" s="24">
        <v>104</v>
      </c>
      <c r="E1832" s="25">
        <v>0.35</v>
      </c>
      <c r="F1832" s="23">
        <v>1</v>
      </c>
      <c r="G1832" s="152" cm="1">
        <f t="array" ref="G1832">SUM(E1832/F1832)</f>
        <v>0.35</v>
      </c>
      <c r="H1832" s="15"/>
    </row>
    <row r="1833" ht="13.65" customHeight="1">
      <c r="A1833" s="21">
        <v>48</v>
      </c>
      <c r="B1833" t="s" s="22">
        <v>601</v>
      </c>
      <c r="C1833" s="23">
        <v>1</v>
      </c>
      <c r="D1833" t="s" s="24">
        <v>375</v>
      </c>
      <c r="E1833" s="25">
        <v>1</v>
      </c>
      <c r="F1833" s="23">
        <v>2</v>
      </c>
      <c r="G1833" s="152" cm="1">
        <f t="array" ref="G1833">SUM(E1833/F1833)</f>
        <v>0.5</v>
      </c>
      <c r="H1833" s="15"/>
    </row>
    <row r="1834" ht="13.65" customHeight="1">
      <c r="A1834" s="21">
        <v>131</v>
      </c>
      <c r="B1834" t="s" s="22">
        <v>482</v>
      </c>
      <c r="C1834" s="27"/>
      <c r="D1834" s="24"/>
      <c r="E1834" s="27"/>
      <c r="F1834" s="27"/>
      <c r="G1834" s="152">
        <v>90</v>
      </c>
      <c r="H1834" s="15"/>
    </row>
    <row r="1835" ht="13.65" customHeight="1">
      <c r="A1835" s="28"/>
      <c r="B1835" s="28"/>
      <c r="C1835" s="27"/>
      <c r="D1835" s="24"/>
      <c r="E1835" s="27"/>
      <c r="F1835" t="s" s="29">
        <v>118</v>
      </c>
      <c r="G1835" s="197" cm="1">
        <f t="array" ref="G1835">SUM(G1809:G1834)</f>
        <v>124.547141414141</v>
      </c>
      <c r="H1835" s="15"/>
    </row>
    <row r="1836" ht="13.65" customHeight="1">
      <c r="A1836" s="31"/>
      <c r="B1836" s="31"/>
      <c r="C1836" s="31"/>
      <c r="D1836" s="31"/>
      <c r="E1836" s="31"/>
      <c r="F1836" s="31"/>
      <c r="G1836" s="31"/>
      <c r="H1836" s="3"/>
    </row>
    <row r="1837" ht="13.65" customHeight="1">
      <c r="A1837" t="s" s="5">
        <v>602</v>
      </c>
      <c r="B1837" s="3"/>
      <c r="C1837" s="3"/>
      <c r="D1837" s="3"/>
      <c r="E1837" s="3"/>
      <c r="F1837" s="3"/>
      <c r="G1837" s="3"/>
      <c r="H1837" s="3"/>
    </row>
    <row r="1838" ht="13.65" customHeight="1">
      <c r="A1838" t="s" s="125">
        <v>603</v>
      </c>
      <c r="B1838" s="11"/>
      <c r="C1838" s="11"/>
      <c r="D1838" s="11"/>
      <c r="E1838" s="11"/>
      <c r="F1838" s="11"/>
      <c r="G1838" s="11"/>
      <c r="H1838" s="3"/>
    </row>
    <row r="1839" ht="11.7" customHeight="1">
      <c r="A1839" t="s" s="167">
        <v>136</v>
      </c>
      <c r="B1839" t="s" s="167">
        <v>281</v>
      </c>
      <c r="C1839" t="s" s="167">
        <v>282</v>
      </c>
      <c r="D1839" t="s" s="167">
        <v>118</v>
      </c>
      <c r="E1839" t="s" s="167">
        <v>604</v>
      </c>
      <c r="F1839" t="s" s="167">
        <v>605</v>
      </c>
      <c r="G1839" s="167"/>
      <c r="H1839" s="170"/>
    </row>
    <row r="1840" ht="13.65" customHeight="1">
      <c r="A1840" s="23">
        <v>140</v>
      </c>
      <c r="B1840" s="172" cm="1">
        <f t="array" ref="B1840">SUM(H256)</f>
        <v>2.47496540404041</v>
      </c>
      <c r="C1840" s="172" cm="1">
        <f t="array" ref="C1840">SUM(G1835)</f>
        <v>124.547141414141</v>
      </c>
      <c r="D1840" s="294" cm="1">
        <f t="array" ref="D1840">SUM(A1840*B1840)+(C1840)</f>
        <v>471.042297979798</v>
      </c>
      <c r="E1840" s="295" cm="1">
        <f t="array" ref="E1840">SUM(D1840)*0.2</f>
        <v>94.2084595959596</v>
      </c>
      <c r="F1840" s="296" cm="1">
        <f t="array" ref="F1840">SUM(D1840:E1840)</f>
        <v>565.250757575758</v>
      </c>
      <c r="G1840" s="296"/>
      <c r="H1840" s="15"/>
    </row>
    <row r="1841" ht="13.65" customHeight="1">
      <c r="A1841" s="289"/>
      <c r="B1841" s="289"/>
      <c r="C1841" s="289"/>
      <c r="D1841" s="289"/>
      <c r="E1841" s="289"/>
      <c r="F1841" s="289"/>
      <c r="G1841" s="289"/>
      <c r="H1841" s="203"/>
    </row>
    <row r="1842" ht="13.65" customHeight="1">
      <c r="A1842" t="s" s="274">
        <v>284</v>
      </c>
      <c r="B1842" s="275"/>
      <c r="C1842" s="275"/>
      <c r="D1842" s="275"/>
      <c r="E1842" s="280"/>
      <c r="F1842" s="275"/>
      <c r="G1842" s="275"/>
      <c r="H1842" s="277"/>
    </row>
    <row r="1843" ht="13.65" customHeight="1">
      <c r="A1843" s="278"/>
      <c r="B1843" s="278"/>
      <c r="C1843" s="278"/>
      <c r="D1843" s="278"/>
      <c r="E1843" s="278"/>
      <c r="F1843" s="278"/>
      <c r="G1843" s="278"/>
      <c r="H1843" s="278"/>
    </row>
    <row r="1844" ht="13.65" customHeight="1">
      <c r="A1844" s="3"/>
      <c r="B1844" s="3"/>
      <c r="C1844" s="3"/>
      <c r="D1844" s="3"/>
      <c r="E1844" s="3"/>
      <c r="F1844" s="3"/>
      <c r="G1844" s="3"/>
      <c r="H1844" s="3"/>
    </row>
    <row r="1845" ht="13.65" customHeight="1">
      <c r="A1845" t="s" s="5">
        <v>606</v>
      </c>
      <c r="B1845" s="3"/>
      <c r="C1845" s="3"/>
      <c r="D1845" s="3"/>
      <c r="E1845" s="3"/>
      <c r="F1845" s="3"/>
      <c r="G1845" s="3"/>
      <c r="H1845" s="3"/>
    </row>
    <row r="1846" ht="13.65" customHeight="1">
      <c r="A1846" t="s" s="5">
        <v>607</v>
      </c>
      <c r="B1846" s="3"/>
      <c r="C1846" s="3"/>
      <c r="D1846" s="3"/>
      <c r="E1846" s="3"/>
      <c r="F1846" s="3"/>
      <c r="G1846" s="3"/>
      <c r="H1846" s="3"/>
    </row>
    <row r="1847" ht="13.65" customHeight="1">
      <c r="A1847" s="11"/>
      <c r="B1847" s="11"/>
      <c r="C1847" s="11"/>
      <c r="D1847" s="11"/>
      <c r="E1847" s="11"/>
      <c r="F1847" s="11"/>
      <c r="G1847" s="11"/>
      <c r="H1847" s="3"/>
    </row>
    <row r="1848" ht="13.65" customHeight="1">
      <c r="A1848" s="12"/>
      <c r="B1848" s="12"/>
      <c r="C1848" s="13"/>
      <c r="D1848" s="14"/>
      <c r="E1848" s="13"/>
      <c r="F1848" s="13"/>
      <c r="G1848" t="s" s="14">
        <v>252</v>
      </c>
      <c r="H1848" s="150"/>
    </row>
    <row r="1849" ht="13.65" customHeight="1">
      <c r="A1849" t="s" s="16">
        <v>93</v>
      </c>
      <c r="B1849" t="s" s="16">
        <v>94</v>
      </c>
      <c r="C1849" t="s" s="16">
        <v>95</v>
      </c>
      <c r="D1849" t="s" s="16">
        <v>96</v>
      </c>
      <c r="E1849" t="s" s="16">
        <v>97</v>
      </c>
      <c r="F1849" t="s" s="16">
        <v>98</v>
      </c>
      <c r="G1849" t="s" s="16">
        <v>99</v>
      </c>
      <c r="H1849" s="15"/>
    </row>
    <row r="1850" ht="13.65" customHeight="1">
      <c r="A1850" s="151"/>
      <c r="B1850" s="151"/>
      <c r="C1850" s="19"/>
      <c r="D1850" s="20"/>
      <c r="E1850" s="19"/>
      <c r="F1850" s="19"/>
      <c r="G1850" t="s" s="20">
        <v>100</v>
      </c>
      <c r="H1850" s="15"/>
    </row>
    <row r="1851" ht="13.65" customHeight="1">
      <c r="A1851" s="21">
        <v>72</v>
      </c>
      <c r="B1851" t="s" s="22">
        <v>101</v>
      </c>
      <c r="C1851" s="23">
        <v>50</v>
      </c>
      <c r="D1851" t="s" s="24">
        <v>102</v>
      </c>
      <c r="E1851" s="25">
        <v>1.93</v>
      </c>
      <c r="F1851" s="23">
        <v>25</v>
      </c>
      <c r="G1851" s="152" cm="1">
        <f t="array" ref="G1851">SUM(E1851/F1851)</f>
        <v>0.0772</v>
      </c>
      <c r="H1851" s="15"/>
    </row>
    <row r="1852" ht="13.65" customHeight="1">
      <c r="A1852" s="21">
        <v>123</v>
      </c>
      <c r="B1852" t="s" s="22">
        <v>103</v>
      </c>
      <c r="C1852" s="23">
        <v>40</v>
      </c>
      <c r="D1852" t="s" s="24">
        <v>102</v>
      </c>
      <c r="E1852" s="25">
        <v>3.2</v>
      </c>
      <c r="F1852" s="23">
        <v>20</v>
      </c>
      <c r="G1852" s="152" cm="1">
        <f t="array" ref="G1852">SUM(E1852/F1852)</f>
        <v>0.16</v>
      </c>
      <c r="H1852" s="15"/>
    </row>
    <row r="1853" ht="13.65" customHeight="1">
      <c r="A1853" s="21">
        <v>86</v>
      </c>
      <c r="B1853" t="s" s="22">
        <v>107</v>
      </c>
      <c r="C1853" t="s" s="24">
        <v>108</v>
      </c>
      <c r="D1853" t="s" s="24">
        <v>102</v>
      </c>
      <c r="E1853" s="25">
        <v>0.32</v>
      </c>
      <c r="F1853" t="s" s="24">
        <v>387</v>
      </c>
      <c r="G1853" s="152" cm="1">
        <f t="array" ref="G1853">SUM(E1853*2)</f>
        <v>0.64</v>
      </c>
      <c r="H1853" s="15"/>
    </row>
    <row r="1854" ht="13.65" customHeight="1">
      <c r="A1854" s="21">
        <v>71</v>
      </c>
      <c r="B1854" t="s" s="22">
        <v>109</v>
      </c>
      <c r="C1854" s="23">
        <v>10</v>
      </c>
      <c r="D1854" t="s" s="24">
        <v>102</v>
      </c>
      <c r="E1854" s="25">
        <v>5.92</v>
      </c>
      <c r="F1854" s="23">
        <v>5</v>
      </c>
      <c r="G1854" s="152" cm="1">
        <f t="array" ref="G1854">SUM(E1854/F1854)</f>
        <v>1.184</v>
      </c>
      <c r="H1854" s="15"/>
    </row>
    <row r="1855" ht="13.65" customHeight="1">
      <c r="A1855" s="21">
        <v>87</v>
      </c>
      <c r="B1855" t="s" s="22">
        <v>110</v>
      </c>
      <c r="C1855" s="23">
        <v>50</v>
      </c>
      <c r="D1855" t="s" s="24">
        <v>102</v>
      </c>
      <c r="E1855" s="25">
        <v>9</v>
      </c>
      <c r="F1855" s="23">
        <v>25</v>
      </c>
      <c r="G1855" s="152" cm="1">
        <f t="array" ref="G1855">SUM(E1855/F1855)</f>
        <v>0.36</v>
      </c>
      <c r="H1855" s="15"/>
    </row>
    <row r="1856" ht="13.65" customHeight="1">
      <c r="A1856" s="21">
        <v>55</v>
      </c>
      <c r="B1856" t="s" s="22">
        <v>111</v>
      </c>
      <c r="C1856" t="s" s="24">
        <v>112</v>
      </c>
      <c r="D1856" t="s" s="24">
        <v>461</v>
      </c>
      <c r="E1856" s="25">
        <v>2.71</v>
      </c>
      <c r="F1856" s="23">
        <v>37</v>
      </c>
      <c r="G1856" s="152" cm="1">
        <f t="array" ref="G1856">SUM(E1856/F1856)</f>
        <v>0.0732432432432432</v>
      </c>
      <c r="H1856" s="15"/>
    </row>
    <row r="1857" ht="13.65" customHeight="1">
      <c r="A1857" s="21">
        <v>35</v>
      </c>
      <c r="B1857" t="s" s="22">
        <v>582</v>
      </c>
      <c r="C1857" s="23">
        <v>4</v>
      </c>
      <c r="D1857" t="s" s="24">
        <v>608</v>
      </c>
      <c r="E1857" s="25">
        <v>47</v>
      </c>
      <c r="F1857" t="s" s="24">
        <v>387</v>
      </c>
      <c r="G1857" s="152" cm="1">
        <f t="array" ref="G1857">SUM(E1857*2)</f>
        <v>94</v>
      </c>
      <c r="H1857" s="15"/>
    </row>
    <row r="1858" ht="13.65" customHeight="1">
      <c r="A1858" s="21">
        <v>7</v>
      </c>
      <c r="B1858" t="s" s="22">
        <v>477</v>
      </c>
      <c r="C1858" t="s" s="24">
        <v>478</v>
      </c>
      <c r="D1858" t="s" s="24">
        <v>479</v>
      </c>
      <c r="E1858" s="25">
        <v>14</v>
      </c>
      <c r="F1858" s="23">
        <v>10</v>
      </c>
      <c r="G1858" s="152" cm="1">
        <f t="array" ref="G1858">SUM(E1858/F1858)</f>
        <v>1.4</v>
      </c>
      <c r="H1858" s="15"/>
    </row>
    <row r="1859" ht="13.65" customHeight="1">
      <c r="A1859" s="21">
        <v>69</v>
      </c>
      <c r="B1859" t="s" s="22">
        <v>609</v>
      </c>
      <c r="C1859" t="s" s="24">
        <v>481</v>
      </c>
      <c r="D1859" t="s" s="24">
        <v>597</v>
      </c>
      <c r="E1859" s="25">
        <v>3.5</v>
      </c>
      <c r="F1859" s="23">
        <v>5</v>
      </c>
      <c r="G1859" s="152" cm="1">
        <f t="array" ref="G1859">SUM(E1859/F1859)</f>
        <v>0.7</v>
      </c>
      <c r="H1859" s="15"/>
    </row>
    <row r="1860" ht="13.65" customHeight="1">
      <c r="A1860" s="21">
        <v>131</v>
      </c>
      <c r="B1860" t="s" s="22">
        <v>482</v>
      </c>
      <c r="C1860" s="27"/>
      <c r="D1860" s="24"/>
      <c r="E1860" s="27"/>
      <c r="F1860" s="27"/>
      <c r="G1860" s="152">
        <v>40</v>
      </c>
      <c r="H1860" s="15"/>
    </row>
    <row r="1861" ht="13.65" customHeight="1">
      <c r="A1861" s="28"/>
      <c r="B1861" s="28"/>
      <c r="C1861" s="27"/>
      <c r="D1861" s="24"/>
      <c r="E1861" s="27"/>
      <c r="F1861" t="s" s="29">
        <v>118</v>
      </c>
      <c r="G1861" s="197" cm="1">
        <f t="array" ref="G1861">SUM(G1851:G1860)</f>
        <v>138.594443243243</v>
      </c>
      <c r="H1861" s="15"/>
    </row>
    <row r="1862" ht="13.65" customHeight="1">
      <c r="A1862" s="129"/>
      <c r="B1862" s="129"/>
      <c r="C1862" s="129"/>
      <c r="D1862" s="129"/>
      <c r="E1862" s="129"/>
      <c r="F1862" s="31"/>
      <c r="G1862" s="31"/>
      <c r="H1862" s="3"/>
    </row>
    <row r="1863" ht="11.7" customHeight="1">
      <c r="A1863" t="s" s="167">
        <v>136</v>
      </c>
      <c r="B1863" t="s" s="167">
        <v>281</v>
      </c>
      <c r="C1863" t="s" s="167">
        <v>282</v>
      </c>
      <c r="D1863" t="s" s="168">
        <v>283</v>
      </c>
      <c r="E1863" s="169"/>
      <c r="F1863" s="170"/>
      <c r="G1863" s="171"/>
      <c r="H1863" s="171"/>
    </row>
    <row r="1864" ht="13.65" customHeight="1">
      <c r="A1864" s="23">
        <v>90</v>
      </c>
      <c r="B1864" s="172" cm="1">
        <f t="array" ref="B1864">SUM(H256)</f>
        <v>2.47496540404041</v>
      </c>
      <c r="C1864" s="172" cm="1">
        <f t="array" ref="C1864">SUM(G1861)</f>
        <v>138.594443243243</v>
      </c>
      <c r="D1864" s="199" cm="1">
        <f t="array" ref="D1864">SUM(A1864*B1864)+(C1864)</f>
        <v>361.341329606880</v>
      </c>
      <c r="E1864" s="200"/>
      <c r="F1864" s="15"/>
      <c r="G1864" s="3"/>
      <c r="H1864" s="3"/>
    </row>
    <row r="1865" ht="13.65" customHeight="1">
      <c r="A1865" s="31"/>
      <c r="B1865" s="31"/>
      <c r="C1865" s="31"/>
      <c r="D1865" s="31"/>
      <c r="E1865" s="31"/>
      <c r="F1865" s="3"/>
      <c r="G1865" s="3"/>
      <c r="H1865" s="3"/>
    </row>
    <row r="1866" ht="13.65" customHeight="1">
      <c r="A1866" s="3"/>
      <c r="B1866" s="3"/>
      <c r="C1866" s="3"/>
      <c r="D1866" s="3"/>
      <c r="E1866" s="3"/>
      <c r="F1866" s="3"/>
      <c r="G1866" s="3"/>
      <c r="H1866" s="3"/>
    </row>
    <row r="1867" ht="13.65" customHeight="1">
      <c r="A1867" t="s" s="5">
        <v>610</v>
      </c>
      <c r="B1867" s="3"/>
      <c r="C1867" s="3"/>
      <c r="D1867" s="3"/>
      <c r="E1867" s="3"/>
      <c r="F1867" s="3"/>
      <c r="G1867" s="3"/>
      <c r="H1867" s="3"/>
    </row>
    <row r="1868" ht="13.65" customHeight="1">
      <c r="A1868" s="11"/>
      <c r="B1868" s="11"/>
      <c r="C1868" s="11"/>
      <c r="D1868" s="11"/>
      <c r="E1868" s="11"/>
      <c r="F1868" s="11"/>
      <c r="G1868" s="11"/>
      <c r="H1868" s="3"/>
    </row>
    <row r="1869" ht="13.65" customHeight="1">
      <c r="A1869" s="12"/>
      <c r="B1869" s="12"/>
      <c r="C1869" s="13"/>
      <c r="D1869" s="14"/>
      <c r="E1869" s="13"/>
      <c r="F1869" s="13"/>
      <c r="G1869" t="s" s="14">
        <v>252</v>
      </c>
      <c r="H1869" s="150"/>
    </row>
    <row r="1870" ht="13.65" customHeight="1">
      <c r="A1870" t="s" s="16">
        <v>93</v>
      </c>
      <c r="B1870" t="s" s="16">
        <v>94</v>
      </c>
      <c r="C1870" t="s" s="16">
        <v>95</v>
      </c>
      <c r="D1870" t="s" s="16">
        <v>96</v>
      </c>
      <c r="E1870" t="s" s="16">
        <v>97</v>
      </c>
      <c r="F1870" t="s" s="16">
        <v>98</v>
      </c>
      <c r="G1870" t="s" s="16">
        <v>99</v>
      </c>
      <c r="H1870" s="15"/>
    </row>
    <row r="1871" ht="13.65" customHeight="1">
      <c r="A1871" s="151"/>
      <c r="B1871" s="151"/>
      <c r="C1871" s="19"/>
      <c r="D1871" s="20"/>
      <c r="E1871" s="19"/>
      <c r="F1871" s="19"/>
      <c r="G1871" t="s" s="20">
        <v>100</v>
      </c>
      <c r="H1871" s="15"/>
    </row>
    <row r="1872" ht="13.65" customHeight="1">
      <c r="A1872" s="21">
        <v>72</v>
      </c>
      <c r="B1872" t="s" s="22">
        <v>101</v>
      </c>
      <c r="C1872" s="23">
        <v>50</v>
      </c>
      <c r="D1872" t="s" s="24">
        <v>274</v>
      </c>
      <c r="E1872" s="25">
        <v>1.93</v>
      </c>
      <c r="F1872" s="23">
        <v>12.5</v>
      </c>
      <c r="G1872" s="152" cm="1">
        <f t="array" ref="G1872">SUM(E1872/F1872)</f>
        <v>0.1544</v>
      </c>
      <c r="H1872" s="15"/>
    </row>
    <row r="1873" ht="13.65" customHeight="1">
      <c r="A1873" s="21">
        <v>123</v>
      </c>
      <c r="B1873" t="s" s="22">
        <v>103</v>
      </c>
      <c r="C1873" s="23">
        <v>40</v>
      </c>
      <c r="D1873" t="s" s="24">
        <v>102</v>
      </c>
      <c r="E1873" s="25">
        <v>3.2</v>
      </c>
      <c r="F1873" s="23">
        <v>20</v>
      </c>
      <c r="G1873" s="152" cm="1">
        <f t="array" ref="G1873">SUM(E1873/F1873)</f>
        <v>0.16</v>
      </c>
      <c r="H1873" s="15"/>
    </row>
    <row r="1874" ht="13.65" customHeight="1">
      <c r="A1874" s="21">
        <v>57</v>
      </c>
      <c r="B1874" t="s" s="22">
        <v>253</v>
      </c>
      <c r="C1874" t="s" s="24">
        <v>389</v>
      </c>
      <c r="D1874" t="s" s="24">
        <v>371</v>
      </c>
      <c r="E1874" s="25">
        <v>4.5</v>
      </c>
      <c r="F1874" s="23">
        <v>33</v>
      </c>
      <c r="G1874" s="152" cm="1">
        <f t="array" ref="G1874">SUM(E1874/F1874)</f>
        <v>0.136363636363636</v>
      </c>
      <c r="H1874" s="15"/>
    </row>
    <row r="1875" ht="13.65" customHeight="1">
      <c r="A1875" s="21">
        <v>117</v>
      </c>
      <c r="B1875" t="s" s="22">
        <v>105</v>
      </c>
      <c r="C1875" s="23">
        <v>100</v>
      </c>
      <c r="D1875" t="s" s="24">
        <v>106</v>
      </c>
      <c r="E1875" s="25">
        <v>1.2</v>
      </c>
      <c r="F1875" s="23">
        <v>10</v>
      </c>
      <c r="G1875" s="152" cm="1">
        <f t="array" ref="G1875">SUM(E1875/F1875)</f>
        <v>0.12</v>
      </c>
      <c r="H1875" s="15"/>
    </row>
    <row r="1876" ht="13.65" customHeight="1">
      <c r="A1876" s="21">
        <v>86</v>
      </c>
      <c r="B1876" t="s" s="22">
        <v>107</v>
      </c>
      <c r="C1876" s="23">
        <v>1</v>
      </c>
      <c r="D1876" t="s" s="24">
        <v>274</v>
      </c>
      <c r="E1876" s="25">
        <v>0.32</v>
      </c>
      <c r="F1876" t="s" s="24">
        <v>301</v>
      </c>
      <c r="G1876" s="152" cm="1">
        <f t="array" ref="G1876">SUM(E1876*4)</f>
        <v>1.28</v>
      </c>
      <c r="H1876" s="15"/>
    </row>
    <row r="1877" ht="13.65" customHeight="1">
      <c r="A1877" s="21">
        <v>71</v>
      </c>
      <c r="B1877" t="s" s="22">
        <v>109</v>
      </c>
      <c r="C1877" s="23">
        <v>10</v>
      </c>
      <c r="D1877" t="s" s="24">
        <v>274</v>
      </c>
      <c r="E1877" s="25">
        <v>5.92</v>
      </c>
      <c r="F1877" s="23">
        <v>2.5</v>
      </c>
      <c r="G1877" s="152" cm="1">
        <f t="array" ref="G1877">SUM(E1877/F1877)</f>
        <v>2.368</v>
      </c>
      <c r="H1877" s="15"/>
    </row>
    <row r="1878" ht="13.65" customHeight="1">
      <c r="A1878" s="21">
        <v>87</v>
      </c>
      <c r="B1878" t="s" s="22">
        <v>110</v>
      </c>
      <c r="C1878" s="23">
        <v>50</v>
      </c>
      <c r="D1878" t="s" s="24">
        <v>274</v>
      </c>
      <c r="E1878" s="25">
        <v>9</v>
      </c>
      <c r="F1878" s="23">
        <v>12.5</v>
      </c>
      <c r="G1878" s="152" cm="1">
        <f t="array" ref="G1878">SUM(E1878/F1878)</f>
        <v>0.72</v>
      </c>
      <c r="H1878" s="15"/>
    </row>
    <row r="1879" ht="13.65" customHeight="1">
      <c r="A1879" s="21">
        <v>55</v>
      </c>
      <c r="B1879" t="s" s="22">
        <v>111</v>
      </c>
      <c r="C1879" t="s" s="24">
        <v>112</v>
      </c>
      <c r="D1879" t="s" s="24">
        <v>461</v>
      </c>
      <c r="E1879" s="25">
        <v>2.71</v>
      </c>
      <c r="F1879" s="23">
        <v>37.5</v>
      </c>
      <c r="G1879" s="152" cm="1">
        <f t="array" ref="G1879">SUM(E1879/F1879)</f>
        <v>0.0722666666666667</v>
      </c>
      <c r="H1879" s="15"/>
    </row>
    <row r="1880" ht="13.65" customHeight="1">
      <c r="A1880" s="21">
        <v>24</v>
      </c>
      <c r="B1880" t="s" s="22">
        <v>531</v>
      </c>
      <c r="C1880" s="23">
        <v>10</v>
      </c>
      <c r="D1880" t="s" s="24">
        <v>104</v>
      </c>
      <c r="E1880" s="25">
        <v>9.6</v>
      </c>
      <c r="F1880" s="23">
        <v>10</v>
      </c>
      <c r="G1880" s="152" cm="1">
        <f t="array" ref="G1880">SUM(E1880/F1880)</f>
        <v>0.96</v>
      </c>
      <c r="H1880" s="15"/>
    </row>
    <row r="1881" ht="13.65" customHeight="1">
      <c r="A1881" s="21">
        <v>10</v>
      </c>
      <c r="B1881" t="s" s="22">
        <v>395</v>
      </c>
      <c r="C1881" t="s" s="24">
        <v>396</v>
      </c>
      <c r="D1881" t="s" s="24">
        <v>462</v>
      </c>
      <c r="E1881" s="25">
        <v>3.92</v>
      </c>
      <c r="F1881" s="23">
        <v>25</v>
      </c>
      <c r="G1881" s="152" cm="1">
        <f t="array" ref="G1881">SUM(E1881/F1881)</f>
        <v>0.1568</v>
      </c>
      <c r="H1881" s="15"/>
    </row>
    <row r="1882" ht="13.65" customHeight="1">
      <c r="A1882" s="21">
        <v>9</v>
      </c>
      <c r="B1882" t="s" s="22">
        <v>398</v>
      </c>
      <c r="C1882" s="23">
        <v>50</v>
      </c>
      <c r="D1882" t="s" s="24">
        <v>104</v>
      </c>
      <c r="E1882" s="25">
        <v>14</v>
      </c>
      <c r="F1882" s="23">
        <v>25</v>
      </c>
      <c r="G1882" s="152" cm="1">
        <f t="array" ref="G1882">SUM(E1882/F1882)</f>
        <v>0.5600000000000001</v>
      </c>
      <c r="H1882" s="15"/>
    </row>
    <row r="1883" ht="13.65" customHeight="1">
      <c r="A1883" s="21">
        <v>6</v>
      </c>
      <c r="B1883" t="s" s="22">
        <v>399</v>
      </c>
      <c r="C1883" s="23">
        <v>100</v>
      </c>
      <c r="D1883" t="s" s="24">
        <v>102</v>
      </c>
      <c r="E1883" s="25">
        <v>19</v>
      </c>
      <c r="F1883" s="23">
        <v>50</v>
      </c>
      <c r="G1883" s="152" cm="1">
        <f t="array" ref="G1883">SUM(E1883/F1883)</f>
        <v>0.38</v>
      </c>
      <c r="H1883" s="15"/>
    </row>
    <row r="1884" ht="13.65" customHeight="1">
      <c r="A1884" s="21">
        <v>11</v>
      </c>
      <c r="B1884" t="s" s="22">
        <v>611</v>
      </c>
      <c r="C1884" t="s" s="24">
        <v>441</v>
      </c>
      <c r="D1884" t="s" s="24">
        <v>442</v>
      </c>
      <c r="E1884" s="25">
        <v>49</v>
      </c>
      <c r="F1884" s="23">
        <v>44</v>
      </c>
      <c r="G1884" s="152" cm="1">
        <f t="array" ref="G1884">SUM(E1884/F1884)</f>
        <v>1.11363636363636</v>
      </c>
      <c r="H1884" s="15"/>
    </row>
    <row r="1885" ht="13.65" customHeight="1">
      <c r="A1885" s="21">
        <v>19</v>
      </c>
      <c r="B1885" t="s" s="22">
        <v>612</v>
      </c>
      <c r="C1885" s="23">
        <v>3</v>
      </c>
      <c r="D1885" t="s" s="24">
        <v>518</v>
      </c>
      <c r="E1885" s="25">
        <v>5.2</v>
      </c>
      <c r="F1885" s="23">
        <v>40</v>
      </c>
      <c r="G1885" s="152" cm="1">
        <f t="array" ref="G1885">SUM(E1885/F1885)</f>
        <v>0.13</v>
      </c>
      <c r="H1885" s="15"/>
    </row>
    <row r="1886" ht="13.65" customHeight="1">
      <c r="A1886" s="21">
        <v>19</v>
      </c>
      <c r="B1886" t="s" s="22">
        <v>437</v>
      </c>
      <c r="C1886" s="23">
        <v>2</v>
      </c>
      <c r="D1886" t="s" s="24">
        <v>588</v>
      </c>
      <c r="E1886" s="25">
        <v>5.2</v>
      </c>
      <c r="F1886" s="23">
        <v>5</v>
      </c>
      <c r="G1886" s="152" cm="1">
        <f t="array" ref="G1886">SUM(E1886/F1886)</f>
        <v>1.04</v>
      </c>
      <c r="H1886" s="15"/>
    </row>
    <row r="1887" ht="13.65" customHeight="1">
      <c r="A1887" s="21">
        <v>139</v>
      </c>
      <c r="B1887" t="s" s="22">
        <v>613</v>
      </c>
      <c r="C1887" t="s" s="24">
        <v>432</v>
      </c>
      <c r="D1887" t="s" s="24">
        <v>495</v>
      </c>
      <c r="E1887" s="25">
        <v>15</v>
      </c>
      <c r="F1887" s="23">
        <v>20</v>
      </c>
      <c r="G1887" s="152" cm="1">
        <f t="array" ref="G1887">SUM(E1887/F1887)</f>
        <v>0.75</v>
      </c>
      <c r="H1887" s="15"/>
    </row>
    <row r="1888" ht="13.65" customHeight="1">
      <c r="A1888" s="21">
        <v>130</v>
      </c>
      <c r="B1888" t="s" s="22">
        <v>590</v>
      </c>
      <c r="C1888" t="s" s="24">
        <v>390</v>
      </c>
      <c r="D1888" t="s" s="24">
        <v>540</v>
      </c>
      <c r="E1888" s="25">
        <v>12</v>
      </c>
      <c r="F1888" s="23">
        <v>200</v>
      </c>
      <c r="G1888" s="152" cm="1">
        <f t="array" ref="G1888">SUM(E1888/F1888)</f>
        <v>0.06</v>
      </c>
      <c r="H1888" s="15"/>
    </row>
    <row r="1889" ht="13.65" customHeight="1">
      <c r="A1889" s="21">
        <v>59</v>
      </c>
      <c r="B1889" t="s" s="22">
        <v>591</v>
      </c>
      <c r="C1889" t="s" s="24">
        <v>592</v>
      </c>
      <c r="D1889" t="s" s="24">
        <v>593</v>
      </c>
      <c r="E1889" s="25">
        <v>18</v>
      </c>
      <c r="F1889" s="23">
        <v>36</v>
      </c>
      <c r="G1889" s="152" cm="1">
        <f t="array" ref="G1889">SUM(E1889/F1889)</f>
        <v>0.5</v>
      </c>
      <c r="H1889" s="15"/>
    </row>
    <row r="1890" ht="13.65" customHeight="1">
      <c r="A1890" s="21">
        <v>27</v>
      </c>
      <c r="B1890" t="s" s="22">
        <v>594</v>
      </c>
      <c r="C1890" s="23">
        <v>18</v>
      </c>
      <c r="D1890" t="s" s="24">
        <v>375</v>
      </c>
      <c r="E1890" s="25">
        <v>6.5</v>
      </c>
      <c r="F1890" s="23">
        <v>36</v>
      </c>
      <c r="G1890" s="152" cm="1">
        <f t="array" ref="G1890">SUM(E1890/F1890)</f>
        <v>0.180555555555556</v>
      </c>
      <c r="H1890" s="15"/>
    </row>
    <row r="1891" ht="13.65" customHeight="1">
      <c r="A1891" s="21">
        <v>120</v>
      </c>
      <c r="B1891" t="s" s="22">
        <v>595</v>
      </c>
      <c r="C1891" t="s" s="24">
        <v>538</v>
      </c>
      <c r="D1891" t="s" s="24">
        <v>401</v>
      </c>
      <c r="E1891" s="25">
        <v>165</v>
      </c>
      <c r="F1891" s="23">
        <v>30</v>
      </c>
      <c r="G1891" s="152" cm="1">
        <f t="array" ref="G1891">SUM(E1891/F1891)</f>
        <v>5.5</v>
      </c>
      <c r="H1891" s="15"/>
    </row>
    <row r="1892" ht="13.65" customHeight="1">
      <c r="A1892" s="21">
        <v>111</v>
      </c>
      <c r="B1892" t="s" s="22">
        <v>476</v>
      </c>
      <c r="C1892" s="23">
        <v>1</v>
      </c>
      <c r="D1892" t="s" s="24">
        <v>401</v>
      </c>
      <c r="E1892" s="25">
        <v>2.7</v>
      </c>
      <c r="F1892" s="23">
        <v>30</v>
      </c>
      <c r="G1892" s="152" cm="1">
        <f t="array" ref="G1892">SUM(E1892/F1892)</f>
        <v>0.09</v>
      </c>
      <c r="H1892" s="15"/>
    </row>
    <row r="1893" ht="13.65" customHeight="1">
      <c r="A1893" s="21">
        <v>49</v>
      </c>
      <c r="B1893" t="s" s="22">
        <v>596</v>
      </c>
      <c r="C1893" s="23">
        <v>120</v>
      </c>
      <c r="D1893" t="s" s="24">
        <v>256</v>
      </c>
      <c r="E1893" s="25">
        <v>132</v>
      </c>
      <c r="F1893" s="23">
        <v>40</v>
      </c>
      <c r="G1893" s="152" cm="1">
        <f t="array" ref="G1893">SUM(E1893/F1893)</f>
        <v>3.3</v>
      </c>
      <c r="H1893" s="15"/>
    </row>
    <row r="1894" ht="13.65" customHeight="1">
      <c r="A1894" s="21">
        <v>7</v>
      </c>
      <c r="B1894" t="s" s="22">
        <v>477</v>
      </c>
      <c r="C1894" t="s" s="24">
        <v>478</v>
      </c>
      <c r="D1894" t="s" s="24">
        <v>614</v>
      </c>
      <c r="E1894" s="25">
        <v>14</v>
      </c>
      <c r="F1894" s="23">
        <v>20</v>
      </c>
      <c r="G1894" s="152" cm="1">
        <f t="array" ref="G1894">SUM(E1894/F1894)</f>
        <v>0.7</v>
      </c>
      <c r="H1894" s="15"/>
    </row>
    <row r="1895" ht="13.65" customHeight="1">
      <c r="A1895" s="21">
        <v>68</v>
      </c>
      <c r="B1895" t="s" s="22">
        <v>480</v>
      </c>
      <c r="C1895" t="s" s="24">
        <v>481</v>
      </c>
      <c r="D1895" t="s" s="24">
        <v>380</v>
      </c>
      <c r="E1895" s="25">
        <v>16</v>
      </c>
      <c r="F1895" s="23">
        <v>10</v>
      </c>
      <c r="G1895" s="152" cm="1">
        <f t="array" ref="G1895">SUM(E1895/F1895)</f>
        <v>1.6</v>
      </c>
      <c r="H1895" s="15"/>
    </row>
    <row r="1896" ht="13.65" customHeight="1">
      <c r="A1896" s="21">
        <v>69</v>
      </c>
      <c r="B1896" t="s" s="22">
        <v>598</v>
      </c>
      <c r="C1896" t="s" s="24">
        <v>481</v>
      </c>
      <c r="D1896" t="s" s="24">
        <v>380</v>
      </c>
      <c r="E1896" s="25">
        <v>3.5</v>
      </c>
      <c r="F1896" s="23">
        <v>10</v>
      </c>
      <c r="G1896" s="152" cm="1">
        <f t="array" ref="G1896">SUM(E1896/F1896)</f>
        <v>0.35</v>
      </c>
      <c r="H1896" s="15"/>
    </row>
    <row r="1897" ht="13.65" customHeight="1">
      <c r="A1897" s="21">
        <v>76</v>
      </c>
      <c r="B1897" t="s" s="22">
        <v>599</v>
      </c>
      <c r="C1897" t="s" s="24">
        <v>384</v>
      </c>
      <c r="D1897" t="s" s="24">
        <v>418</v>
      </c>
      <c r="E1897" s="25">
        <v>18</v>
      </c>
      <c r="F1897" s="297">
        <v>100</v>
      </c>
      <c r="G1897" s="152" cm="1">
        <f t="array" ref="G1897">SUM(E1897/F1897)</f>
        <v>0.18</v>
      </c>
      <c r="H1897" s="15"/>
    </row>
    <row r="1898" ht="13.65" customHeight="1">
      <c r="A1898" s="21">
        <v>131</v>
      </c>
      <c r="B1898" t="s" s="22">
        <v>482</v>
      </c>
      <c r="C1898" s="27"/>
      <c r="D1898" s="24"/>
      <c r="E1898" s="27"/>
      <c r="F1898" s="27"/>
      <c r="G1898" s="25">
        <v>50</v>
      </c>
      <c r="H1898" s="15"/>
    </row>
    <row r="1899" ht="13.65" customHeight="1">
      <c r="A1899" s="28"/>
      <c r="B1899" s="28"/>
      <c r="C1899" s="27"/>
      <c r="D1899" s="24"/>
      <c r="E1899" s="27"/>
      <c r="F1899" t="s" s="29">
        <v>118</v>
      </c>
      <c r="G1899" s="197" cm="1">
        <f t="array" ref="G1899">SUM(G1872:G1898)</f>
        <v>72.5620222222222</v>
      </c>
      <c r="H1899" s="15"/>
    </row>
    <row r="1900" ht="11.7" customHeight="1">
      <c r="A1900" t="s" s="167">
        <v>136</v>
      </c>
      <c r="B1900" t="s" s="167">
        <v>281</v>
      </c>
      <c r="C1900" t="s" s="167">
        <v>282</v>
      </c>
      <c r="D1900" t="s" s="168">
        <v>283</v>
      </c>
      <c r="E1900" s="169"/>
      <c r="F1900" s="298"/>
      <c r="G1900" s="299"/>
      <c r="H1900" s="171"/>
    </row>
    <row r="1901" ht="13.65" customHeight="1">
      <c r="A1901" s="23">
        <v>130</v>
      </c>
      <c r="B1901" s="172" cm="1">
        <f t="array" ref="B1901">SUM(H256)</f>
        <v>2.47496540404041</v>
      </c>
      <c r="C1901" s="172" cm="1">
        <f t="array" ref="C1901">SUM(G1899)</f>
        <v>72.5620222222222</v>
      </c>
      <c r="D1901" s="199" cm="1">
        <f t="array" ref="D1901">SUM(A1901*B1901)+(C1901)</f>
        <v>394.307524747476</v>
      </c>
      <c r="E1901" s="200"/>
      <c r="F1901" s="282"/>
      <c r="G1901" s="203"/>
      <c r="H1901" s="203"/>
    </row>
    <row r="1902" ht="13.65" customHeight="1">
      <c r="A1902" t="s" s="283">
        <v>284</v>
      </c>
      <c r="B1902" s="284"/>
      <c r="C1902" s="284"/>
      <c r="D1902" s="284"/>
      <c r="E1902" s="291"/>
      <c r="F1902" s="275"/>
      <c r="G1902" s="275"/>
      <c r="H1902" s="277"/>
    </row>
    <row r="1903" ht="13.65" customHeight="1">
      <c r="A1903" s="278"/>
      <c r="B1903" s="278"/>
      <c r="C1903" s="278"/>
      <c r="D1903" s="278"/>
      <c r="E1903" s="278"/>
      <c r="F1903" s="278"/>
      <c r="G1903" s="278"/>
      <c r="H1903" s="278"/>
    </row>
    <row r="1904" ht="13.65" customHeight="1">
      <c r="A1904" s="3"/>
      <c r="B1904" s="3"/>
      <c r="C1904" s="3"/>
      <c r="D1904" s="3"/>
      <c r="E1904" s="3"/>
      <c r="F1904" s="3"/>
      <c r="G1904" s="3"/>
      <c r="H1904" s="3"/>
    </row>
    <row r="1905" ht="13.65" customHeight="1">
      <c r="A1905" t="s" s="5">
        <v>615</v>
      </c>
      <c r="B1905" s="3"/>
      <c r="C1905" s="3"/>
      <c r="D1905" s="3"/>
      <c r="E1905" s="3"/>
      <c r="F1905" s="3"/>
      <c r="G1905" s="3"/>
      <c r="H1905" s="3"/>
    </row>
    <row r="1906" ht="13.65" customHeight="1">
      <c r="A1906" s="11"/>
      <c r="B1906" s="11"/>
      <c r="C1906" s="11"/>
      <c r="D1906" s="11"/>
      <c r="E1906" s="11"/>
      <c r="F1906" s="11"/>
      <c r="G1906" s="11"/>
      <c r="H1906" s="3"/>
    </row>
    <row r="1907" ht="13.65" customHeight="1">
      <c r="A1907" s="12"/>
      <c r="B1907" s="12"/>
      <c r="C1907" s="13"/>
      <c r="D1907" s="14"/>
      <c r="E1907" s="13"/>
      <c r="F1907" s="13"/>
      <c r="G1907" t="s" s="14">
        <v>252</v>
      </c>
      <c r="H1907" s="150"/>
    </row>
    <row r="1908" ht="13.65" customHeight="1">
      <c r="A1908" t="s" s="16">
        <v>93</v>
      </c>
      <c r="B1908" t="s" s="16">
        <v>94</v>
      </c>
      <c r="C1908" t="s" s="16">
        <v>95</v>
      </c>
      <c r="D1908" t="s" s="16">
        <v>96</v>
      </c>
      <c r="E1908" t="s" s="16">
        <v>97</v>
      </c>
      <c r="F1908" t="s" s="16">
        <v>98</v>
      </c>
      <c r="G1908" t="s" s="16">
        <v>99</v>
      </c>
      <c r="H1908" s="15"/>
    </row>
    <row r="1909" ht="13.65" customHeight="1">
      <c r="A1909" s="151"/>
      <c r="B1909" s="151"/>
      <c r="C1909" s="19"/>
      <c r="D1909" s="20"/>
      <c r="E1909" s="19"/>
      <c r="F1909" s="19"/>
      <c r="G1909" t="s" s="20">
        <v>100</v>
      </c>
      <c r="H1909" s="15"/>
    </row>
    <row r="1910" ht="13.65" customHeight="1">
      <c r="A1910" s="21">
        <v>72</v>
      </c>
      <c r="B1910" t="s" s="22">
        <v>101</v>
      </c>
      <c r="C1910" s="23">
        <v>50</v>
      </c>
      <c r="D1910" t="s" s="24">
        <v>274</v>
      </c>
      <c r="E1910" s="25">
        <v>1.93</v>
      </c>
      <c r="F1910" s="23">
        <v>12.5</v>
      </c>
      <c r="G1910" s="152" cm="1">
        <f t="array" ref="G1910">SUM(E1910/F1910)</f>
        <v>0.1544</v>
      </c>
      <c r="H1910" s="15"/>
    </row>
    <row r="1911" ht="13.65" customHeight="1">
      <c r="A1911" s="21">
        <v>123</v>
      </c>
      <c r="B1911" t="s" s="22">
        <v>103</v>
      </c>
      <c r="C1911" s="23">
        <v>40</v>
      </c>
      <c r="D1911" t="s" s="24">
        <v>102</v>
      </c>
      <c r="E1911" s="25">
        <v>3.2</v>
      </c>
      <c r="F1911" s="23">
        <v>20</v>
      </c>
      <c r="G1911" s="152" cm="1">
        <f t="array" ref="G1911">SUM(E1911/F1911)</f>
        <v>0.16</v>
      </c>
      <c r="H1911" s="15"/>
    </row>
    <row r="1912" ht="13.65" customHeight="1">
      <c r="A1912" s="21">
        <v>117</v>
      </c>
      <c r="B1912" t="s" s="22">
        <v>105</v>
      </c>
      <c r="C1912" s="23">
        <v>100</v>
      </c>
      <c r="D1912" t="s" s="24">
        <v>106</v>
      </c>
      <c r="E1912" s="25">
        <v>1.2</v>
      </c>
      <c r="F1912" s="23">
        <v>10</v>
      </c>
      <c r="G1912" s="152" cm="1">
        <f t="array" ref="G1912">SUM(E1912/F1912)</f>
        <v>0.12</v>
      </c>
      <c r="H1912" s="15"/>
    </row>
    <row r="1913" ht="13.65" customHeight="1">
      <c r="A1913" s="21">
        <v>86</v>
      </c>
      <c r="B1913" t="s" s="22">
        <v>107</v>
      </c>
      <c r="C1913" t="s" s="24">
        <v>108</v>
      </c>
      <c r="D1913" t="s" s="24">
        <v>274</v>
      </c>
      <c r="E1913" s="25">
        <v>0.32</v>
      </c>
      <c r="F1913" t="s" s="24">
        <v>301</v>
      </c>
      <c r="G1913" s="152" cm="1">
        <f t="array" ref="G1913">SUM(E1913*4)</f>
        <v>1.28</v>
      </c>
      <c r="H1913" s="15"/>
    </row>
    <row r="1914" ht="13.65" customHeight="1">
      <c r="A1914" s="21">
        <v>71</v>
      </c>
      <c r="B1914" t="s" s="22">
        <v>109</v>
      </c>
      <c r="C1914" s="23">
        <v>10</v>
      </c>
      <c r="D1914" t="s" s="24">
        <v>274</v>
      </c>
      <c r="E1914" s="25">
        <v>5.92</v>
      </c>
      <c r="F1914" s="23">
        <v>2.5</v>
      </c>
      <c r="G1914" s="152" cm="1">
        <f t="array" ref="G1914">SUM(E1914/F1914)</f>
        <v>2.368</v>
      </c>
      <c r="H1914" s="15"/>
    </row>
    <row r="1915" ht="13.65" customHeight="1">
      <c r="A1915" s="21">
        <v>87</v>
      </c>
      <c r="B1915" t="s" s="22">
        <v>110</v>
      </c>
      <c r="C1915" s="23">
        <v>50</v>
      </c>
      <c r="D1915" t="s" s="24">
        <v>274</v>
      </c>
      <c r="E1915" s="25">
        <v>9</v>
      </c>
      <c r="F1915" s="23">
        <v>12.5</v>
      </c>
      <c r="G1915" s="152" cm="1">
        <f t="array" ref="G1915">SUM(E1915/F1915)</f>
        <v>0.72</v>
      </c>
      <c r="H1915" s="15"/>
    </row>
    <row r="1916" ht="13.65" customHeight="1">
      <c r="A1916" s="21">
        <v>55</v>
      </c>
      <c r="B1916" t="s" s="22">
        <v>111</v>
      </c>
      <c r="C1916" t="s" s="24">
        <v>112</v>
      </c>
      <c r="D1916" t="s" s="24">
        <v>461</v>
      </c>
      <c r="E1916" s="25">
        <v>2.71</v>
      </c>
      <c r="F1916" s="23">
        <v>37.5</v>
      </c>
      <c r="G1916" s="152" cm="1">
        <f t="array" ref="G1916">SUM(E1916/F1916)</f>
        <v>0.0722666666666667</v>
      </c>
      <c r="H1916" s="15"/>
    </row>
    <row r="1917" ht="13.65" customHeight="1">
      <c r="A1917" s="21">
        <v>24</v>
      </c>
      <c r="B1917" t="s" s="22">
        <v>502</v>
      </c>
      <c r="C1917" s="23">
        <v>10</v>
      </c>
      <c r="D1917" t="s" s="24">
        <v>104</v>
      </c>
      <c r="E1917" s="25">
        <v>9.6</v>
      </c>
      <c r="F1917" s="23">
        <v>10</v>
      </c>
      <c r="G1917" s="152" cm="1">
        <f t="array" ref="G1917">SUM(E1917/F1917)</f>
        <v>0.96</v>
      </c>
      <c r="H1917" s="15"/>
    </row>
    <row r="1918" ht="13.65" customHeight="1">
      <c r="A1918" s="21">
        <v>10</v>
      </c>
      <c r="B1918" t="s" s="22">
        <v>395</v>
      </c>
      <c r="C1918" t="s" s="24">
        <v>396</v>
      </c>
      <c r="D1918" t="s" s="24">
        <v>397</v>
      </c>
      <c r="E1918" s="25">
        <v>3.92</v>
      </c>
      <c r="F1918" s="23">
        <v>50</v>
      </c>
      <c r="G1918" s="152" cm="1">
        <f t="array" ref="G1918">SUM(E1918/F1918)</f>
        <v>0.0784</v>
      </c>
      <c r="H1918" s="15"/>
    </row>
    <row r="1919" ht="13.65" customHeight="1">
      <c r="A1919" s="21">
        <v>9</v>
      </c>
      <c r="B1919" t="s" s="22">
        <v>398</v>
      </c>
      <c r="C1919" t="s" s="24">
        <v>503</v>
      </c>
      <c r="D1919" t="s" s="24">
        <v>104</v>
      </c>
      <c r="E1919" s="25">
        <v>14</v>
      </c>
      <c r="F1919" s="23">
        <v>50</v>
      </c>
      <c r="G1919" s="152" cm="1">
        <f t="array" ref="G1919">SUM(E1919/F1919)</f>
        <v>0.28</v>
      </c>
      <c r="H1919" s="15"/>
    </row>
    <row r="1920" ht="13.65" customHeight="1">
      <c r="A1920" s="21">
        <v>6</v>
      </c>
      <c r="B1920" t="s" s="22">
        <v>399</v>
      </c>
      <c r="C1920" t="s" s="24">
        <v>436</v>
      </c>
      <c r="D1920" t="s" s="24">
        <v>104</v>
      </c>
      <c r="E1920" s="25">
        <v>19</v>
      </c>
      <c r="F1920" s="23">
        <v>100</v>
      </c>
      <c r="G1920" s="152" cm="1">
        <f t="array" ref="G1920">SUM(E1920/F1920)</f>
        <v>0.19</v>
      </c>
      <c r="H1920" s="15"/>
    </row>
    <row r="1921" ht="13.65" customHeight="1">
      <c r="A1921" s="21">
        <v>11</v>
      </c>
      <c r="B1921" t="s" s="22">
        <v>440</v>
      </c>
      <c r="C1921" t="s" s="24">
        <v>441</v>
      </c>
      <c r="D1921" t="s" s="24">
        <v>442</v>
      </c>
      <c r="E1921" s="25">
        <v>49</v>
      </c>
      <c r="F1921" s="23">
        <v>44</v>
      </c>
      <c r="G1921" s="152" cm="1">
        <f t="array" ref="G1921">SUM(E1921/F1921)</f>
        <v>1.11363636363636</v>
      </c>
      <c r="H1921" s="15"/>
    </row>
    <row r="1922" ht="13.65" customHeight="1">
      <c r="A1922" s="21">
        <v>19</v>
      </c>
      <c r="B1922" t="s" s="22">
        <v>414</v>
      </c>
      <c r="C1922" s="23">
        <v>1</v>
      </c>
      <c r="D1922" t="s" s="24">
        <v>116</v>
      </c>
      <c r="E1922" s="25">
        <v>5.2</v>
      </c>
      <c r="F1922" s="23">
        <v>10</v>
      </c>
      <c r="G1922" s="152" cm="1">
        <f t="array" ref="G1922">SUM(E1922/F1922)</f>
        <v>0.52</v>
      </c>
      <c r="H1922" s="15"/>
    </row>
    <row r="1923" ht="13.65" customHeight="1">
      <c r="A1923" s="21">
        <v>34</v>
      </c>
      <c r="B1923" t="s" s="22">
        <v>456</v>
      </c>
      <c r="C1923" t="s" s="24">
        <v>432</v>
      </c>
      <c r="D1923" t="s" s="24">
        <v>408</v>
      </c>
      <c r="E1923" s="25">
        <v>31</v>
      </c>
      <c r="F1923" s="23">
        <v>14</v>
      </c>
      <c r="G1923" s="152" cm="1">
        <f t="array" ref="G1923">SUM(E1923/F1923)</f>
        <v>2.21428571428571</v>
      </c>
      <c r="H1923" s="15"/>
    </row>
    <row r="1924" ht="13.65" customHeight="1">
      <c r="A1924" s="28"/>
      <c r="B1924" s="28"/>
      <c r="C1924" t="s" s="24">
        <v>390</v>
      </c>
      <c r="D1924" t="s" s="24">
        <v>457</v>
      </c>
      <c r="E1924" s="25">
        <v>14</v>
      </c>
      <c r="F1924" s="23">
        <v>20</v>
      </c>
      <c r="G1924" s="152" cm="1">
        <f t="array" ref="G1924">SUM(E1924/F1924)</f>
        <v>0.7</v>
      </c>
      <c r="H1924" s="15"/>
    </row>
    <row r="1925" ht="13.65" customHeight="1">
      <c r="A1925" s="28"/>
      <c r="B1925" s="28"/>
      <c r="C1925" s="27"/>
      <c r="D1925" s="24"/>
      <c r="E1925" s="27"/>
      <c r="F1925" t="s" s="29">
        <v>118</v>
      </c>
      <c r="G1925" s="197" cm="1">
        <f t="array" ref="G1925">SUM(G1910:G1922)</f>
        <v>8.016703030303031</v>
      </c>
      <c r="H1925" s="15"/>
    </row>
    <row r="1926" ht="13.65" customHeight="1">
      <c r="A1926" s="129"/>
      <c r="B1926" s="129"/>
      <c r="C1926" s="129"/>
      <c r="D1926" s="129"/>
      <c r="E1926" s="129"/>
      <c r="F1926" s="31"/>
      <c r="G1926" s="31"/>
      <c r="H1926" s="3"/>
    </row>
    <row r="1927" ht="11.7" customHeight="1">
      <c r="A1927" t="s" s="167">
        <v>136</v>
      </c>
      <c r="B1927" t="s" s="167">
        <v>281</v>
      </c>
      <c r="C1927" t="s" s="167">
        <v>282</v>
      </c>
      <c r="D1927" t="s" s="168">
        <v>283</v>
      </c>
      <c r="E1927" s="169"/>
      <c r="F1927" s="170"/>
      <c r="G1927" s="171"/>
      <c r="H1927" s="171"/>
    </row>
    <row r="1928" ht="13.65" customHeight="1">
      <c r="A1928" s="23">
        <v>30</v>
      </c>
      <c r="B1928" s="172" cm="1">
        <f t="array" ref="B1928">SUM(H256)</f>
        <v>2.47496540404041</v>
      </c>
      <c r="C1928" s="172" cm="1">
        <f t="array" ref="C1928">SUM(G1925)</f>
        <v>8.016703030303031</v>
      </c>
      <c r="D1928" s="199" cm="1">
        <f t="array" ref="D1928">SUM(A1928*B1928)+(C1928)</f>
        <v>82.26566515151529</v>
      </c>
      <c r="E1928" s="200"/>
      <c r="F1928" s="15"/>
      <c r="G1928" s="3"/>
      <c r="H1928" s="3"/>
    </row>
    <row r="1929" ht="13.65" customHeight="1">
      <c r="A1929" s="31"/>
      <c r="B1929" s="31"/>
      <c r="C1929" s="31"/>
      <c r="D1929" s="31"/>
      <c r="E1929" s="31"/>
      <c r="F1929" s="3"/>
      <c r="G1929" s="3"/>
      <c r="H1929" s="3"/>
    </row>
    <row r="1930" ht="13.65" customHeight="1">
      <c r="A1930" s="203"/>
      <c r="B1930" s="203"/>
      <c r="C1930" s="203"/>
      <c r="D1930" s="203"/>
      <c r="E1930" s="203"/>
      <c r="F1930" s="203"/>
      <c r="G1930" s="203"/>
      <c r="H1930" s="203"/>
    </row>
    <row r="1931" ht="13.65" customHeight="1">
      <c r="A1931" t="s" s="274">
        <v>185</v>
      </c>
      <c r="B1931" s="275"/>
      <c r="C1931" s="275"/>
      <c r="D1931" s="275"/>
      <c r="E1931" s="280"/>
      <c r="F1931" s="275"/>
      <c r="G1931" s="275"/>
      <c r="H1931" s="277"/>
    </row>
    <row r="1932" ht="13.65" customHeight="1">
      <c r="A1932" s="278"/>
      <c r="B1932" s="278"/>
      <c r="C1932" s="278"/>
      <c r="D1932" s="278"/>
      <c r="E1932" s="278"/>
      <c r="F1932" s="278"/>
      <c r="G1932" s="278"/>
      <c r="H1932" s="278"/>
    </row>
    <row r="1933" ht="13.65" customHeight="1">
      <c r="A1933" s="3"/>
      <c r="B1933" s="3"/>
      <c r="C1933" s="3"/>
      <c r="D1933" s="3"/>
      <c r="E1933" s="3"/>
      <c r="F1933" s="3"/>
      <c r="G1933" s="3"/>
      <c r="H1933" s="3"/>
    </row>
    <row r="1934" ht="13.65" customHeight="1">
      <c r="A1934" t="s" s="5">
        <v>616</v>
      </c>
      <c r="B1934" s="3"/>
      <c r="C1934" s="3"/>
      <c r="D1934" s="3"/>
      <c r="E1934" s="3"/>
      <c r="F1934" s="3"/>
      <c r="G1934" s="3"/>
      <c r="H1934" s="3"/>
    </row>
    <row r="1935" ht="13.65" customHeight="1">
      <c r="A1935" t="s" s="5">
        <v>617</v>
      </c>
      <c r="B1935" s="3"/>
      <c r="C1935" s="3"/>
      <c r="D1935" s="3"/>
      <c r="E1935" s="3"/>
      <c r="F1935" s="3"/>
      <c r="G1935" s="3"/>
      <c r="H1935" s="3"/>
    </row>
    <row r="1936" ht="13.65" customHeight="1">
      <c r="A1936" s="11"/>
      <c r="B1936" s="11"/>
      <c r="C1936" s="11"/>
      <c r="D1936" s="11"/>
      <c r="E1936" s="11"/>
      <c r="F1936" s="11"/>
      <c r="G1936" s="11"/>
      <c r="H1936" s="3"/>
    </row>
    <row r="1937" ht="13.65" customHeight="1">
      <c r="A1937" s="12"/>
      <c r="B1937" s="12"/>
      <c r="C1937" s="13"/>
      <c r="D1937" s="14"/>
      <c r="E1937" s="13"/>
      <c r="F1937" s="13"/>
      <c r="G1937" t="s" s="14">
        <v>252</v>
      </c>
      <c r="H1937" s="150"/>
    </row>
    <row r="1938" ht="13.65" customHeight="1">
      <c r="A1938" t="s" s="16">
        <v>93</v>
      </c>
      <c r="B1938" t="s" s="16">
        <v>94</v>
      </c>
      <c r="C1938" t="s" s="16">
        <v>95</v>
      </c>
      <c r="D1938" t="s" s="16">
        <v>96</v>
      </c>
      <c r="E1938" t="s" s="16">
        <v>97</v>
      </c>
      <c r="F1938" t="s" s="16">
        <v>98</v>
      </c>
      <c r="G1938" t="s" s="16">
        <v>99</v>
      </c>
      <c r="H1938" s="15"/>
    </row>
    <row r="1939" ht="13.65" customHeight="1">
      <c r="A1939" s="151"/>
      <c r="B1939" s="151"/>
      <c r="C1939" s="19"/>
      <c r="D1939" s="20"/>
      <c r="E1939" s="19"/>
      <c r="F1939" s="19"/>
      <c r="G1939" t="s" s="20">
        <v>100</v>
      </c>
      <c r="H1939" s="15"/>
    </row>
    <row r="1940" ht="13.65" customHeight="1">
      <c r="A1940" s="21">
        <v>72</v>
      </c>
      <c r="B1940" t="s" s="22">
        <v>101</v>
      </c>
      <c r="C1940" s="23">
        <v>50</v>
      </c>
      <c r="D1940" t="s" s="24">
        <v>274</v>
      </c>
      <c r="E1940" s="25">
        <v>1.93</v>
      </c>
      <c r="F1940" s="23">
        <v>12.5</v>
      </c>
      <c r="G1940" s="152" cm="1">
        <f t="array" ref="G1940">SUM(E1940/F1940)</f>
        <v>0.1544</v>
      </c>
      <c r="H1940" s="15"/>
    </row>
    <row r="1941" ht="13.65" customHeight="1">
      <c r="A1941" s="21">
        <v>123</v>
      </c>
      <c r="B1941" t="s" s="22">
        <v>103</v>
      </c>
      <c r="C1941" s="23">
        <v>40</v>
      </c>
      <c r="D1941" t="s" s="24">
        <v>102</v>
      </c>
      <c r="E1941" s="25">
        <v>3.2</v>
      </c>
      <c r="F1941" s="23">
        <v>20</v>
      </c>
      <c r="G1941" s="152" cm="1">
        <f t="array" ref="G1941">SUM(E1941/F1941)</f>
        <v>0.16</v>
      </c>
      <c r="H1941" s="15"/>
    </row>
    <row r="1942" ht="13.65" customHeight="1">
      <c r="A1942" s="21">
        <v>65</v>
      </c>
      <c r="B1942" t="s" s="22">
        <v>394</v>
      </c>
      <c r="C1942" s="23">
        <v>500</v>
      </c>
      <c r="D1942" t="s" s="24">
        <v>274</v>
      </c>
      <c r="E1942" s="25">
        <v>26</v>
      </c>
      <c r="F1942" s="23">
        <v>125</v>
      </c>
      <c r="G1942" s="152" cm="1">
        <f t="array" ref="G1942">SUM(E1942/F1942)</f>
        <v>0.208</v>
      </c>
      <c r="H1942" s="15"/>
    </row>
    <row r="1943" ht="13.65" customHeight="1">
      <c r="A1943" s="21">
        <v>86</v>
      </c>
      <c r="B1943" t="s" s="22">
        <v>107</v>
      </c>
      <c r="C1943" t="s" s="24">
        <v>108</v>
      </c>
      <c r="D1943" t="s" s="24">
        <v>274</v>
      </c>
      <c r="E1943" s="25">
        <v>0.32</v>
      </c>
      <c r="F1943" t="s" s="24">
        <v>301</v>
      </c>
      <c r="G1943" s="152" cm="1">
        <f t="array" ref="G1943">SUM(E1943*4)</f>
        <v>1.28</v>
      </c>
      <c r="H1943" s="15"/>
    </row>
    <row r="1944" ht="13.65" customHeight="1">
      <c r="A1944" s="21">
        <v>71</v>
      </c>
      <c r="B1944" t="s" s="22">
        <v>109</v>
      </c>
      <c r="C1944" s="23">
        <v>10</v>
      </c>
      <c r="D1944" t="s" s="24">
        <v>274</v>
      </c>
      <c r="E1944" s="25">
        <v>5.92</v>
      </c>
      <c r="F1944" s="23">
        <v>2.5</v>
      </c>
      <c r="G1944" s="152" cm="1">
        <f t="array" ref="G1944">SUM(E1944/F1944)</f>
        <v>2.368</v>
      </c>
      <c r="H1944" s="15"/>
    </row>
    <row r="1945" ht="13.65" customHeight="1">
      <c r="A1945" s="21">
        <v>87</v>
      </c>
      <c r="B1945" t="s" s="22">
        <v>110</v>
      </c>
      <c r="C1945" s="23">
        <v>50</v>
      </c>
      <c r="D1945" t="s" s="24">
        <v>274</v>
      </c>
      <c r="E1945" s="25">
        <v>9</v>
      </c>
      <c r="F1945" s="23">
        <v>12.5</v>
      </c>
      <c r="G1945" s="152" cm="1">
        <f t="array" ref="G1945">SUM(E1945/F1945)</f>
        <v>0.72</v>
      </c>
      <c r="H1945" s="15"/>
    </row>
    <row r="1946" ht="13.65" customHeight="1">
      <c r="A1946" s="21">
        <v>55</v>
      </c>
      <c r="B1946" t="s" s="22">
        <v>111</v>
      </c>
      <c r="C1946" t="s" s="24">
        <v>112</v>
      </c>
      <c r="D1946" t="s" s="24">
        <v>461</v>
      </c>
      <c r="E1946" s="25">
        <v>2.71</v>
      </c>
      <c r="F1946" s="23">
        <v>37.5</v>
      </c>
      <c r="G1946" s="152" cm="1">
        <f t="array" ref="G1946">SUM(E1946/F1946)</f>
        <v>0.0722666666666667</v>
      </c>
      <c r="H1946" s="15"/>
    </row>
    <row r="1947" ht="13.65" customHeight="1">
      <c r="A1947" s="21">
        <v>10</v>
      </c>
      <c r="B1947" t="s" s="22">
        <v>395</v>
      </c>
      <c r="C1947" t="s" s="24">
        <v>396</v>
      </c>
      <c r="D1947" t="s" s="24">
        <v>116</v>
      </c>
      <c r="E1947" s="25">
        <v>3.92</v>
      </c>
      <c r="F1947" s="23">
        <v>30</v>
      </c>
      <c r="G1947" s="152" cm="1">
        <f t="array" ref="G1947">SUM(E1947/F1947)</f>
        <v>0.130666666666667</v>
      </c>
      <c r="H1947" s="15"/>
    </row>
    <row r="1948" ht="13.65" customHeight="1">
      <c r="A1948" s="21">
        <v>9</v>
      </c>
      <c r="B1948" t="s" s="22">
        <v>398</v>
      </c>
      <c r="C1948" s="23">
        <v>50</v>
      </c>
      <c r="D1948" t="s" s="24">
        <v>256</v>
      </c>
      <c r="E1948" s="25">
        <v>14</v>
      </c>
      <c r="F1948" s="23">
        <v>16</v>
      </c>
      <c r="G1948" s="152" cm="1">
        <f t="array" ref="G1948">SUM(E1948/F1948)</f>
        <v>0.875</v>
      </c>
      <c r="H1948" s="15"/>
    </row>
    <row r="1949" ht="13.65" customHeight="1">
      <c r="A1949" s="21">
        <v>6</v>
      </c>
      <c r="B1949" t="s" s="22">
        <v>399</v>
      </c>
      <c r="C1949" s="23">
        <v>100</v>
      </c>
      <c r="D1949" t="s" s="24">
        <v>102</v>
      </c>
      <c r="E1949" s="25">
        <v>19</v>
      </c>
      <c r="F1949" s="23">
        <v>50</v>
      </c>
      <c r="G1949" s="152" cm="1">
        <f t="array" ref="G1949">SUM(E1949/F1949)</f>
        <v>0.38</v>
      </c>
      <c r="H1949" s="15"/>
    </row>
    <row r="1950" ht="13.65" customHeight="1">
      <c r="A1950" s="21">
        <v>79</v>
      </c>
      <c r="B1950" t="s" s="22">
        <v>439</v>
      </c>
      <c r="C1950" s="23">
        <v>20</v>
      </c>
      <c r="D1950" t="s" s="24">
        <v>102</v>
      </c>
      <c r="E1950" s="25">
        <v>25</v>
      </c>
      <c r="F1950" s="23">
        <v>10</v>
      </c>
      <c r="G1950" s="152" cm="1">
        <f t="array" ref="G1950">SUM(E1950/F1950)</f>
        <v>2.5</v>
      </c>
      <c r="H1950" s="15"/>
    </row>
    <row r="1951" ht="13.65" customHeight="1">
      <c r="A1951" s="21">
        <v>85</v>
      </c>
      <c r="B1951" t="s" s="22">
        <v>463</v>
      </c>
      <c r="C1951" t="s" s="24">
        <v>464</v>
      </c>
      <c r="D1951" t="s" s="24">
        <v>389</v>
      </c>
      <c r="E1951" s="25">
        <v>4.82</v>
      </c>
      <c r="F1951" s="23">
        <v>10</v>
      </c>
      <c r="G1951" s="152" cm="1">
        <f t="array" ref="G1951">SUM(E1951/F1951)</f>
        <v>0.482</v>
      </c>
      <c r="H1951" s="15"/>
    </row>
    <row r="1952" ht="13.65" customHeight="1">
      <c r="A1952" s="21">
        <v>97</v>
      </c>
      <c r="B1952" t="s" s="22">
        <v>465</v>
      </c>
      <c r="C1952" s="23">
        <v>120</v>
      </c>
      <c r="D1952" t="s" s="24">
        <v>405</v>
      </c>
      <c r="E1952" s="25">
        <v>10.5</v>
      </c>
      <c r="F1952" s="23">
        <v>20</v>
      </c>
      <c r="G1952" s="152" cm="1">
        <f t="array" ref="G1952">SUM(E1952/F1952)</f>
        <v>0.525</v>
      </c>
      <c r="H1952" s="15"/>
    </row>
    <row r="1953" ht="13.65" customHeight="1">
      <c r="A1953" s="21">
        <v>38</v>
      </c>
      <c r="B1953" t="s" s="22">
        <v>618</v>
      </c>
      <c r="C1953" s="23">
        <v>120</v>
      </c>
      <c r="D1953" t="s" s="24">
        <v>104</v>
      </c>
      <c r="E1953" s="25">
        <v>26</v>
      </c>
      <c r="F1953" s="23">
        <v>120</v>
      </c>
      <c r="G1953" s="152" cm="1">
        <f t="array" ref="G1953">SUM(E1953/F1953)</f>
        <v>0.216666666666667</v>
      </c>
      <c r="H1953" s="15"/>
    </row>
    <row r="1954" ht="13.65" customHeight="1">
      <c r="A1954" s="21">
        <v>39</v>
      </c>
      <c r="B1954" t="s" s="22">
        <v>619</v>
      </c>
      <c r="C1954" s="23">
        <v>150</v>
      </c>
      <c r="D1954" t="s" s="24">
        <v>106</v>
      </c>
      <c r="E1954" s="25">
        <v>26</v>
      </c>
      <c r="F1954" s="23">
        <v>15</v>
      </c>
      <c r="G1954" s="152" cm="1">
        <f t="array" ref="G1954">SUM(E1954/F1954)</f>
        <v>1.73333333333333</v>
      </c>
      <c r="H1954" s="15"/>
    </row>
    <row r="1955" ht="13.65" customHeight="1">
      <c r="A1955" s="21">
        <v>33</v>
      </c>
      <c r="B1955" t="s" s="22">
        <v>620</v>
      </c>
      <c r="C1955" t="s" s="24">
        <v>396</v>
      </c>
      <c r="D1955" t="s" s="24">
        <v>424</v>
      </c>
      <c r="E1955" s="25">
        <v>26</v>
      </c>
      <c r="F1955" s="23">
        <v>20</v>
      </c>
      <c r="G1955" s="152" cm="1">
        <f t="array" ref="G1955">SUM(E1955/F1955)</f>
        <v>1.3</v>
      </c>
      <c r="H1955" s="15"/>
    </row>
    <row r="1956" ht="13.65" customHeight="1">
      <c r="A1956" s="21">
        <v>34</v>
      </c>
      <c r="B1956" t="s" s="22">
        <v>456</v>
      </c>
      <c r="C1956" t="s" s="24">
        <v>455</v>
      </c>
      <c r="D1956" t="s" s="24">
        <v>424</v>
      </c>
      <c r="E1956" s="25">
        <v>63</v>
      </c>
      <c r="F1956" s="23">
        <v>50</v>
      </c>
      <c r="G1956" s="152" cm="1">
        <f t="array" ref="G1956">SUM(E1956/F1956)</f>
        <v>1.26</v>
      </c>
      <c r="H1956" s="15"/>
    </row>
    <row r="1957" ht="13.65" customHeight="1">
      <c r="A1957" s="21">
        <v>73</v>
      </c>
      <c r="B1957" t="s" s="22">
        <v>621</v>
      </c>
      <c r="C1957" t="s" s="24">
        <v>432</v>
      </c>
      <c r="D1957" t="s" s="24">
        <v>424</v>
      </c>
      <c r="E1957" s="25">
        <v>13.5</v>
      </c>
      <c r="F1957" s="23">
        <v>28</v>
      </c>
      <c r="G1957" s="152" cm="1">
        <f t="array" ref="G1957">SUM(E1957/F1957)</f>
        <v>0.482142857142857</v>
      </c>
      <c r="H1957" s="15"/>
    </row>
    <row r="1958" ht="13.65" customHeight="1">
      <c r="A1958" s="21">
        <v>119</v>
      </c>
      <c r="B1958" t="s" s="22">
        <v>467</v>
      </c>
      <c r="C1958" s="23">
        <v>1</v>
      </c>
      <c r="D1958" t="s" s="24">
        <v>468</v>
      </c>
      <c r="E1958" s="25">
        <v>0.45</v>
      </c>
      <c r="F1958" s="23">
        <v>1</v>
      </c>
      <c r="G1958" s="152" cm="1">
        <f t="array" ref="G1958">SUM(E1958/F1958)</f>
        <v>0.45</v>
      </c>
      <c r="H1958" s="15"/>
    </row>
    <row r="1959" ht="13.65" customHeight="1">
      <c r="A1959" s="21">
        <v>82</v>
      </c>
      <c r="B1959" t="s" s="22">
        <v>622</v>
      </c>
      <c r="C1959" s="23">
        <v>6</v>
      </c>
      <c r="D1959" t="s" s="24">
        <v>102</v>
      </c>
      <c r="E1959" s="25">
        <v>41</v>
      </c>
      <c r="F1959" s="23">
        <v>3</v>
      </c>
      <c r="G1959" s="152" cm="1">
        <f t="array" ref="G1959">SUM(E1959/F1959)</f>
        <v>13.6666666666667</v>
      </c>
      <c r="H1959" s="15"/>
    </row>
    <row r="1960" ht="13.65" customHeight="1">
      <c r="A1960" s="21">
        <v>19</v>
      </c>
      <c r="B1960" t="s" s="22">
        <v>414</v>
      </c>
      <c r="C1960" s="23">
        <v>1</v>
      </c>
      <c r="D1960" t="s" s="24">
        <v>116</v>
      </c>
      <c r="E1960" s="25">
        <v>5.2</v>
      </c>
      <c r="F1960" s="23">
        <v>10</v>
      </c>
      <c r="G1960" s="152" cm="1">
        <f t="array" ref="G1960">SUM(E1960/F1960)</f>
        <v>0.52</v>
      </c>
      <c r="H1960" s="15"/>
    </row>
    <row r="1961" ht="13.65" customHeight="1">
      <c r="A1961" s="21">
        <v>74</v>
      </c>
      <c r="B1961" t="s" s="22">
        <v>623</v>
      </c>
      <c r="C1961" t="s" s="24">
        <v>426</v>
      </c>
      <c r="D1961" t="s" s="24">
        <v>624</v>
      </c>
      <c r="E1961" s="25">
        <v>4.5</v>
      </c>
      <c r="F1961" s="23">
        <v>20</v>
      </c>
      <c r="G1961" s="152" cm="1">
        <f t="array" ref="G1961">SUM(E1961/F1961)</f>
        <v>0.225</v>
      </c>
      <c r="H1961" s="15"/>
    </row>
    <row r="1962" ht="13.65" customHeight="1">
      <c r="A1962" s="21">
        <v>45</v>
      </c>
      <c r="B1962" t="s" s="22">
        <v>625</v>
      </c>
      <c r="C1962" s="23">
        <v>100</v>
      </c>
      <c r="D1962" t="s" s="24">
        <v>106</v>
      </c>
      <c r="E1962" s="25">
        <v>18</v>
      </c>
      <c r="F1962" s="23">
        <v>10</v>
      </c>
      <c r="G1962" s="152" cm="1">
        <f t="array" ref="G1962">SUM(E1962/F1962)</f>
        <v>1.8</v>
      </c>
      <c r="H1962" s="15"/>
    </row>
    <row r="1963" ht="13.65" customHeight="1">
      <c r="A1963" s="21">
        <v>112</v>
      </c>
      <c r="B1963" t="s" s="22">
        <v>626</v>
      </c>
      <c r="C1963" t="s" s="24">
        <v>384</v>
      </c>
      <c r="D1963" t="s" s="24">
        <v>627</v>
      </c>
      <c r="E1963" s="25">
        <v>7</v>
      </c>
      <c r="F1963" s="23">
        <v>20</v>
      </c>
      <c r="G1963" s="152" cm="1">
        <f t="array" ref="G1963">SUM(E1963/F1963)</f>
        <v>0.35</v>
      </c>
      <c r="H1963" s="15"/>
    </row>
    <row r="1964" ht="13.65" customHeight="1">
      <c r="A1964" s="21">
        <v>20</v>
      </c>
      <c r="B1964" t="s" s="22">
        <v>628</v>
      </c>
      <c r="C1964" s="23">
        <v>1</v>
      </c>
      <c r="D1964" t="s" s="24">
        <v>629</v>
      </c>
      <c r="E1964" s="25">
        <v>7.5</v>
      </c>
      <c r="F1964" s="23">
        <v>3</v>
      </c>
      <c r="G1964" s="152" cm="1">
        <f t="array" ref="G1964">SUM(E1964/F1964)</f>
        <v>2.5</v>
      </c>
      <c r="H1964" s="15"/>
    </row>
    <row r="1965" ht="13.65" customHeight="1">
      <c r="A1965" s="21">
        <v>54</v>
      </c>
      <c r="B1965" t="s" s="22">
        <v>630</v>
      </c>
      <c r="C1965" s="23">
        <v>150</v>
      </c>
      <c r="D1965" t="s" s="24">
        <v>274</v>
      </c>
      <c r="E1965" s="25">
        <v>118</v>
      </c>
      <c r="F1965" s="23">
        <v>37</v>
      </c>
      <c r="G1965" s="152" cm="1">
        <f t="array" ref="G1965">SUM(E1965/F1965)</f>
        <v>3.18918918918919</v>
      </c>
      <c r="H1965" s="15"/>
    </row>
    <row r="1966" ht="13.65" customHeight="1">
      <c r="A1966" s="21">
        <v>115</v>
      </c>
      <c r="B1966" t="s" s="22">
        <v>631</v>
      </c>
      <c r="C1966" t="s" s="24">
        <v>632</v>
      </c>
      <c r="D1966" t="s" s="24">
        <v>633</v>
      </c>
      <c r="E1966" s="25">
        <v>4.5</v>
      </c>
      <c r="F1966" s="23">
        <v>16</v>
      </c>
      <c r="G1966" s="152" cm="1">
        <f t="array" ref="G1966">SUM(E1966/F1966)</f>
        <v>0.28125</v>
      </c>
      <c r="H1966" s="15"/>
    </row>
    <row r="1967" ht="13.65" customHeight="1">
      <c r="A1967" s="21">
        <v>60</v>
      </c>
      <c r="B1967" t="s" s="22">
        <v>634</v>
      </c>
      <c r="C1967" t="s" s="24">
        <v>632</v>
      </c>
      <c r="D1967" t="s" s="24">
        <v>633</v>
      </c>
      <c r="E1967" s="25">
        <v>4.5</v>
      </c>
      <c r="F1967" s="23">
        <v>16</v>
      </c>
      <c r="G1967" s="152" cm="1">
        <f t="array" ref="G1967">SUM(E1967/F1967)</f>
        <v>0.28125</v>
      </c>
      <c r="H1967" s="15"/>
    </row>
    <row r="1968" ht="13.65" customHeight="1">
      <c r="A1968" s="21">
        <v>14</v>
      </c>
      <c r="B1968" t="s" s="22">
        <v>635</v>
      </c>
      <c r="C1968" s="23">
        <v>6</v>
      </c>
      <c r="D1968" t="s" s="24">
        <v>279</v>
      </c>
      <c r="E1968" s="25">
        <v>14</v>
      </c>
      <c r="F1968" s="23">
        <v>6</v>
      </c>
      <c r="G1968" s="152" cm="1">
        <f t="array" ref="G1968">SUM(E1968/F1968)</f>
        <v>2.33333333333333</v>
      </c>
      <c r="H1968" s="15"/>
    </row>
    <row r="1969" ht="13.65" customHeight="1">
      <c r="A1969" s="21">
        <v>15</v>
      </c>
      <c r="B1969" t="s" s="22">
        <v>636</v>
      </c>
      <c r="C1969" s="23">
        <v>4</v>
      </c>
      <c r="D1969" t="s" s="24">
        <v>637</v>
      </c>
      <c r="E1969" s="25">
        <v>29.5</v>
      </c>
      <c r="F1969" s="23">
        <v>48</v>
      </c>
      <c r="G1969" s="152" cm="1">
        <f t="array" ref="G1969">SUM(E1969/F1969)</f>
        <v>0.614583333333333</v>
      </c>
      <c r="H1969" s="15"/>
    </row>
    <row r="1970" ht="13.65" customHeight="1">
      <c r="A1970" s="21">
        <v>21</v>
      </c>
      <c r="B1970" t="s" s="22">
        <v>638</v>
      </c>
      <c r="C1970" s="23">
        <v>4</v>
      </c>
      <c r="D1970" t="s" s="24">
        <v>637</v>
      </c>
      <c r="E1970" s="25">
        <v>46</v>
      </c>
      <c r="F1970" s="23">
        <v>16</v>
      </c>
      <c r="G1970" s="152" cm="1">
        <f t="array" ref="G1970">SUM(E1970/F1970)</f>
        <v>2.875</v>
      </c>
      <c r="H1970" s="15"/>
    </row>
    <row r="1971" ht="13.65" customHeight="1">
      <c r="A1971" s="21">
        <v>135</v>
      </c>
      <c r="B1971" t="s" s="22">
        <v>639</v>
      </c>
      <c r="C1971" s="23">
        <v>1</v>
      </c>
      <c r="D1971" t="s" s="24">
        <v>640</v>
      </c>
      <c r="E1971" s="25">
        <v>13.05</v>
      </c>
      <c r="F1971" s="23">
        <v>5</v>
      </c>
      <c r="G1971" s="152" cm="1">
        <f t="array" ref="G1971">SUM(E1971/F1971)</f>
        <v>2.61</v>
      </c>
      <c r="H1971" s="15"/>
    </row>
    <row r="1972" ht="13.65" customHeight="1">
      <c r="A1972" s="28"/>
      <c r="B1972" s="28"/>
      <c r="C1972" s="27"/>
      <c r="D1972" s="24"/>
      <c r="E1972" s="27"/>
      <c r="F1972" t="s" s="29">
        <v>118</v>
      </c>
      <c r="G1972" s="197" cm="1">
        <f t="array" ref="G1972">SUM(G1940:G1971)</f>
        <v>46.5437487129987</v>
      </c>
      <c r="H1972" s="15"/>
    </row>
    <row r="1973" ht="13.65" customHeight="1">
      <c r="A1973" s="129"/>
      <c r="B1973" s="129"/>
      <c r="C1973" s="129"/>
      <c r="D1973" s="129"/>
      <c r="E1973" s="129"/>
      <c r="F1973" s="31"/>
      <c r="G1973" s="31"/>
      <c r="H1973" s="293"/>
    </row>
    <row r="1974" ht="11.7" customHeight="1">
      <c r="A1974" t="s" s="167">
        <v>136</v>
      </c>
      <c r="B1974" t="s" s="167">
        <v>281</v>
      </c>
      <c r="C1974" t="s" s="167">
        <v>282</v>
      </c>
      <c r="D1974" t="s" s="168">
        <v>283</v>
      </c>
      <c r="E1974" s="169"/>
      <c r="F1974" s="170"/>
      <c r="G1974" s="171"/>
      <c r="H1974" s="171"/>
    </row>
    <row r="1975" ht="13.65" customHeight="1">
      <c r="A1975" s="23">
        <v>120</v>
      </c>
      <c r="B1975" s="172" cm="1">
        <f t="array" ref="B1975">SUM(H256)</f>
        <v>2.47496540404041</v>
      </c>
      <c r="C1975" s="172" cm="1">
        <f t="array" ref="C1975">SUM(G1972)</f>
        <v>46.5437487129987</v>
      </c>
      <c r="D1975" s="199" cm="1">
        <f t="array" ref="D1975">SUM(A1975*B1975)+(C1975)</f>
        <v>343.539597197848</v>
      </c>
      <c r="E1975" s="200"/>
      <c r="F1975" s="15"/>
      <c r="G1975" s="3"/>
      <c r="H1975" s="3"/>
    </row>
    <row r="1976" ht="13.65" customHeight="1">
      <c r="A1976" s="31"/>
      <c r="B1976" s="31"/>
      <c r="C1976" s="31"/>
      <c r="D1976" s="31"/>
      <c r="E1976" s="31"/>
      <c r="F1976" s="3"/>
      <c r="G1976" s="3"/>
      <c r="H1976" s="3"/>
    </row>
    <row r="1977" ht="13.65" customHeight="1">
      <c r="A1977" s="203"/>
      <c r="B1977" s="203"/>
      <c r="C1977" s="203"/>
      <c r="D1977" s="203"/>
      <c r="E1977" s="203"/>
      <c r="F1977" s="203"/>
      <c r="G1977" s="203"/>
      <c r="H1977" s="203"/>
    </row>
    <row r="1978" ht="13.65" customHeight="1">
      <c r="A1978" t="s" s="274">
        <v>185</v>
      </c>
      <c r="B1978" s="275"/>
      <c r="C1978" s="275"/>
      <c r="D1978" s="275"/>
      <c r="E1978" s="280"/>
      <c r="F1978" s="275"/>
      <c r="G1978" s="275"/>
      <c r="H1978" s="277"/>
    </row>
    <row r="1979" ht="13.65" customHeight="1">
      <c r="A1979" s="278"/>
      <c r="B1979" s="278"/>
      <c r="C1979" s="278"/>
      <c r="D1979" s="278"/>
      <c r="E1979" s="278"/>
      <c r="F1979" s="278"/>
      <c r="G1979" s="278"/>
      <c r="H1979" s="278"/>
    </row>
    <row r="1980" ht="13.65" customHeight="1">
      <c r="A1980" s="3"/>
      <c r="B1980" s="3"/>
      <c r="C1980" s="3"/>
      <c r="D1980" s="3"/>
      <c r="E1980" s="3"/>
      <c r="F1980" s="3"/>
      <c r="G1980" s="3"/>
      <c r="H1980" s="3"/>
    </row>
    <row r="1981" ht="13.65" customHeight="1">
      <c r="A1981" t="s" s="5">
        <v>641</v>
      </c>
      <c r="B1981" s="3"/>
      <c r="C1981" s="3"/>
      <c r="D1981" s="3"/>
      <c r="E1981" s="3"/>
      <c r="F1981" s="3"/>
      <c r="G1981" s="3"/>
      <c r="H1981" s="3"/>
    </row>
    <row r="1982" ht="13.65" customHeight="1">
      <c r="A1982" s="11"/>
      <c r="B1982" s="11"/>
      <c r="C1982" s="11"/>
      <c r="D1982" s="11"/>
      <c r="E1982" s="11"/>
      <c r="F1982" s="11"/>
      <c r="G1982" s="11"/>
      <c r="H1982" s="3"/>
    </row>
    <row r="1983" ht="13.65" customHeight="1">
      <c r="A1983" s="12"/>
      <c r="B1983" s="12"/>
      <c r="C1983" s="13"/>
      <c r="D1983" s="14"/>
      <c r="E1983" s="13"/>
      <c r="F1983" s="13"/>
      <c r="G1983" t="s" s="14">
        <v>252</v>
      </c>
      <c r="H1983" s="150"/>
    </row>
    <row r="1984" ht="13.65" customHeight="1">
      <c r="A1984" t="s" s="16">
        <v>93</v>
      </c>
      <c r="B1984" t="s" s="16">
        <v>94</v>
      </c>
      <c r="C1984" t="s" s="16">
        <v>95</v>
      </c>
      <c r="D1984" t="s" s="16">
        <v>96</v>
      </c>
      <c r="E1984" t="s" s="16">
        <v>97</v>
      </c>
      <c r="F1984" t="s" s="16">
        <v>98</v>
      </c>
      <c r="G1984" t="s" s="16">
        <v>99</v>
      </c>
      <c r="H1984" s="15"/>
    </row>
    <row r="1985" ht="13.65" customHeight="1">
      <c r="A1985" s="151"/>
      <c r="B1985" s="151"/>
      <c r="C1985" s="19"/>
      <c r="D1985" s="20"/>
      <c r="E1985" s="19"/>
      <c r="F1985" s="19"/>
      <c r="G1985" t="s" s="20">
        <v>100</v>
      </c>
      <c r="H1985" s="15"/>
    </row>
    <row r="1986" ht="13.65" customHeight="1">
      <c r="A1986" s="21">
        <v>72</v>
      </c>
      <c r="B1986" t="s" s="22">
        <v>101</v>
      </c>
      <c r="C1986" s="23">
        <v>50</v>
      </c>
      <c r="D1986" t="s" s="24">
        <v>274</v>
      </c>
      <c r="E1986" s="25">
        <v>1.93</v>
      </c>
      <c r="F1986" s="23">
        <v>12.5</v>
      </c>
      <c r="G1986" s="152" cm="1">
        <f t="array" ref="G1986">SUM(E1986/F1986)</f>
        <v>0.1544</v>
      </c>
      <c r="H1986" s="15"/>
    </row>
    <row r="1987" ht="13.65" customHeight="1">
      <c r="A1987" s="21">
        <v>123</v>
      </c>
      <c r="B1987" t="s" s="22">
        <v>103</v>
      </c>
      <c r="C1987" s="23">
        <v>40</v>
      </c>
      <c r="D1987" t="s" s="24">
        <v>102</v>
      </c>
      <c r="E1987" s="25">
        <v>3.2</v>
      </c>
      <c r="F1987" s="23">
        <v>20</v>
      </c>
      <c r="G1987" s="152" cm="1">
        <f t="array" ref="G1987">SUM(E1987/F1987)</f>
        <v>0.16</v>
      </c>
      <c r="H1987" s="15"/>
    </row>
    <row r="1988" ht="13.65" customHeight="1">
      <c r="A1988" s="21">
        <v>65</v>
      </c>
      <c r="B1988" t="s" s="22">
        <v>394</v>
      </c>
      <c r="C1988" s="23">
        <v>500</v>
      </c>
      <c r="D1988" t="s" s="24">
        <v>274</v>
      </c>
      <c r="E1988" s="25">
        <v>26</v>
      </c>
      <c r="F1988" s="23">
        <v>125</v>
      </c>
      <c r="G1988" s="152" cm="1">
        <f t="array" ref="G1988">SUM(E1988/F1988)</f>
        <v>0.208</v>
      </c>
      <c r="H1988" s="15"/>
    </row>
    <row r="1989" ht="13.65" customHeight="1">
      <c r="A1989" s="21">
        <v>86</v>
      </c>
      <c r="B1989" t="s" s="22">
        <v>107</v>
      </c>
      <c r="C1989" t="s" s="24">
        <v>108</v>
      </c>
      <c r="D1989" t="s" s="24">
        <v>274</v>
      </c>
      <c r="E1989" s="25">
        <v>0.32</v>
      </c>
      <c r="F1989" t="s" s="24">
        <v>301</v>
      </c>
      <c r="G1989" s="152" cm="1">
        <f t="array" ref="G1989">SUM(E1989*4)</f>
        <v>1.28</v>
      </c>
      <c r="H1989" s="15"/>
    </row>
    <row r="1990" ht="13.65" customHeight="1">
      <c r="A1990" s="21">
        <v>71</v>
      </c>
      <c r="B1990" t="s" s="22">
        <v>109</v>
      </c>
      <c r="C1990" s="23">
        <v>10</v>
      </c>
      <c r="D1990" t="s" s="24">
        <v>274</v>
      </c>
      <c r="E1990" s="25">
        <v>5.92</v>
      </c>
      <c r="F1990" s="23">
        <v>2.5</v>
      </c>
      <c r="G1990" s="152" cm="1">
        <f t="array" ref="G1990">SUM(E1990/F1990)</f>
        <v>2.368</v>
      </c>
      <c r="H1990" s="15"/>
    </row>
    <row r="1991" ht="13.65" customHeight="1">
      <c r="A1991" s="21">
        <v>87</v>
      </c>
      <c r="B1991" t="s" s="22">
        <v>110</v>
      </c>
      <c r="C1991" s="23">
        <v>50</v>
      </c>
      <c r="D1991" t="s" s="24">
        <v>274</v>
      </c>
      <c r="E1991" s="25">
        <v>9</v>
      </c>
      <c r="F1991" s="23">
        <v>12.5</v>
      </c>
      <c r="G1991" s="152" cm="1">
        <f t="array" ref="G1991">SUM(E1991/F1991)</f>
        <v>0.72</v>
      </c>
      <c r="H1991" s="15"/>
    </row>
    <row r="1992" ht="13.65" customHeight="1">
      <c r="A1992" s="21">
        <v>55</v>
      </c>
      <c r="B1992" t="s" s="22">
        <v>111</v>
      </c>
      <c r="C1992" t="s" s="24">
        <v>112</v>
      </c>
      <c r="D1992" t="s" s="24">
        <v>642</v>
      </c>
      <c r="E1992" s="25">
        <v>2.71</v>
      </c>
      <c r="F1992" s="23">
        <v>137.5</v>
      </c>
      <c r="G1992" s="152" cm="1">
        <f t="array" ref="G1992">SUM(E1992/F1992)</f>
        <v>0.0197090909090909</v>
      </c>
      <c r="H1992" s="15"/>
    </row>
    <row r="1993" ht="13.65" customHeight="1">
      <c r="A1993" s="21">
        <v>10</v>
      </c>
      <c r="B1993" t="s" s="22">
        <v>395</v>
      </c>
      <c r="C1993" t="s" s="24">
        <v>396</v>
      </c>
      <c r="D1993" t="s" s="24">
        <v>401</v>
      </c>
      <c r="E1993" s="25">
        <v>3.92</v>
      </c>
      <c r="F1993" s="23">
        <v>30</v>
      </c>
      <c r="G1993" s="152" cm="1">
        <f t="array" ref="G1993">SUM(E1993/F1993)</f>
        <v>0.130666666666667</v>
      </c>
      <c r="H1993" s="15"/>
    </row>
    <row r="1994" ht="13.65" customHeight="1">
      <c r="A1994" s="21">
        <v>9</v>
      </c>
      <c r="B1994" t="s" s="22">
        <v>398</v>
      </c>
      <c r="C1994" s="23">
        <v>50</v>
      </c>
      <c r="D1994" t="s" s="24">
        <v>274</v>
      </c>
      <c r="E1994" s="25">
        <v>14</v>
      </c>
      <c r="F1994" s="23">
        <v>12.5</v>
      </c>
      <c r="G1994" s="152" cm="1">
        <f t="array" ref="G1994">SUM(E1994/F1994)</f>
        <v>1.12</v>
      </c>
      <c r="H1994" s="15"/>
    </row>
    <row r="1995" ht="13.65" customHeight="1">
      <c r="A1995" s="21">
        <v>6</v>
      </c>
      <c r="B1995" t="s" s="22">
        <v>399</v>
      </c>
      <c r="C1995" s="23">
        <v>100</v>
      </c>
      <c r="D1995" t="s" s="24">
        <v>102</v>
      </c>
      <c r="E1995" s="25">
        <v>19</v>
      </c>
      <c r="F1995" s="23">
        <v>50</v>
      </c>
      <c r="G1995" s="152" cm="1">
        <f t="array" ref="G1995">SUM(E1995/F1995)</f>
        <v>0.38</v>
      </c>
      <c r="H1995" s="15"/>
    </row>
    <row r="1996" ht="13.65" customHeight="1">
      <c r="A1996" s="21">
        <v>79</v>
      </c>
      <c r="B1996" t="s" s="22">
        <v>439</v>
      </c>
      <c r="C1996" s="23">
        <v>20</v>
      </c>
      <c r="D1996" t="s" s="24">
        <v>102</v>
      </c>
      <c r="E1996" s="25">
        <v>25</v>
      </c>
      <c r="F1996" s="23">
        <v>10</v>
      </c>
      <c r="G1996" s="152" cm="1">
        <f t="array" ref="G1996">SUM(E1996/F1996)</f>
        <v>2.5</v>
      </c>
      <c r="H1996" s="15"/>
    </row>
    <row r="1997" ht="13.65" customHeight="1">
      <c r="A1997" s="21">
        <v>85</v>
      </c>
      <c r="B1997" t="s" s="22">
        <v>463</v>
      </c>
      <c r="C1997" t="s" s="24">
        <v>464</v>
      </c>
      <c r="D1997" t="s" s="24">
        <v>643</v>
      </c>
      <c r="E1997" s="25">
        <v>4.82</v>
      </c>
      <c r="F1997" s="23">
        <v>6</v>
      </c>
      <c r="G1997" s="152" cm="1">
        <f t="array" ref="G1997">SUM(E1997/F1997)</f>
        <v>0.803333333333333</v>
      </c>
      <c r="H1997" s="15"/>
    </row>
    <row r="1998" ht="13.65" customHeight="1">
      <c r="A1998" s="21">
        <v>97</v>
      </c>
      <c r="B1998" t="s" s="22">
        <v>465</v>
      </c>
      <c r="C1998" s="23">
        <v>120</v>
      </c>
      <c r="D1998" t="s" s="24">
        <v>261</v>
      </c>
      <c r="E1998" s="25">
        <v>10.5</v>
      </c>
      <c r="F1998" s="23">
        <v>6</v>
      </c>
      <c r="G1998" s="152" cm="1">
        <f t="array" ref="G1998">SUM(E1998/F1998)</f>
        <v>1.75</v>
      </c>
      <c r="H1998" s="15"/>
    </row>
    <row r="1999" ht="13.65" customHeight="1">
      <c r="A1999" s="21">
        <v>38</v>
      </c>
      <c r="B1999" t="s" s="22">
        <v>618</v>
      </c>
      <c r="C1999" s="23">
        <v>120</v>
      </c>
      <c r="D1999" t="s" s="24">
        <v>102</v>
      </c>
      <c r="E1999" s="25">
        <v>26</v>
      </c>
      <c r="F1999" s="23">
        <v>60</v>
      </c>
      <c r="G1999" s="152" cm="1">
        <f t="array" ref="G1999">SUM(E1999/F1999)</f>
        <v>0.433333333333333</v>
      </c>
      <c r="H1999" s="15"/>
    </row>
    <row r="2000" ht="13.65" customHeight="1">
      <c r="A2000" s="21">
        <v>39</v>
      </c>
      <c r="B2000" t="s" s="22">
        <v>619</v>
      </c>
      <c r="C2000" s="23">
        <v>150</v>
      </c>
      <c r="D2000" t="s" s="24">
        <v>644</v>
      </c>
      <c r="E2000" s="25">
        <v>26</v>
      </c>
      <c r="F2000" s="23">
        <v>15</v>
      </c>
      <c r="G2000" s="152" cm="1">
        <f t="array" ref="G2000">SUM(E2000/F2000)</f>
        <v>1.73333333333333</v>
      </c>
      <c r="H2000" s="15"/>
    </row>
    <row r="2001" ht="13.65" customHeight="1">
      <c r="A2001" s="21">
        <v>33</v>
      </c>
      <c r="B2001" t="s" s="22">
        <v>620</v>
      </c>
      <c r="C2001" t="s" s="24">
        <v>396</v>
      </c>
      <c r="D2001" t="s" s="24">
        <v>424</v>
      </c>
      <c r="E2001" s="25">
        <v>26</v>
      </c>
      <c r="F2001" s="23">
        <v>10</v>
      </c>
      <c r="G2001" s="152" cm="1">
        <f t="array" ref="G2001">SUM(E2001/F2001)</f>
        <v>2.6</v>
      </c>
      <c r="H2001" s="15"/>
    </row>
    <row r="2002" ht="13.65" customHeight="1">
      <c r="A2002" s="21">
        <v>34</v>
      </c>
      <c r="B2002" t="s" s="22">
        <v>456</v>
      </c>
      <c r="C2002" t="s" s="24">
        <v>455</v>
      </c>
      <c r="D2002" t="s" s="24">
        <v>424</v>
      </c>
      <c r="E2002" s="25">
        <v>63</v>
      </c>
      <c r="F2002" s="23">
        <v>50</v>
      </c>
      <c r="G2002" s="152" cm="1">
        <f t="array" ref="G2002">SUM(E2002/F2002)</f>
        <v>1.26</v>
      </c>
      <c r="H2002" s="15"/>
    </row>
    <row r="2003" ht="13.65" customHeight="1">
      <c r="A2003" s="21">
        <v>73</v>
      </c>
      <c r="B2003" t="s" s="22">
        <v>621</v>
      </c>
      <c r="C2003" t="s" s="24">
        <v>432</v>
      </c>
      <c r="D2003" t="s" s="24">
        <v>408</v>
      </c>
      <c r="E2003" s="25">
        <v>13.5</v>
      </c>
      <c r="F2003" s="23">
        <v>14</v>
      </c>
      <c r="G2003" s="152" cm="1">
        <f t="array" ref="G2003">SUM(E2003/F2003)</f>
        <v>0.964285714285714</v>
      </c>
      <c r="H2003" s="15"/>
    </row>
    <row r="2004" ht="13.65" customHeight="1">
      <c r="A2004" s="21">
        <v>119</v>
      </c>
      <c r="B2004" t="s" s="22">
        <v>467</v>
      </c>
      <c r="C2004" s="23">
        <v>1</v>
      </c>
      <c r="D2004" t="s" s="24">
        <v>468</v>
      </c>
      <c r="E2004" s="25">
        <v>0.45</v>
      </c>
      <c r="F2004" s="23">
        <v>1</v>
      </c>
      <c r="G2004" s="152" cm="1">
        <f t="array" ref="G2004">SUM(E2004/F2004)</f>
        <v>0.45</v>
      </c>
      <c r="H2004" s="15"/>
    </row>
    <row r="2005" ht="13.65" customHeight="1">
      <c r="A2005" s="21">
        <v>82</v>
      </c>
      <c r="B2005" t="s" s="22">
        <v>622</v>
      </c>
      <c r="C2005" s="23">
        <v>6</v>
      </c>
      <c r="D2005" t="s" s="24">
        <v>256</v>
      </c>
      <c r="E2005" s="25">
        <v>41</v>
      </c>
      <c r="F2005" s="23">
        <v>2</v>
      </c>
      <c r="G2005" s="152" cm="1">
        <f t="array" ref="G2005">SUM(E2005/F2005)</f>
        <v>20.5</v>
      </c>
      <c r="H2005" s="15"/>
    </row>
    <row r="2006" ht="13.65" customHeight="1">
      <c r="A2006" s="21">
        <v>19</v>
      </c>
      <c r="B2006" t="s" s="22">
        <v>414</v>
      </c>
      <c r="C2006" s="23">
        <v>1</v>
      </c>
      <c r="D2006" t="s" s="24">
        <v>116</v>
      </c>
      <c r="E2006" s="25">
        <v>5.2</v>
      </c>
      <c r="F2006" s="23">
        <v>10</v>
      </c>
      <c r="G2006" s="152" cm="1">
        <f t="array" ref="G2006">SUM(E2006/F2006)</f>
        <v>0.52</v>
      </c>
      <c r="H2006" s="15"/>
    </row>
    <row r="2007" ht="13.65" customHeight="1">
      <c r="A2007" s="21">
        <v>74</v>
      </c>
      <c r="B2007" t="s" s="22">
        <v>645</v>
      </c>
      <c r="C2007" t="s" s="24">
        <v>426</v>
      </c>
      <c r="D2007" t="s" s="24">
        <v>624</v>
      </c>
      <c r="E2007" s="25">
        <v>4.5</v>
      </c>
      <c r="F2007" s="23">
        <v>20</v>
      </c>
      <c r="G2007" s="152" cm="1">
        <f t="array" ref="G2007">SUM(E2007/F2007)</f>
        <v>0.225</v>
      </c>
      <c r="H2007" s="15"/>
    </row>
    <row r="2008" ht="13.65" customHeight="1">
      <c r="A2008" s="21">
        <v>45</v>
      </c>
      <c r="B2008" t="s" s="22">
        <v>625</v>
      </c>
      <c r="C2008" s="23">
        <v>100</v>
      </c>
      <c r="D2008" t="s" s="24">
        <v>106</v>
      </c>
      <c r="E2008" s="25">
        <v>18</v>
      </c>
      <c r="F2008" s="23">
        <v>10</v>
      </c>
      <c r="G2008" s="152" cm="1">
        <f t="array" ref="G2008">SUM(E2008/F2008)</f>
        <v>1.8</v>
      </c>
      <c r="H2008" s="15"/>
    </row>
    <row r="2009" ht="13.65" customHeight="1">
      <c r="A2009" s="21">
        <v>112</v>
      </c>
      <c r="B2009" t="s" s="22">
        <v>626</v>
      </c>
      <c r="C2009" t="s" s="24">
        <v>384</v>
      </c>
      <c r="D2009" t="s" s="24">
        <v>385</v>
      </c>
      <c r="E2009" s="25">
        <v>7</v>
      </c>
      <c r="F2009" s="23">
        <v>10</v>
      </c>
      <c r="G2009" s="152" cm="1">
        <f t="array" ref="G2009">SUM(E2009/F2009)</f>
        <v>0.7</v>
      </c>
      <c r="H2009" s="15"/>
    </row>
    <row r="2010" ht="13.65" customHeight="1">
      <c r="A2010" s="21">
        <v>80</v>
      </c>
      <c r="B2010" t="s" s="22">
        <v>646</v>
      </c>
      <c r="C2010" s="23">
        <v>4</v>
      </c>
      <c r="D2010" t="s" s="24">
        <v>637</v>
      </c>
      <c r="E2010" s="25">
        <v>46</v>
      </c>
      <c r="F2010" s="23">
        <v>16</v>
      </c>
      <c r="G2010" s="152" cm="1">
        <f t="array" ref="G2010">SUM(E2010/F2010)</f>
        <v>2.875</v>
      </c>
      <c r="H2010" s="15"/>
    </row>
    <row r="2011" ht="13.65" customHeight="1">
      <c r="A2011" s="21">
        <v>14</v>
      </c>
      <c r="B2011" t="s" s="22">
        <v>647</v>
      </c>
      <c r="C2011" s="23">
        <v>6</v>
      </c>
      <c r="D2011" t="s" s="24">
        <v>279</v>
      </c>
      <c r="E2011" s="25">
        <v>14</v>
      </c>
      <c r="F2011" s="23">
        <v>6</v>
      </c>
      <c r="G2011" s="152" cm="1">
        <f t="array" ref="G2011">SUM(E2011/F2011)</f>
        <v>2.33333333333333</v>
      </c>
      <c r="H2011" s="15"/>
    </row>
    <row r="2012" ht="13.65" customHeight="1">
      <c r="A2012" s="21">
        <v>20</v>
      </c>
      <c r="B2012" t="s" s="22">
        <v>628</v>
      </c>
      <c r="C2012" s="23">
        <v>1</v>
      </c>
      <c r="D2012" t="s" s="24">
        <v>629</v>
      </c>
      <c r="E2012" s="25">
        <v>7.5</v>
      </c>
      <c r="F2012" s="23">
        <v>3</v>
      </c>
      <c r="G2012" s="152" cm="1">
        <f t="array" ref="G2012">SUM(E2012/F2012)</f>
        <v>2.5</v>
      </c>
      <c r="H2012" s="15"/>
    </row>
    <row r="2013" ht="13.65" customHeight="1">
      <c r="A2013" s="21">
        <v>54</v>
      </c>
      <c r="B2013" t="s" s="22">
        <v>630</v>
      </c>
      <c r="C2013" s="23">
        <v>150</v>
      </c>
      <c r="D2013" t="s" s="24">
        <v>274</v>
      </c>
      <c r="E2013" s="25">
        <v>118</v>
      </c>
      <c r="F2013" s="23">
        <v>37</v>
      </c>
      <c r="G2013" s="152" cm="1">
        <f t="array" ref="G2013">SUM(E2013/F2013)</f>
        <v>3.18918918918919</v>
      </c>
      <c r="H2013" s="15"/>
    </row>
    <row r="2014" ht="13.65" customHeight="1">
      <c r="A2014" s="21">
        <v>115</v>
      </c>
      <c r="B2014" t="s" s="22">
        <v>631</v>
      </c>
      <c r="C2014" t="s" s="24">
        <v>632</v>
      </c>
      <c r="D2014" t="s" s="24">
        <v>648</v>
      </c>
      <c r="E2014" s="25">
        <v>4.5</v>
      </c>
      <c r="F2014" s="23">
        <v>15</v>
      </c>
      <c r="G2014" s="152" cm="1">
        <f t="array" ref="G2014">SUM(E2014/F2014)</f>
        <v>0.3</v>
      </c>
      <c r="H2014" s="15"/>
    </row>
    <row r="2015" ht="13.65" customHeight="1">
      <c r="A2015" s="21">
        <v>60</v>
      </c>
      <c r="B2015" t="s" s="22">
        <v>634</v>
      </c>
      <c r="C2015" t="s" s="24">
        <v>632</v>
      </c>
      <c r="D2015" t="s" s="24">
        <v>648</v>
      </c>
      <c r="E2015" s="25">
        <v>4.5</v>
      </c>
      <c r="F2015" s="23">
        <v>15</v>
      </c>
      <c r="G2015" s="152" cm="1">
        <f t="array" ref="G2015">SUM(E2015/F2015)</f>
        <v>0.3</v>
      </c>
      <c r="H2015" s="15"/>
    </row>
    <row r="2016" ht="13.65" customHeight="1">
      <c r="A2016" s="21">
        <v>15</v>
      </c>
      <c r="B2016" t="s" s="22">
        <v>636</v>
      </c>
      <c r="C2016" s="23">
        <v>4</v>
      </c>
      <c r="D2016" t="s" s="24">
        <v>637</v>
      </c>
      <c r="E2016" s="25">
        <v>29.5</v>
      </c>
      <c r="F2016" s="23">
        <v>48</v>
      </c>
      <c r="G2016" s="152" cm="1">
        <f t="array" ref="G2016">SUM(E2016/F2016)</f>
        <v>0.614583333333333</v>
      </c>
      <c r="H2016" s="15"/>
    </row>
    <row r="2017" ht="13.65" customHeight="1">
      <c r="A2017" s="21">
        <v>135</v>
      </c>
      <c r="B2017" t="s" s="22">
        <v>639</v>
      </c>
      <c r="C2017" s="23">
        <v>1</v>
      </c>
      <c r="D2017" t="s" s="24">
        <v>640</v>
      </c>
      <c r="E2017" s="25">
        <v>13.05</v>
      </c>
      <c r="F2017" s="23">
        <v>5</v>
      </c>
      <c r="G2017" s="152" cm="1">
        <f t="array" ref="G2017">SUM(E2017/F2017)</f>
        <v>2.61</v>
      </c>
      <c r="H2017" s="15"/>
    </row>
    <row r="2018" ht="13.65" customHeight="1">
      <c r="A2018" s="28"/>
      <c r="B2018" s="28"/>
      <c r="C2018" s="27"/>
      <c r="D2018" s="24"/>
      <c r="E2018" s="27"/>
      <c r="F2018" t="s" s="29">
        <v>118</v>
      </c>
      <c r="G2018" s="197" cm="1">
        <f t="array" ref="G2018">SUM(G1986:G2017)</f>
        <v>57.5021673277173</v>
      </c>
      <c r="H2018" s="15"/>
    </row>
    <row r="2019" ht="13.65" customHeight="1">
      <c r="A2019" s="129"/>
      <c r="B2019" s="129"/>
      <c r="C2019" s="129"/>
      <c r="D2019" s="129"/>
      <c r="E2019" s="130"/>
      <c r="F2019" s="31"/>
      <c r="G2019" s="33"/>
      <c r="H2019" s="34"/>
    </row>
    <row r="2020" ht="11.7" customHeight="1">
      <c r="A2020" t="s" s="167">
        <v>136</v>
      </c>
      <c r="B2020" t="s" s="167">
        <v>281</v>
      </c>
      <c r="C2020" t="s" s="167">
        <v>282</v>
      </c>
      <c r="D2020" t="s" s="168">
        <v>283</v>
      </c>
      <c r="E2020" s="169"/>
      <c r="F2020" s="170"/>
      <c r="G2020" s="171"/>
      <c r="H2020" s="171"/>
    </row>
    <row r="2021" ht="13.65" customHeight="1">
      <c r="A2021" s="23">
        <v>140</v>
      </c>
      <c r="B2021" s="172" cm="1">
        <f t="array" ref="B2021">SUM(H256)</f>
        <v>2.47496540404041</v>
      </c>
      <c r="C2021" s="172" cm="1">
        <f t="array" ref="C2021">SUM(G2018)</f>
        <v>57.5021673277173</v>
      </c>
      <c r="D2021" s="199" cm="1">
        <f t="array" ref="D2021">SUM(A2021*B2021)+(C2021)</f>
        <v>403.997323893375</v>
      </c>
      <c r="E2021" s="200"/>
      <c r="F2021" s="15"/>
      <c r="G2021" s="3"/>
      <c r="H2021" s="3"/>
    </row>
    <row r="2022" ht="13.65" customHeight="1">
      <c r="A2022" s="31"/>
      <c r="B2022" s="31"/>
      <c r="C2022" s="31"/>
      <c r="D2022" s="31"/>
      <c r="E2022" s="31"/>
      <c r="F2022" s="3"/>
      <c r="G2022" s="3"/>
      <c r="H2022" s="3"/>
    </row>
    <row r="2023" ht="13.65" customHeight="1">
      <c r="A2023" s="203"/>
      <c r="B2023" s="203"/>
      <c r="C2023" s="203"/>
      <c r="D2023" s="203"/>
      <c r="E2023" s="203"/>
      <c r="F2023" s="203"/>
      <c r="G2023" s="203"/>
      <c r="H2023" s="203"/>
    </row>
    <row r="2024" ht="13.65" customHeight="1">
      <c r="A2024" t="s" s="274">
        <v>185</v>
      </c>
      <c r="B2024" s="275"/>
      <c r="C2024" s="275"/>
      <c r="D2024" s="275"/>
      <c r="E2024" s="280"/>
      <c r="F2024" s="275"/>
      <c r="G2024" s="275"/>
      <c r="H2024" s="277"/>
    </row>
    <row r="2025" ht="13.65" customHeight="1">
      <c r="A2025" s="278"/>
      <c r="B2025" s="278"/>
      <c r="C2025" s="278"/>
      <c r="D2025" s="278"/>
      <c r="E2025" s="278"/>
      <c r="F2025" s="278"/>
      <c r="G2025" s="278"/>
      <c r="H2025" s="278"/>
    </row>
    <row r="2026" ht="13.65" customHeight="1">
      <c r="A2026" s="3"/>
      <c r="B2026" s="3"/>
      <c r="C2026" s="3"/>
      <c r="D2026" s="3"/>
      <c r="E2026" s="3"/>
      <c r="F2026" s="3"/>
      <c r="G2026" s="3"/>
      <c r="H2026" s="3"/>
    </row>
    <row r="2027" ht="13.65" customHeight="1">
      <c r="A2027" t="s" s="5">
        <v>649</v>
      </c>
      <c r="B2027" s="3"/>
      <c r="C2027" s="3"/>
      <c r="D2027" s="3"/>
      <c r="E2027" s="3"/>
      <c r="F2027" s="3"/>
      <c r="G2027" s="3"/>
      <c r="H2027" s="3"/>
    </row>
    <row r="2028" ht="13.65" customHeight="1">
      <c r="A2028" s="11"/>
      <c r="B2028" s="11"/>
      <c r="C2028" s="11"/>
      <c r="D2028" s="11"/>
      <c r="E2028" s="11"/>
      <c r="F2028" s="11"/>
      <c r="G2028" s="11"/>
      <c r="H2028" s="3"/>
    </row>
    <row r="2029" ht="13.65" customHeight="1">
      <c r="A2029" s="12"/>
      <c r="B2029" s="12"/>
      <c r="C2029" s="13"/>
      <c r="D2029" s="14"/>
      <c r="E2029" s="13"/>
      <c r="F2029" s="13"/>
      <c r="G2029" t="s" s="14">
        <v>252</v>
      </c>
      <c r="H2029" s="150"/>
    </row>
    <row r="2030" ht="13.65" customHeight="1">
      <c r="A2030" t="s" s="16">
        <v>93</v>
      </c>
      <c r="B2030" t="s" s="16">
        <v>94</v>
      </c>
      <c r="C2030" t="s" s="16">
        <v>95</v>
      </c>
      <c r="D2030" t="s" s="16">
        <v>96</v>
      </c>
      <c r="E2030" t="s" s="16">
        <v>97</v>
      </c>
      <c r="F2030" t="s" s="16">
        <v>98</v>
      </c>
      <c r="G2030" t="s" s="16">
        <v>99</v>
      </c>
      <c r="H2030" s="15"/>
    </row>
    <row r="2031" ht="13.65" customHeight="1">
      <c r="A2031" s="151"/>
      <c r="B2031" s="151"/>
      <c r="C2031" s="19"/>
      <c r="D2031" s="20"/>
      <c r="E2031" s="19"/>
      <c r="F2031" s="19"/>
      <c r="G2031" t="s" s="20">
        <v>100</v>
      </c>
      <c r="H2031" s="15"/>
    </row>
    <row r="2032" ht="13.65" customHeight="1">
      <c r="A2032" s="21">
        <v>72</v>
      </c>
      <c r="B2032" t="s" s="22">
        <v>101</v>
      </c>
      <c r="C2032" s="23">
        <v>50</v>
      </c>
      <c r="D2032" t="s" s="24">
        <v>608</v>
      </c>
      <c r="E2032" s="25">
        <v>1.93</v>
      </c>
      <c r="F2032" s="23">
        <v>6.25</v>
      </c>
      <c r="G2032" s="152" cm="1">
        <f t="array" ref="G2032">SUM(E2032/F2032)</f>
        <v>0.3088</v>
      </c>
      <c r="H2032" s="15"/>
    </row>
    <row r="2033" ht="13.65" customHeight="1">
      <c r="A2033" s="21">
        <v>123</v>
      </c>
      <c r="B2033" t="s" s="22">
        <v>103</v>
      </c>
      <c r="C2033" s="23">
        <v>40</v>
      </c>
      <c r="D2033" t="s" s="24">
        <v>274</v>
      </c>
      <c r="E2033" s="25">
        <v>3.2</v>
      </c>
      <c r="F2033" s="23">
        <v>10</v>
      </c>
      <c r="G2033" s="152" cm="1">
        <f t="array" ref="G2033">SUM(E2033/F2033)</f>
        <v>0.32</v>
      </c>
      <c r="H2033" s="15"/>
    </row>
    <row r="2034" ht="13.65" customHeight="1">
      <c r="A2034" s="21">
        <v>65</v>
      </c>
      <c r="B2034" t="s" s="22">
        <v>394</v>
      </c>
      <c r="C2034" s="23">
        <v>500</v>
      </c>
      <c r="D2034" t="s" s="24">
        <v>274</v>
      </c>
      <c r="E2034" s="25">
        <v>26</v>
      </c>
      <c r="F2034" s="23">
        <v>125</v>
      </c>
      <c r="G2034" s="152" cm="1">
        <f t="array" ref="G2034">SUM(E2034/F2034)</f>
        <v>0.208</v>
      </c>
      <c r="H2034" s="15"/>
    </row>
    <row r="2035" ht="13.65" customHeight="1">
      <c r="A2035" s="21">
        <v>86</v>
      </c>
      <c r="B2035" t="s" s="22">
        <v>107</v>
      </c>
      <c r="C2035" t="s" s="24">
        <v>108</v>
      </c>
      <c r="D2035" t="s" s="24">
        <v>608</v>
      </c>
      <c r="E2035" s="25">
        <v>0.32</v>
      </c>
      <c r="F2035" t="s" s="24">
        <v>650</v>
      </c>
      <c r="G2035" s="152" cm="1">
        <f t="array" ref="G2035">SUM(E2035*8)</f>
        <v>2.56</v>
      </c>
      <c r="H2035" s="15"/>
    </row>
    <row r="2036" ht="13.65" customHeight="1">
      <c r="A2036" s="21">
        <v>71</v>
      </c>
      <c r="B2036" t="s" s="22">
        <v>109</v>
      </c>
      <c r="C2036" s="23">
        <v>10</v>
      </c>
      <c r="D2036" t="s" s="24">
        <v>608</v>
      </c>
      <c r="E2036" s="25">
        <v>5.92</v>
      </c>
      <c r="F2036" s="23">
        <v>1.25</v>
      </c>
      <c r="G2036" s="152" cm="1">
        <f t="array" ref="G2036">SUM(E2036/F2036)</f>
        <v>4.736</v>
      </c>
      <c r="H2036" s="15"/>
    </row>
    <row r="2037" ht="13.65" customHeight="1">
      <c r="A2037" s="21">
        <v>87</v>
      </c>
      <c r="B2037" t="s" s="22">
        <v>110</v>
      </c>
      <c r="C2037" s="23">
        <v>50</v>
      </c>
      <c r="D2037" t="s" s="24">
        <v>608</v>
      </c>
      <c r="E2037" s="25">
        <v>9</v>
      </c>
      <c r="F2037" s="23">
        <v>6.25</v>
      </c>
      <c r="G2037" s="152" cm="1">
        <f t="array" ref="G2037">SUM(E2037/F2037)</f>
        <v>1.44</v>
      </c>
      <c r="H2037" s="15"/>
    </row>
    <row r="2038" ht="13.65" customHeight="1">
      <c r="A2038" s="21">
        <v>55</v>
      </c>
      <c r="B2038" t="s" s="22">
        <v>111</v>
      </c>
      <c r="C2038" t="s" s="24">
        <v>112</v>
      </c>
      <c r="D2038" t="s" s="24">
        <v>651</v>
      </c>
      <c r="E2038" s="25">
        <v>2.71</v>
      </c>
      <c r="F2038" s="23">
        <v>19</v>
      </c>
      <c r="G2038" s="152" cm="1">
        <f t="array" ref="G2038">SUM(E2038/F2038)</f>
        <v>0.142631578947368</v>
      </c>
      <c r="H2038" s="15"/>
    </row>
    <row r="2039" ht="13.65" customHeight="1">
      <c r="A2039" s="21">
        <v>10</v>
      </c>
      <c r="B2039" t="s" s="22">
        <v>395</v>
      </c>
      <c r="C2039" t="s" s="24">
        <v>396</v>
      </c>
      <c r="D2039" t="s" s="24">
        <v>401</v>
      </c>
      <c r="E2039" s="25">
        <v>3.92</v>
      </c>
      <c r="F2039" s="23">
        <v>30</v>
      </c>
      <c r="G2039" s="152" cm="1">
        <f t="array" ref="G2039">SUM(E2039/F2039)</f>
        <v>0.130666666666667</v>
      </c>
      <c r="H2039" s="15"/>
    </row>
    <row r="2040" ht="13.65" customHeight="1">
      <c r="A2040" s="21">
        <v>9</v>
      </c>
      <c r="B2040" t="s" s="22">
        <v>398</v>
      </c>
      <c r="C2040" s="23">
        <v>50</v>
      </c>
      <c r="D2040" t="s" s="24">
        <v>274</v>
      </c>
      <c r="E2040" s="25">
        <v>14</v>
      </c>
      <c r="F2040" s="23">
        <v>12.5</v>
      </c>
      <c r="G2040" s="152" cm="1">
        <f t="array" ref="G2040">SUM(E2040/F2040)</f>
        <v>1.12</v>
      </c>
      <c r="H2040" s="15"/>
    </row>
    <row r="2041" ht="13.65" customHeight="1">
      <c r="A2041" s="21">
        <v>6</v>
      </c>
      <c r="B2041" t="s" s="22">
        <v>399</v>
      </c>
      <c r="C2041" s="23">
        <v>100</v>
      </c>
      <c r="D2041" t="s" s="24">
        <v>274</v>
      </c>
      <c r="E2041" s="25">
        <v>19</v>
      </c>
      <c r="F2041" s="23">
        <v>25</v>
      </c>
      <c r="G2041" s="152" cm="1">
        <f t="array" ref="G2041">SUM(E2041/F2041)</f>
        <v>0.76</v>
      </c>
      <c r="H2041" s="15"/>
    </row>
    <row r="2042" ht="13.65" customHeight="1">
      <c r="A2042" s="21">
        <v>79</v>
      </c>
      <c r="B2042" t="s" s="22">
        <v>439</v>
      </c>
      <c r="C2042" s="23">
        <v>20</v>
      </c>
      <c r="D2042" t="s" s="24">
        <v>102</v>
      </c>
      <c r="E2042" s="25">
        <v>25</v>
      </c>
      <c r="F2042" s="23">
        <v>10</v>
      </c>
      <c r="G2042" s="152" cm="1">
        <f t="array" ref="G2042">SUM(E2042/F2042)</f>
        <v>2.5</v>
      </c>
      <c r="H2042" s="15"/>
    </row>
    <row r="2043" ht="13.65" customHeight="1">
      <c r="A2043" s="21">
        <v>85</v>
      </c>
      <c r="B2043" t="s" s="22">
        <v>463</v>
      </c>
      <c r="C2043" t="s" s="24">
        <v>464</v>
      </c>
      <c r="D2043" t="s" s="24">
        <v>652</v>
      </c>
      <c r="E2043" s="25">
        <v>4.82</v>
      </c>
      <c r="F2043" s="23">
        <v>5</v>
      </c>
      <c r="G2043" s="152" cm="1">
        <f t="array" ref="G2043">SUM(E2043/F2043)</f>
        <v>0.964</v>
      </c>
      <c r="H2043" s="15"/>
    </row>
    <row r="2044" ht="13.65" customHeight="1">
      <c r="A2044" s="21">
        <v>97</v>
      </c>
      <c r="B2044" t="s" s="22">
        <v>465</v>
      </c>
      <c r="C2044" s="23">
        <v>120</v>
      </c>
      <c r="D2044" t="s" s="24">
        <v>653</v>
      </c>
      <c r="E2044" s="25">
        <v>10.5</v>
      </c>
      <c r="F2044" s="23">
        <v>5</v>
      </c>
      <c r="G2044" s="152" cm="1">
        <f t="array" ref="G2044">SUM(E2044/F2044)</f>
        <v>2.1</v>
      </c>
      <c r="H2044" s="15"/>
    </row>
    <row r="2045" ht="13.65" customHeight="1">
      <c r="A2045" s="21">
        <v>38</v>
      </c>
      <c r="B2045" t="s" s="22">
        <v>618</v>
      </c>
      <c r="C2045" s="23">
        <v>120</v>
      </c>
      <c r="D2045" t="s" s="24">
        <v>256</v>
      </c>
      <c r="E2045" s="25">
        <v>26</v>
      </c>
      <c r="F2045" s="23">
        <v>40</v>
      </c>
      <c r="G2045" s="152" cm="1">
        <f t="array" ref="G2045">SUM(E2045/F2045)</f>
        <v>0.65</v>
      </c>
      <c r="H2045" s="15"/>
    </row>
    <row r="2046" ht="13.65" customHeight="1">
      <c r="A2046" s="21">
        <v>39</v>
      </c>
      <c r="B2046" t="s" s="22">
        <v>619</v>
      </c>
      <c r="C2046" s="23">
        <v>150</v>
      </c>
      <c r="D2046" t="s" s="24">
        <v>653</v>
      </c>
      <c r="E2046" s="25">
        <v>26</v>
      </c>
      <c r="F2046" s="23">
        <v>6</v>
      </c>
      <c r="G2046" s="152" cm="1">
        <f t="array" ref="G2046">SUM(E2046/F2046)</f>
        <v>4.33333333333333</v>
      </c>
      <c r="H2046" s="15"/>
    </row>
    <row r="2047" ht="13.65" customHeight="1">
      <c r="A2047" s="21">
        <v>33</v>
      </c>
      <c r="B2047" t="s" s="22">
        <v>620</v>
      </c>
      <c r="C2047" t="s" s="24">
        <v>396</v>
      </c>
      <c r="D2047" t="s" s="24">
        <v>654</v>
      </c>
      <c r="E2047" s="25">
        <v>26</v>
      </c>
      <c r="F2047" s="23">
        <v>8</v>
      </c>
      <c r="G2047" s="152" cm="1">
        <f t="array" ref="G2047">SUM(E2047/F2047)</f>
        <v>3.25</v>
      </c>
      <c r="H2047" s="15"/>
    </row>
    <row r="2048" ht="13.65" customHeight="1">
      <c r="A2048" s="21">
        <v>34</v>
      </c>
      <c r="B2048" t="s" s="22">
        <v>456</v>
      </c>
      <c r="C2048" t="s" s="24">
        <v>455</v>
      </c>
      <c r="D2048" t="s" s="24">
        <v>537</v>
      </c>
      <c r="E2048" s="25">
        <v>63</v>
      </c>
      <c r="F2048" s="23">
        <v>12.5</v>
      </c>
      <c r="G2048" s="152" cm="1">
        <f t="array" ref="G2048">SUM(E2048/F2048)</f>
        <v>5.04</v>
      </c>
      <c r="H2048" s="15"/>
    </row>
    <row r="2049" ht="13.65" customHeight="1">
      <c r="A2049" s="21">
        <v>73</v>
      </c>
      <c r="B2049" t="s" s="22">
        <v>621</v>
      </c>
      <c r="C2049" t="s" s="24">
        <v>432</v>
      </c>
      <c r="D2049" t="s" s="24">
        <v>433</v>
      </c>
      <c r="E2049" s="25">
        <v>13.5</v>
      </c>
      <c r="F2049" s="23">
        <v>9</v>
      </c>
      <c r="G2049" s="152" cm="1">
        <f t="array" ref="G2049">SUM(E2049/F2049)</f>
        <v>1.5</v>
      </c>
      <c r="H2049" s="15"/>
    </row>
    <row r="2050" ht="13.65" customHeight="1">
      <c r="A2050" s="21">
        <v>119</v>
      </c>
      <c r="B2050" t="s" s="22">
        <v>467</v>
      </c>
      <c r="C2050" s="23">
        <v>2</v>
      </c>
      <c r="D2050" t="s" s="24">
        <v>468</v>
      </c>
      <c r="E2050" s="25">
        <v>0.45</v>
      </c>
      <c r="F2050" t="s" s="24">
        <v>387</v>
      </c>
      <c r="G2050" s="152" cm="1">
        <f t="array" ref="G2050">SUM(E2050*2)</f>
        <v>0.9</v>
      </c>
      <c r="H2050" s="15"/>
    </row>
    <row r="2051" ht="13.65" customHeight="1">
      <c r="A2051" s="21">
        <v>82</v>
      </c>
      <c r="B2051" t="s" s="22">
        <v>622</v>
      </c>
      <c r="C2051" s="23">
        <v>6</v>
      </c>
      <c r="D2051" t="s" s="24">
        <v>274</v>
      </c>
      <c r="E2051" s="25">
        <v>41</v>
      </c>
      <c r="F2051" s="23">
        <v>1.5</v>
      </c>
      <c r="G2051" s="152" cm="1">
        <f t="array" ref="G2051">SUM(E2051/F2051)</f>
        <v>27.3333333333333</v>
      </c>
      <c r="H2051" s="15"/>
    </row>
    <row r="2052" ht="13.65" customHeight="1">
      <c r="A2052" s="21">
        <v>19</v>
      </c>
      <c r="B2052" t="s" s="22">
        <v>414</v>
      </c>
      <c r="C2052" s="23">
        <v>2</v>
      </c>
      <c r="D2052" t="s" s="24">
        <v>588</v>
      </c>
      <c r="E2052" s="25">
        <v>5.2</v>
      </c>
      <c r="F2052" s="23">
        <v>5</v>
      </c>
      <c r="G2052" s="152" cm="1">
        <f t="array" ref="G2052">SUM(E2052/F2052)</f>
        <v>1.04</v>
      </c>
      <c r="H2052" s="15"/>
    </row>
    <row r="2053" ht="13.65" customHeight="1">
      <c r="A2053" s="21">
        <v>74</v>
      </c>
      <c r="B2053" t="s" s="22">
        <v>623</v>
      </c>
      <c r="C2053" t="s" s="24">
        <v>426</v>
      </c>
      <c r="D2053" t="s" s="24">
        <v>408</v>
      </c>
      <c r="E2053" s="25">
        <v>4.5</v>
      </c>
      <c r="F2053" s="23">
        <v>5</v>
      </c>
      <c r="G2053" s="152" cm="1">
        <f t="array" ref="G2053">SUM(E2053/F2053)</f>
        <v>0.9</v>
      </c>
      <c r="H2053" s="15"/>
    </row>
    <row r="2054" ht="13.65" customHeight="1">
      <c r="A2054" s="21">
        <v>45</v>
      </c>
      <c r="B2054" t="s" s="22">
        <v>625</v>
      </c>
      <c r="C2054" s="23">
        <v>100</v>
      </c>
      <c r="D2054" t="s" s="24">
        <v>655</v>
      </c>
      <c r="E2054" s="25">
        <v>18</v>
      </c>
      <c r="F2054" s="23">
        <v>7.143</v>
      </c>
      <c r="G2054" s="152" cm="1">
        <f t="array" ref="G2054">SUM(E2054/F2054)</f>
        <v>2.51994960100798</v>
      </c>
      <c r="H2054" s="15"/>
    </row>
    <row r="2055" ht="13.65" customHeight="1">
      <c r="A2055" s="21">
        <v>112</v>
      </c>
      <c r="B2055" t="s" s="22">
        <v>626</v>
      </c>
      <c r="C2055" t="s" s="24">
        <v>384</v>
      </c>
      <c r="D2055" t="s" s="24">
        <v>385</v>
      </c>
      <c r="E2055" s="25">
        <v>7</v>
      </c>
      <c r="F2055" s="23">
        <v>20</v>
      </c>
      <c r="G2055" s="152" cm="1">
        <f t="array" ref="G2055">SUM(E2055/F2055)</f>
        <v>0.35</v>
      </c>
      <c r="H2055" s="15"/>
    </row>
    <row r="2056" ht="13.65" customHeight="1">
      <c r="A2056" s="21">
        <v>14</v>
      </c>
      <c r="B2056" t="s" s="22">
        <v>647</v>
      </c>
      <c r="C2056" s="23">
        <v>6</v>
      </c>
      <c r="D2056" t="s" s="24">
        <v>279</v>
      </c>
      <c r="E2056" s="25">
        <v>14</v>
      </c>
      <c r="F2056" s="23">
        <v>6</v>
      </c>
      <c r="G2056" s="152" cm="1">
        <f t="array" ref="G2056">SUM(E2056/F2056)</f>
        <v>2.33333333333333</v>
      </c>
      <c r="H2056" s="15"/>
    </row>
    <row r="2057" ht="13.65" customHeight="1">
      <c r="A2057" s="21">
        <v>15</v>
      </c>
      <c r="B2057" t="s" s="22">
        <v>636</v>
      </c>
      <c r="C2057" s="23">
        <v>4</v>
      </c>
      <c r="D2057" t="s" s="24">
        <v>637</v>
      </c>
      <c r="E2057" s="25">
        <v>29.5</v>
      </c>
      <c r="F2057" s="23">
        <v>48</v>
      </c>
      <c r="G2057" s="152" cm="1">
        <f t="array" ref="G2057">SUM(E2057/F2057)</f>
        <v>0.614583333333333</v>
      </c>
      <c r="H2057" s="15"/>
    </row>
    <row r="2058" ht="13.65" customHeight="1">
      <c r="A2058" s="21">
        <v>20</v>
      </c>
      <c r="B2058" t="s" s="22">
        <v>628</v>
      </c>
      <c r="C2058" s="23">
        <v>1</v>
      </c>
      <c r="D2058" t="s" s="24">
        <v>629</v>
      </c>
      <c r="E2058" s="25">
        <v>7.5</v>
      </c>
      <c r="F2058" s="23">
        <v>3</v>
      </c>
      <c r="G2058" s="152" cm="1">
        <f t="array" ref="G2058">SUM(E2058/F2058)</f>
        <v>2.5</v>
      </c>
      <c r="H2058" s="15"/>
    </row>
    <row r="2059" ht="13.65" customHeight="1">
      <c r="A2059" s="21">
        <v>54</v>
      </c>
      <c r="B2059" t="s" s="22">
        <v>630</v>
      </c>
      <c r="C2059" s="23">
        <v>150</v>
      </c>
      <c r="D2059" t="s" s="24">
        <v>405</v>
      </c>
      <c r="E2059" s="25">
        <v>118</v>
      </c>
      <c r="F2059" s="23">
        <v>25</v>
      </c>
      <c r="G2059" s="152" cm="1">
        <f t="array" ref="G2059">SUM(E2059/F2059)</f>
        <v>4.72</v>
      </c>
      <c r="H2059" s="15"/>
    </row>
    <row r="2060" ht="13.65" customHeight="1">
      <c r="A2060" s="21">
        <v>115</v>
      </c>
      <c r="B2060" t="s" s="22">
        <v>631</v>
      </c>
      <c r="C2060" t="s" s="24">
        <v>632</v>
      </c>
      <c r="D2060" t="s" s="24">
        <v>648</v>
      </c>
      <c r="E2060" s="25">
        <v>4.5</v>
      </c>
      <c r="F2060" s="23">
        <v>15</v>
      </c>
      <c r="G2060" s="152" cm="1">
        <f t="array" ref="G2060">SUM(E2060/F2060)</f>
        <v>0.3</v>
      </c>
      <c r="H2060" s="15"/>
    </row>
    <row r="2061" ht="13.65" customHeight="1">
      <c r="A2061" s="21">
        <v>60</v>
      </c>
      <c r="B2061" t="s" s="22">
        <v>634</v>
      </c>
      <c r="C2061" t="s" s="24">
        <v>632</v>
      </c>
      <c r="D2061" t="s" s="24">
        <v>648</v>
      </c>
      <c r="E2061" s="25">
        <v>4.5</v>
      </c>
      <c r="F2061" s="23">
        <v>15</v>
      </c>
      <c r="G2061" s="152" cm="1">
        <f t="array" ref="G2061">SUM(E2061/F2061)</f>
        <v>0.3</v>
      </c>
      <c r="H2061" s="15"/>
    </row>
    <row r="2062" ht="13.65" customHeight="1">
      <c r="A2062" s="21">
        <v>21</v>
      </c>
      <c r="B2062" t="s" s="22">
        <v>638</v>
      </c>
      <c r="C2062" s="23">
        <v>4</v>
      </c>
      <c r="D2062" t="s" s="24">
        <v>637</v>
      </c>
      <c r="E2062" s="25">
        <v>46</v>
      </c>
      <c r="F2062" s="23">
        <v>16</v>
      </c>
      <c r="G2062" s="152" cm="1">
        <f t="array" ref="G2062">SUM(E2062/F2062)</f>
        <v>2.875</v>
      </c>
      <c r="H2062" s="15"/>
    </row>
    <row r="2063" ht="13.65" customHeight="1">
      <c r="A2063" s="21">
        <v>135</v>
      </c>
      <c r="B2063" t="s" s="22">
        <v>639</v>
      </c>
      <c r="C2063" s="23">
        <v>1</v>
      </c>
      <c r="D2063" t="s" s="24">
        <v>640</v>
      </c>
      <c r="E2063" s="25">
        <v>13.05</v>
      </c>
      <c r="F2063" s="23">
        <v>5</v>
      </c>
      <c r="G2063" s="152" cm="1">
        <f t="array" ref="G2063">SUM(E2063/F2063)</f>
        <v>2.61</v>
      </c>
      <c r="H2063" s="15"/>
    </row>
    <row r="2064" ht="13.65" customHeight="1">
      <c r="A2064" s="28"/>
      <c r="B2064" s="28"/>
      <c r="C2064" s="27"/>
      <c r="D2064" s="24"/>
      <c r="E2064" s="27"/>
      <c r="F2064" t="s" s="29">
        <v>118</v>
      </c>
      <c r="G2064" s="197" cm="1">
        <f t="array" ref="G2064">SUM(G2032:G2063)</f>
        <v>81.3596311799553</v>
      </c>
      <c r="H2064" s="15"/>
    </row>
    <row r="2065" ht="13.65" customHeight="1">
      <c r="A2065" s="129"/>
      <c r="B2065" s="129"/>
      <c r="C2065" s="129"/>
      <c r="D2065" s="129"/>
      <c r="E2065" s="129"/>
      <c r="F2065" s="31"/>
      <c r="G2065" s="31"/>
      <c r="H2065" s="3"/>
    </row>
    <row r="2066" ht="11.7" customHeight="1">
      <c r="A2066" t="s" s="167">
        <v>136</v>
      </c>
      <c r="B2066" t="s" s="167">
        <v>281</v>
      </c>
      <c r="C2066" t="s" s="167">
        <v>282</v>
      </c>
      <c r="D2066" t="s" s="168">
        <v>283</v>
      </c>
      <c r="E2066" s="169"/>
      <c r="F2066" s="170"/>
      <c r="G2066" s="171"/>
      <c r="H2066" s="171"/>
    </row>
    <row r="2067" ht="13.65" customHeight="1">
      <c r="A2067" s="23">
        <v>240</v>
      </c>
      <c r="B2067" s="172" cm="1">
        <f t="array" ref="B2067">SUM(H256)</f>
        <v>2.47496540404041</v>
      </c>
      <c r="C2067" s="172" cm="1">
        <f t="array" ref="C2067">SUM(G2064)</f>
        <v>81.3596311799553</v>
      </c>
      <c r="D2067" s="199" cm="1">
        <f t="array" ref="D2067">SUM(A2067*B2067)+(C2067)</f>
        <v>675.351328149654</v>
      </c>
      <c r="E2067" s="200"/>
      <c r="F2067" s="15"/>
      <c r="G2067" s="3"/>
      <c r="H2067" s="3"/>
    </row>
    <row r="2068" ht="13.65" customHeight="1">
      <c r="A2068" s="31"/>
      <c r="B2068" s="31"/>
      <c r="C2068" s="31"/>
      <c r="D2068" s="31"/>
      <c r="E2068" s="31"/>
      <c r="F2068" s="3"/>
      <c r="G2068" s="3"/>
      <c r="H2068" s="3"/>
    </row>
    <row r="2069" ht="13.65" customHeight="1">
      <c r="A2069" s="203"/>
      <c r="B2069" s="203"/>
      <c r="C2069" s="203"/>
      <c r="D2069" s="203"/>
      <c r="E2069" s="203"/>
      <c r="F2069" s="203"/>
      <c r="G2069" s="203"/>
      <c r="H2069" s="203"/>
    </row>
    <row r="2070" ht="13.65" customHeight="1">
      <c r="A2070" t="s" s="274">
        <v>284</v>
      </c>
      <c r="B2070" s="275"/>
      <c r="C2070" s="275"/>
      <c r="D2070" s="275"/>
      <c r="E2070" s="280"/>
      <c r="F2070" s="275"/>
      <c r="G2070" s="275"/>
      <c r="H2070" s="277"/>
    </row>
    <row r="2071" ht="13.65" customHeight="1">
      <c r="A2071" s="278"/>
      <c r="B2071" s="278"/>
      <c r="C2071" s="278"/>
      <c r="D2071" s="278"/>
      <c r="E2071" s="278"/>
      <c r="F2071" s="278"/>
      <c r="G2071" s="278"/>
      <c r="H2071" s="278"/>
    </row>
    <row r="2072" ht="13.65" customHeight="1">
      <c r="A2072" s="3"/>
      <c r="B2072" s="3"/>
      <c r="C2072" s="3"/>
      <c r="D2072" s="3"/>
      <c r="E2072" s="3"/>
      <c r="F2072" s="3"/>
      <c r="G2072" s="3"/>
      <c r="H2072" s="3"/>
    </row>
    <row r="2073" ht="13.65" customHeight="1">
      <c r="A2073" t="s" s="5">
        <v>656</v>
      </c>
      <c r="B2073" s="3"/>
      <c r="C2073" s="3"/>
      <c r="D2073" s="3"/>
      <c r="E2073" s="3"/>
      <c r="F2073" s="3"/>
      <c r="G2073" s="3"/>
      <c r="H2073" s="3"/>
    </row>
    <row r="2074" ht="13.65" customHeight="1">
      <c r="A2074" s="11"/>
      <c r="B2074" s="11"/>
      <c r="C2074" s="11"/>
      <c r="D2074" s="11"/>
      <c r="E2074" s="11"/>
      <c r="F2074" s="11"/>
      <c r="G2074" s="11"/>
      <c r="H2074" s="3"/>
    </row>
    <row r="2075" ht="13.65" customHeight="1">
      <c r="A2075" s="12"/>
      <c r="B2075" s="12"/>
      <c r="C2075" s="13"/>
      <c r="D2075" s="14"/>
      <c r="E2075" s="13"/>
      <c r="F2075" s="13"/>
      <c r="G2075" t="s" s="14">
        <v>252</v>
      </c>
      <c r="H2075" s="150"/>
    </row>
    <row r="2076" ht="13.65" customHeight="1">
      <c r="A2076" t="s" s="16">
        <v>93</v>
      </c>
      <c r="B2076" t="s" s="16">
        <v>94</v>
      </c>
      <c r="C2076" t="s" s="16">
        <v>95</v>
      </c>
      <c r="D2076" t="s" s="16">
        <v>96</v>
      </c>
      <c r="E2076" t="s" s="16">
        <v>97</v>
      </c>
      <c r="F2076" t="s" s="16">
        <v>98</v>
      </c>
      <c r="G2076" t="s" s="16">
        <v>99</v>
      </c>
      <c r="H2076" s="15"/>
    </row>
    <row r="2077" ht="13.65" customHeight="1">
      <c r="A2077" s="151"/>
      <c r="B2077" s="151"/>
      <c r="C2077" s="19"/>
      <c r="D2077" s="20"/>
      <c r="E2077" s="19"/>
      <c r="F2077" s="19"/>
      <c r="G2077" t="s" s="20">
        <v>100</v>
      </c>
      <c r="H2077" s="15"/>
    </row>
    <row r="2078" ht="13.65" customHeight="1">
      <c r="A2078" s="21">
        <v>72</v>
      </c>
      <c r="B2078" t="s" s="22">
        <v>101</v>
      </c>
      <c r="C2078" s="23">
        <v>50</v>
      </c>
      <c r="D2078" t="s" s="24">
        <v>274</v>
      </c>
      <c r="E2078" s="25">
        <v>1.93</v>
      </c>
      <c r="F2078" s="23">
        <v>12.5</v>
      </c>
      <c r="G2078" s="152" cm="1">
        <f t="array" ref="G2078">SUM(E2078/F2078)</f>
        <v>0.1544</v>
      </c>
      <c r="H2078" s="15"/>
    </row>
    <row r="2079" ht="13.65" customHeight="1">
      <c r="A2079" s="21">
        <v>123</v>
      </c>
      <c r="B2079" t="s" s="22">
        <v>103</v>
      </c>
      <c r="C2079" s="23">
        <v>40</v>
      </c>
      <c r="D2079" t="s" s="24">
        <v>102</v>
      </c>
      <c r="E2079" s="25">
        <v>3.2</v>
      </c>
      <c r="F2079" s="23">
        <v>20</v>
      </c>
      <c r="G2079" s="152" cm="1">
        <f t="array" ref="G2079">SUM(E2079/F2079)</f>
        <v>0.16</v>
      </c>
      <c r="H2079" s="15"/>
    </row>
    <row r="2080" ht="13.65" customHeight="1">
      <c r="A2080" s="21">
        <v>65</v>
      </c>
      <c r="B2080" t="s" s="22">
        <v>394</v>
      </c>
      <c r="C2080" s="23">
        <v>500</v>
      </c>
      <c r="D2080" t="s" s="24">
        <v>274</v>
      </c>
      <c r="E2080" s="25">
        <v>26</v>
      </c>
      <c r="F2080" s="23">
        <v>125</v>
      </c>
      <c r="G2080" s="152" cm="1">
        <f t="array" ref="G2080">SUM(E2080/F2080)</f>
        <v>0.208</v>
      </c>
      <c r="H2080" s="15"/>
    </row>
    <row r="2081" ht="13.65" customHeight="1">
      <c r="A2081" s="21">
        <v>86</v>
      </c>
      <c r="B2081" t="s" s="22">
        <v>107</v>
      </c>
      <c r="C2081" t="s" s="24">
        <v>108</v>
      </c>
      <c r="D2081" t="s" s="24">
        <v>274</v>
      </c>
      <c r="E2081" s="25">
        <v>0.32</v>
      </c>
      <c r="F2081" t="s" s="24">
        <v>301</v>
      </c>
      <c r="G2081" s="152" cm="1">
        <f t="array" ref="G2081">SUM(E2081*4)</f>
        <v>1.28</v>
      </c>
      <c r="H2081" s="15"/>
    </row>
    <row r="2082" ht="13.65" customHeight="1">
      <c r="A2082" s="21">
        <v>71</v>
      </c>
      <c r="B2082" t="s" s="22">
        <v>109</v>
      </c>
      <c r="C2082" s="23">
        <v>10</v>
      </c>
      <c r="D2082" t="s" s="24">
        <v>274</v>
      </c>
      <c r="E2082" s="25">
        <v>5.92</v>
      </c>
      <c r="F2082" s="23">
        <v>2.5</v>
      </c>
      <c r="G2082" s="152" cm="1">
        <f t="array" ref="G2082">SUM(E2082/F2082)</f>
        <v>2.368</v>
      </c>
      <c r="H2082" s="15"/>
    </row>
    <row r="2083" ht="13.65" customHeight="1">
      <c r="A2083" s="21">
        <v>87</v>
      </c>
      <c r="B2083" t="s" s="22">
        <v>110</v>
      </c>
      <c r="C2083" s="23">
        <v>50</v>
      </c>
      <c r="D2083" t="s" s="24">
        <v>274</v>
      </c>
      <c r="E2083" s="25">
        <v>9</v>
      </c>
      <c r="F2083" s="23">
        <v>12.5</v>
      </c>
      <c r="G2083" s="152" cm="1">
        <f t="array" ref="G2083">SUM(E2083/F2083)</f>
        <v>0.72</v>
      </c>
      <c r="H2083" s="15"/>
    </row>
    <row r="2084" ht="13.65" customHeight="1">
      <c r="A2084" s="21">
        <v>55</v>
      </c>
      <c r="B2084" t="s" s="22">
        <v>111</v>
      </c>
      <c r="C2084" t="s" s="24">
        <v>112</v>
      </c>
      <c r="D2084" t="s" s="24">
        <v>461</v>
      </c>
      <c r="E2084" s="25">
        <v>2.71</v>
      </c>
      <c r="F2084" s="23">
        <v>37.5</v>
      </c>
      <c r="G2084" s="152" cm="1">
        <f t="array" ref="G2084">SUM(E2084/F2084)</f>
        <v>0.0722666666666667</v>
      </c>
      <c r="H2084" s="15"/>
    </row>
    <row r="2085" ht="13.65" customHeight="1">
      <c r="A2085" s="21">
        <v>54</v>
      </c>
      <c r="B2085" t="s" s="22">
        <v>360</v>
      </c>
      <c r="C2085" s="23">
        <v>150</v>
      </c>
      <c r="D2085" t="s" s="24">
        <v>405</v>
      </c>
      <c r="E2085" s="25">
        <v>118</v>
      </c>
      <c r="F2085" s="23">
        <v>25</v>
      </c>
      <c r="G2085" s="152" cm="1">
        <f t="array" ref="G2085">SUM(E2085/F2085)</f>
        <v>4.72</v>
      </c>
      <c r="H2085" s="15"/>
    </row>
    <row r="2086" ht="13.65" customHeight="1">
      <c r="A2086" s="21">
        <v>115</v>
      </c>
      <c r="B2086" t="s" s="22">
        <v>631</v>
      </c>
      <c r="C2086" t="s" s="24">
        <v>632</v>
      </c>
      <c r="D2086" t="s" s="24">
        <v>648</v>
      </c>
      <c r="E2086" s="25">
        <v>4.5</v>
      </c>
      <c r="F2086" s="23">
        <v>15</v>
      </c>
      <c r="G2086" s="152" cm="1">
        <f t="array" ref="G2086">SUM(E2086/F2086)</f>
        <v>0.3</v>
      </c>
      <c r="H2086" s="15"/>
    </row>
    <row r="2087" ht="13.65" customHeight="1">
      <c r="A2087" s="21">
        <v>60</v>
      </c>
      <c r="B2087" t="s" s="22">
        <v>634</v>
      </c>
      <c r="C2087" t="s" s="24">
        <v>632</v>
      </c>
      <c r="D2087" t="s" s="24">
        <v>648</v>
      </c>
      <c r="E2087" s="25">
        <v>4.5</v>
      </c>
      <c r="F2087" s="23">
        <v>15</v>
      </c>
      <c r="G2087" s="152" cm="1">
        <f t="array" ref="G2087">SUM(E2087/F2087)</f>
        <v>0.3</v>
      </c>
      <c r="H2087" s="15"/>
    </row>
    <row r="2088" ht="13.65" customHeight="1">
      <c r="A2088" s="21">
        <v>10</v>
      </c>
      <c r="B2088" t="s" s="22">
        <v>395</v>
      </c>
      <c r="C2088" t="s" s="24">
        <v>396</v>
      </c>
      <c r="D2088" t="s" s="24">
        <v>401</v>
      </c>
      <c r="E2088" s="25">
        <v>3.92</v>
      </c>
      <c r="F2088" s="23">
        <v>30</v>
      </c>
      <c r="G2088" s="152" cm="1">
        <f t="array" ref="G2088">SUM(E2088/F2088)</f>
        <v>0.130666666666667</v>
      </c>
      <c r="H2088" s="15"/>
    </row>
    <row r="2089" ht="13.65" customHeight="1">
      <c r="A2089" s="21">
        <v>9</v>
      </c>
      <c r="B2089" t="s" s="22">
        <v>398</v>
      </c>
      <c r="C2089" s="23">
        <v>50</v>
      </c>
      <c r="D2089" t="s" s="24">
        <v>102</v>
      </c>
      <c r="E2089" s="25">
        <v>14</v>
      </c>
      <c r="F2089" s="23">
        <v>25</v>
      </c>
      <c r="G2089" s="152" cm="1">
        <f t="array" ref="G2089">SUM(E2089/F2089)</f>
        <v>0.5600000000000001</v>
      </c>
      <c r="H2089" s="15"/>
    </row>
    <row r="2090" ht="13.65" customHeight="1">
      <c r="A2090" s="21">
        <v>6</v>
      </c>
      <c r="B2090" t="s" s="22">
        <v>399</v>
      </c>
      <c r="C2090" s="23">
        <v>100</v>
      </c>
      <c r="D2090" t="s" s="24">
        <v>102</v>
      </c>
      <c r="E2090" s="25">
        <v>19</v>
      </c>
      <c r="F2090" s="23">
        <v>50</v>
      </c>
      <c r="G2090" s="152" cm="1">
        <f t="array" ref="G2090">SUM(E2090/F2090)</f>
        <v>0.38</v>
      </c>
      <c r="H2090" s="15"/>
    </row>
    <row r="2091" ht="13.65" customHeight="1">
      <c r="A2091" s="21">
        <v>79</v>
      </c>
      <c r="B2091" t="s" s="22">
        <v>439</v>
      </c>
      <c r="C2091" s="23">
        <v>20</v>
      </c>
      <c r="D2091" t="s" s="24">
        <v>256</v>
      </c>
      <c r="E2091" s="25">
        <v>25</v>
      </c>
      <c r="F2091" s="23">
        <v>6</v>
      </c>
      <c r="G2091" s="152" cm="1">
        <f t="array" ref="G2091">SUM(E2091/F2091)</f>
        <v>4.16666666666667</v>
      </c>
      <c r="H2091" s="15"/>
    </row>
    <row r="2092" ht="13.65" customHeight="1">
      <c r="A2092" s="21">
        <v>85</v>
      </c>
      <c r="B2092" t="s" s="22">
        <v>463</v>
      </c>
      <c r="C2092" t="s" s="24">
        <v>464</v>
      </c>
      <c r="D2092" t="s" s="24">
        <v>389</v>
      </c>
      <c r="E2092" s="25">
        <v>4.82</v>
      </c>
      <c r="F2092" s="23">
        <v>10</v>
      </c>
      <c r="G2092" s="152" cm="1">
        <f t="array" ref="G2092">SUM(E2092/F2092)</f>
        <v>0.482</v>
      </c>
      <c r="H2092" s="15"/>
    </row>
    <row r="2093" ht="13.65" customHeight="1">
      <c r="A2093" s="21">
        <v>97</v>
      </c>
      <c r="B2093" t="s" s="22">
        <v>465</v>
      </c>
      <c r="C2093" s="23">
        <v>120</v>
      </c>
      <c r="D2093" t="s" s="24">
        <v>106</v>
      </c>
      <c r="E2093" s="25">
        <v>10.5</v>
      </c>
      <c r="F2093" s="23">
        <v>12</v>
      </c>
      <c r="G2093" s="152" cm="1">
        <f t="array" ref="G2093">SUM(E2093/F2093)</f>
        <v>0.875</v>
      </c>
      <c r="H2093" s="15"/>
    </row>
    <row r="2094" ht="13.65" customHeight="1">
      <c r="A2094" s="21">
        <v>38</v>
      </c>
      <c r="B2094" t="s" s="22">
        <v>618</v>
      </c>
      <c r="C2094" s="23">
        <v>120</v>
      </c>
      <c r="D2094" t="s" s="24">
        <v>104</v>
      </c>
      <c r="E2094" s="25">
        <v>26</v>
      </c>
      <c r="F2094" s="23">
        <v>120</v>
      </c>
      <c r="G2094" s="152" cm="1">
        <f t="array" ref="G2094">SUM(E2094/F2094)</f>
        <v>0.216666666666667</v>
      </c>
      <c r="H2094" s="15"/>
    </row>
    <row r="2095" ht="13.65" customHeight="1">
      <c r="A2095" s="21">
        <v>39</v>
      </c>
      <c r="B2095" t="s" s="22">
        <v>619</v>
      </c>
      <c r="C2095" s="23">
        <v>150</v>
      </c>
      <c r="D2095" t="s" s="24">
        <v>106</v>
      </c>
      <c r="E2095" s="25">
        <v>26</v>
      </c>
      <c r="F2095" s="23">
        <v>15</v>
      </c>
      <c r="G2095" s="152" cm="1">
        <f t="array" ref="G2095">SUM(E2095/F2095)</f>
        <v>1.73333333333333</v>
      </c>
      <c r="H2095" s="15"/>
    </row>
    <row r="2096" ht="13.65" customHeight="1">
      <c r="A2096" s="21">
        <v>33</v>
      </c>
      <c r="B2096" t="s" s="22">
        <v>620</v>
      </c>
      <c r="C2096" t="s" s="24">
        <v>396</v>
      </c>
      <c r="D2096" t="s" s="24">
        <v>424</v>
      </c>
      <c r="E2096" s="25">
        <v>26</v>
      </c>
      <c r="F2096" s="23">
        <v>12</v>
      </c>
      <c r="G2096" s="152" cm="1">
        <f t="array" ref="G2096">SUM(E2096/F2096)</f>
        <v>2.16666666666667</v>
      </c>
      <c r="H2096" s="15"/>
    </row>
    <row r="2097" ht="13.65" customHeight="1">
      <c r="A2097" s="21">
        <v>34</v>
      </c>
      <c r="B2097" t="s" s="22">
        <v>456</v>
      </c>
      <c r="C2097" t="s" s="24">
        <v>455</v>
      </c>
      <c r="D2097" t="s" s="24">
        <v>424</v>
      </c>
      <c r="E2097" s="25">
        <v>63</v>
      </c>
      <c r="F2097" s="23">
        <v>50</v>
      </c>
      <c r="G2097" s="152" cm="1">
        <f t="array" ref="G2097">SUM(E2097/F2097)</f>
        <v>1.26</v>
      </c>
      <c r="H2097" s="15"/>
    </row>
    <row r="2098" ht="13.65" customHeight="1">
      <c r="A2098" s="21">
        <v>73</v>
      </c>
      <c r="B2098" t="s" s="22">
        <v>621</v>
      </c>
      <c r="C2098" t="s" s="24">
        <v>432</v>
      </c>
      <c r="D2098" t="s" s="24">
        <v>424</v>
      </c>
      <c r="E2098" s="25">
        <v>13.5</v>
      </c>
      <c r="F2098" s="23">
        <v>28</v>
      </c>
      <c r="G2098" s="152" cm="1">
        <f t="array" ref="G2098">SUM(E2098/F2098)</f>
        <v>0.482142857142857</v>
      </c>
      <c r="H2098" s="15"/>
    </row>
    <row r="2099" ht="13.65" customHeight="1">
      <c r="A2099" s="21">
        <v>119</v>
      </c>
      <c r="B2099" t="s" s="22">
        <v>467</v>
      </c>
      <c r="C2099" s="23">
        <v>1</v>
      </c>
      <c r="D2099" t="s" s="24">
        <v>468</v>
      </c>
      <c r="E2099" s="25">
        <v>0.45</v>
      </c>
      <c r="F2099" s="23">
        <v>1</v>
      </c>
      <c r="G2099" s="152" cm="1">
        <f t="array" ref="G2099">SUM(E2099/F2099)</f>
        <v>0.45</v>
      </c>
      <c r="H2099" s="15"/>
    </row>
    <row r="2100" ht="13.65" customHeight="1">
      <c r="A2100" s="21">
        <v>82</v>
      </c>
      <c r="B2100" t="s" s="22">
        <v>622</v>
      </c>
      <c r="C2100" s="23">
        <v>6</v>
      </c>
      <c r="D2100" t="s" s="24">
        <v>102</v>
      </c>
      <c r="E2100" s="25">
        <v>41</v>
      </c>
      <c r="F2100" s="23">
        <v>3</v>
      </c>
      <c r="G2100" s="152" cm="1">
        <f t="array" ref="G2100">SUM(E2100/F2100)</f>
        <v>13.6666666666667</v>
      </c>
      <c r="H2100" s="15"/>
    </row>
    <row r="2101" ht="13.65" customHeight="1">
      <c r="A2101" s="21">
        <v>19</v>
      </c>
      <c r="B2101" t="s" s="22">
        <v>414</v>
      </c>
      <c r="C2101" s="23">
        <v>1</v>
      </c>
      <c r="D2101" t="s" s="24">
        <v>116</v>
      </c>
      <c r="E2101" s="25">
        <v>5.2</v>
      </c>
      <c r="F2101" s="23">
        <v>10</v>
      </c>
      <c r="G2101" s="152" cm="1">
        <f t="array" ref="G2101">SUM(E2101/F2101)</f>
        <v>0.52</v>
      </c>
      <c r="H2101" s="15"/>
    </row>
    <row r="2102" ht="13.65" customHeight="1">
      <c r="A2102" s="21">
        <v>74</v>
      </c>
      <c r="B2102" t="s" s="22">
        <v>645</v>
      </c>
      <c r="C2102" t="s" s="24">
        <v>426</v>
      </c>
      <c r="D2102" t="s" s="24">
        <v>424</v>
      </c>
      <c r="E2102" s="25">
        <v>4.5</v>
      </c>
      <c r="F2102" s="23">
        <v>10</v>
      </c>
      <c r="G2102" s="152" cm="1">
        <f t="array" ref="G2102">SUM(E2102/F2102)</f>
        <v>0.45</v>
      </c>
      <c r="H2102" s="15"/>
    </row>
    <row r="2103" ht="13.65" customHeight="1">
      <c r="A2103" s="21">
        <v>45</v>
      </c>
      <c r="B2103" t="s" s="22">
        <v>625</v>
      </c>
      <c r="C2103" s="23">
        <v>100</v>
      </c>
      <c r="D2103" t="s" s="24">
        <v>106</v>
      </c>
      <c r="E2103" s="25">
        <v>18</v>
      </c>
      <c r="F2103" s="23">
        <v>10</v>
      </c>
      <c r="G2103" s="152" cm="1">
        <f t="array" ref="G2103">SUM(E2103/F2103)</f>
        <v>1.8</v>
      </c>
      <c r="H2103" s="15"/>
    </row>
    <row r="2104" ht="13.65" customHeight="1">
      <c r="A2104" s="21">
        <v>112</v>
      </c>
      <c r="B2104" t="s" s="22">
        <v>626</v>
      </c>
      <c r="C2104" t="s" s="24">
        <v>384</v>
      </c>
      <c r="D2104" t="s" s="24">
        <v>627</v>
      </c>
      <c r="E2104" s="25">
        <v>7</v>
      </c>
      <c r="F2104" s="23">
        <v>20</v>
      </c>
      <c r="G2104" s="152" cm="1">
        <f t="array" ref="G2104">SUM(E2104/F2104)</f>
        <v>0.35</v>
      </c>
      <c r="H2104" s="15"/>
    </row>
    <row r="2105" ht="13.65" customHeight="1">
      <c r="A2105" s="21">
        <v>80</v>
      </c>
      <c r="B2105" t="s" s="22">
        <v>646</v>
      </c>
      <c r="C2105" t="s" s="24">
        <v>412</v>
      </c>
      <c r="D2105" t="s" s="24">
        <v>401</v>
      </c>
      <c r="E2105" s="25">
        <v>46</v>
      </c>
      <c r="F2105" s="23">
        <v>30</v>
      </c>
      <c r="G2105" s="152" cm="1">
        <f t="array" ref="G2105">SUM(E2105/F2105)</f>
        <v>1.53333333333333</v>
      </c>
      <c r="H2105" s="15"/>
    </row>
    <row r="2106" ht="13.65" customHeight="1">
      <c r="A2106" s="21">
        <v>52</v>
      </c>
      <c r="B2106" t="s" s="22">
        <v>657</v>
      </c>
      <c r="C2106" t="s" s="24">
        <v>384</v>
      </c>
      <c r="D2106" t="s" s="24">
        <v>627</v>
      </c>
      <c r="E2106" s="25">
        <v>7.9</v>
      </c>
      <c r="F2106" s="23">
        <v>50</v>
      </c>
      <c r="G2106" s="152" cm="1">
        <f t="array" ref="G2106">SUM(E2106/F2106)</f>
        <v>0.158</v>
      </c>
      <c r="H2106" s="15"/>
    </row>
    <row r="2107" ht="13.65" customHeight="1">
      <c r="A2107" s="21">
        <v>14</v>
      </c>
      <c r="B2107" t="s" s="22">
        <v>647</v>
      </c>
      <c r="C2107" s="23">
        <v>6</v>
      </c>
      <c r="D2107" t="s" s="24">
        <v>279</v>
      </c>
      <c r="E2107" s="25">
        <v>14</v>
      </c>
      <c r="F2107" s="23">
        <v>6</v>
      </c>
      <c r="G2107" s="152" cm="1">
        <f t="array" ref="G2107">SUM(E2107/F2107)</f>
        <v>2.33333333333333</v>
      </c>
      <c r="H2107" s="15"/>
    </row>
    <row r="2108" ht="13.65" customHeight="1">
      <c r="A2108" s="21">
        <v>15</v>
      </c>
      <c r="B2108" t="s" s="22">
        <v>636</v>
      </c>
      <c r="C2108" s="23">
        <v>4</v>
      </c>
      <c r="D2108" t="s" s="24">
        <v>637</v>
      </c>
      <c r="E2108" s="25">
        <v>29.5</v>
      </c>
      <c r="F2108" s="23">
        <v>48</v>
      </c>
      <c r="G2108" s="152" cm="1">
        <f t="array" ref="G2108">SUM(E2108/F2108)</f>
        <v>0.614583333333333</v>
      </c>
      <c r="H2108" s="15"/>
    </row>
    <row r="2109" ht="13.65" customHeight="1">
      <c r="A2109" s="21">
        <v>20</v>
      </c>
      <c r="B2109" t="s" s="22">
        <v>628</v>
      </c>
      <c r="C2109" s="23">
        <v>1</v>
      </c>
      <c r="D2109" t="s" s="24">
        <v>629</v>
      </c>
      <c r="E2109" s="25">
        <v>7.5</v>
      </c>
      <c r="F2109" s="23">
        <v>3</v>
      </c>
      <c r="G2109" s="152" cm="1">
        <f t="array" ref="G2109">SUM(E2109/F2109)</f>
        <v>2.5</v>
      </c>
      <c r="H2109" s="15"/>
    </row>
    <row r="2110" ht="13.65" customHeight="1">
      <c r="A2110" s="21">
        <v>135</v>
      </c>
      <c r="B2110" t="s" s="22">
        <v>639</v>
      </c>
      <c r="C2110" s="23">
        <v>1</v>
      </c>
      <c r="D2110" t="s" s="24">
        <v>640</v>
      </c>
      <c r="E2110" s="25">
        <v>13.05</v>
      </c>
      <c r="F2110" s="23">
        <v>5</v>
      </c>
      <c r="G2110" s="152" cm="1">
        <f t="array" ref="G2110">SUM(E2110/F2110)</f>
        <v>2.61</v>
      </c>
      <c r="H2110" s="15"/>
    </row>
    <row r="2111" ht="13.65" customHeight="1">
      <c r="A2111" s="28"/>
      <c r="B2111" s="28"/>
      <c r="C2111" s="27"/>
      <c r="D2111" s="24"/>
      <c r="E2111" s="27"/>
      <c r="F2111" t="s" s="29">
        <v>118</v>
      </c>
      <c r="G2111" s="197" cm="1">
        <f t="array" ref="G2111">SUM(G2078:G2110)</f>
        <v>49.7217261904762</v>
      </c>
      <c r="H2111" s="15"/>
    </row>
    <row r="2112" ht="13.65" customHeight="1">
      <c r="A2112" s="129"/>
      <c r="B2112" s="129"/>
      <c r="C2112" s="129"/>
      <c r="D2112" s="129"/>
      <c r="E2112" s="129"/>
      <c r="F2112" s="31"/>
      <c r="G2112" s="31"/>
      <c r="H2112" s="293"/>
    </row>
    <row r="2113" ht="11.7" customHeight="1">
      <c r="A2113" t="s" s="167">
        <v>136</v>
      </c>
      <c r="B2113" t="s" s="167">
        <v>281</v>
      </c>
      <c r="C2113" t="s" s="167">
        <v>282</v>
      </c>
      <c r="D2113" t="s" s="168">
        <v>283</v>
      </c>
      <c r="E2113" s="169"/>
      <c r="F2113" s="170"/>
      <c r="G2113" s="171"/>
      <c r="H2113" s="171"/>
    </row>
    <row r="2114" ht="13.65" customHeight="1">
      <c r="A2114" s="23">
        <v>130</v>
      </c>
      <c r="B2114" s="172" cm="1">
        <f t="array" ref="B2114">SUM(H256)</f>
        <v>2.47496540404041</v>
      </c>
      <c r="C2114" s="172" cm="1">
        <f t="array" ref="C2114">SUM(G2111)</f>
        <v>49.7217261904762</v>
      </c>
      <c r="D2114" s="199" cm="1">
        <f t="array" ref="D2114">SUM(A2114*B2114)+(C2114)</f>
        <v>371.467228715730</v>
      </c>
      <c r="E2114" s="200"/>
      <c r="F2114" s="15"/>
      <c r="G2114" s="3"/>
      <c r="H2114" s="3"/>
    </row>
    <row r="2115" ht="13.65" customHeight="1">
      <c r="A2115" s="31"/>
      <c r="B2115" s="31"/>
      <c r="C2115" s="31"/>
      <c r="D2115" s="31"/>
      <c r="E2115" s="31"/>
      <c r="F2115" s="3"/>
      <c r="G2115" s="3"/>
      <c r="H2115" s="3"/>
    </row>
    <row r="2116" ht="13.65" customHeight="1">
      <c r="A2116" s="203"/>
      <c r="B2116" s="203"/>
      <c r="C2116" s="203"/>
      <c r="D2116" s="203"/>
      <c r="E2116" s="203"/>
      <c r="F2116" s="203"/>
      <c r="G2116" s="203"/>
      <c r="H2116" s="203"/>
    </row>
    <row r="2117" ht="13.65" customHeight="1">
      <c r="A2117" t="s" s="274">
        <v>284</v>
      </c>
      <c r="B2117" s="275"/>
      <c r="C2117" s="275"/>
      <c r="D2117" s="275"/>
      <c r="E2117" s="280"/>
      <c r="F2117" s="275"/>
      <c r="G2117" s="275"/>
      <c r="H2117" s="277"/>
    </row>
    <row r="2118" ht="13.65" customHeight="1">
      <c r="A2118" s="278"/>
      <c r="B2118" s="278"/>
      <c r="C2118" s="278"/>
      <c r="D2118" s="278"/>
      <c r="E2118" s="278"/>
      <c r="F2118" s="278"/>
      <c r="G2118" s="278"/>
      <c r="H2118" s="278"/>
    </row>
    <row r="2119" ht="13.65" customHeight="1">
      <c r="A2119" s="3"/>
      <c r="B2119" s="3"/>
      <c r="C2119" s="3"/>
      <c r="D2119" s="3"/>
      <c r="E2119" s="3"/>
      <c r="F2119" s="3"/>
      <c r="G2119" s="3"/>
      <c r="H2119" s="3"/>
    </row>
    <row r="2120" ht="13.65" customHeight="1">
      <c r="A2120" t="s" s="5">
        <v>658</v>
      </c>
      <c r="B2120" s="3"/>
      <c r="C2120" s="3"/>
      <c r="D2120" s="3"/>
      <c r="E2120" s="3"/>
      <c r="F2120" s="3"/>
      <c r="G2120" s="3"/>
      <c r="H2120" s="3"/>
    </row>
    <row r="2121" ht="13.65" customHeight="1">
      <c r="A2121" s="11"/>
      <c r="B2121" s="11"/>
      <c r="C2121" s="11"/>
      <c r="D2121" s="11"/>
      <c r="E2121" s="11"/>
      <c r="F2121" s="11"/>
      <c r="G2121" s="11"/>
      <c r="H2121" s="3"/>
    </row>
    <row r="2122" ht="13.65" customHeight="1">
      <c r="A2122" s="12"/>
      <c r="B2122" s="12"/>
      <c r="C2122" s="13"/>
      <c r="D2122" s="14"/>
      <c r="E2122" s="13"/>
      <c r="F2122" s="13"/>
      <c r="G2122" t="s" s="14">
        <v>252</v>
      </c>
      <c r="H2122" s="150"/>
    </row>
    <row r="2123" ht="13.65" customHeight="1">
      <c r="A2123" t="s" s="16">
        <v>93</v>
      </c>
      <c r="B2123" t="s" s="16">
        <v>94</v>
      </c>
      <c r="C2123" t="s" s="16">
        <v>95</v>
      </c>
      <c r="D2123" t="s" s="16">
        <v>96</v>
      </c>
      <c r="E2123" t="s" s="16">
        <v>97</v>
      </c>
      <c r="F2123" t="s" s="16">
        <v>98</v>
      </c>
      <c r="G2123" t="s" s="16">
        <v>99</v>
      </c>
      <c r="H2123" s="15"/>
    </row>
    <row r="2124" ht="13.65" customHeight="1">
      <c r="A2124" s="151"/>
      <c r="B2124" s="151"/>
      <c r="C2124" s="19"/>
      <c r="D2124" s="20"/>
      <c r="E2124" s="19"/>
      <c r="F2124" s="19"/>
      <c r="G2124" t="s" s="20">
        <v>100</v>
      </c>
      <c r="H2124" s="15"/>
    </row>
    <row r="2125" ht="13.65" customHeight="1">
      <c r="A2125" s="21">
        <v>72</v>
      </c>
      <c r="B2125" t="s" s="22">
        <v>101</v>
      </c>
      <c r="C2125" s="23">
        <v>50</v>
      </c>
      <c r="D2125" t="s" s="24">
        <v>608</v>
      </c>
      <c r="E2125" s="25">
        <v>1.93</v>
      </c>
      <c r="F2125" s="23">
        <v>6.25</v>
      </c>
      <c r="G2125" s="152" cm="1">
        <f t="array" ref="G2125">SUM(E2125/F2125)</f>
        <v>0.3088</v>
      </c>
      <c r="H2125" s="15"/>
    </row>
    <row r="2126" ht="13.65" customHeight="1">
      <c r="A2126" s="21">
        <v>123</v>
      </c>
      <c r="B2126" t="s" s="22">
        <v>103</v>
      </c>
      <c r="C2126" s="23">
        <v>40</v>
      </c>
      <c r="D2126" t="s" s="24">
        <v>274</v>
      </c>
      <c r="E2126" s="25">
        <v>3.2</v>
      </c>
      <c r="F2126" s="23">
        <v>10</v>
      </c>
      <c r="G2126" s="152" cm="1">
        <f t="array" ref="G2126">SUM(E2126/F2126)</f>
        <v>0.32</v>
      </c>
      <c r="H2126" s="15"/>
    </row>
    <row r="2127" ht="13.65" customHeight="1">
      <c r="A2127" s="21">
        <v>65</v>
      </c>
      <c r="B2127" t="s" s="22">
        <v>394</v>
      </c>
      <c r="C2127" s="23">
        <v>500</v>
      </c>
      <c r="D2127" t="s" s="24">
        <v>274</v>
      </c>
      <c r="E2127" s="25">
        <v>26</v>
      </c>
      <c r="F2127" s="23">
        <v>125</v>
      </c>
      <c r="G2127" s="152" cm="1">
        <f t="array" ref="G2127">SUM(E2127/F2127)</f>
        <v>0.208</v>
      </c>
      <c r="H2127" s="15"/>
    </row>
    <row r="2128" ht="13.65" customHeight="1">
      <c r="A2128" s="21">
        <v>86</v>
      </c>
      <c r="B2128" t="s" s="22">
        <v>107</v>
      </c>
      <c r="C2128" t="s" s="24">
        <v>108</v>
      </c>
      <c r="D2128" t="s" s="24">
        <v>608</v>
      </c>
      <c r="E2128" s="25">
        <v>0.32</v>
      </c>
      <c r="F2128" t="s" s="24">
        <v>650</v>
      </c>
      <c r="G2128" s="152" cm="1">
        <f t="array" ref="G2128">SUM(E2128*8)</f>
        <v>2.56</v>
      </c>
      <c r="H2128" s="15"/>
    </row>
    <row r="2129" ht="13.65" customHeight="1">
      <c r="A2129" s="21">
        <v>71</v>
      </c>
      <c r="B2129" t="s" s="22">
        <v>109</v>
      </c>
      <c r="C2129" s="23">
        <v>10</v>
      </c>
      <c r="D2129" t="s" s="24">
        <v>608</v>
      </c>
      <c r="E2129" s="25">
        <v>5.92</v>
      </c>
      <c r="F2129" s="23">
        <v>1.25</v>
      </c>
      <c r="G2129" s="152" cm="1">
        <f t="array" ref="G2129">SUM(E2129/F2129)</f>
        <v>4.736</v>
      </c>
      <c r="H2129" s="15"/>
    </row>
    <row r="2130" ht="13.65" customHeight="1">
      <c r="A2130" s="21">
        <v>87</v>
      </c>
      <c r="B2130" t="s" s="22">
        <v>110</v>
      </c>
      <c r="C2130" s="23">
        <v>50</v>
      </c>
      <c r="D2130" t="s" s="24">
        <v>608</v>
      </c>
      <c r="E2130" s="25">
        <v>9</v>
      </c>
      <c r="F2130" s="23">
        <v>6.25</v>
      </c>
      <c r="G2130" s="152" cm="1">
        <f t="array" ref="G2130">SUM(E2130/F2130)</f>
        <v>1.44</v>
      </c>
      <c r="H2130" s="15"/>
    </row>
    <row r="2131" ht="13.65" customHeight="1">
      <c r="A2131" s="21">
        <v>55</v>
      </c>
      <c r="B2131" t="s" s="22">
        <v>111</v>
      </c>
      <c r="C2131" t="s" s="24">
        <v>112</v>
      </c>
      <c r="D2131" t="s" s="24">
        <v>651</v>
      </c>
      <c r="E2131" s="25">
        <v>2.71</v>
      </c>
      <c r="F2131" s="23">
        <v>19</v>
      </c>
      <c r="G2131" s="152" cm="1">
        <f t="array" ref="G2131">SUM(E2131/F2131)</f>
        <v>0.142631578947368</v>
      </c>
      <c r="H2131" s="15"/>
    </row>
    <row r="2132" ht="13.65" customHeight="1">
      <c r="A2132" s="21">
        <v>10</v>
      </c>
      <c r="B2132" t="s" s="22">
        <v>395</v>
      </c>
      <c r="C2132" t="s" s="24">
        <v>396</v>
      </c>
      <c r="D2132" t="s" s="24">
        <v>401</v>
      </c>
      <c r="E2132" s="25">
        <v>3.92</v>
      </c>
      <c r="F2132" s="23">
        <v>30</v>
      </c>
      <c r="G2132" s="152" cm="1">
        <f t="array" ref="G2132">SUM(E2132/F2132)</f>
        <v>0.130666666666667</v>
      </c>
      <c r="H2132" s="15"/>
    </row>
    <row r="2133" ht="13.65" customHeight="1">
      <c r="A2133" s="21">
        <v>9</v>
      </c>
      <c r="B2133" t="s" s="22">
        <v>398</v>
      </c>
      <c r="C2133" s="23">
        <v>50</v>
      </c>
      <c r="D2133" t="s" s="24">
        <v>256</v>
      </c>
      <c r="E2133" s="25">
        <v>14</v>
      </c>
      <c r="F2133" s="23">
        <v>16.67</v>
      </c>
      <c r="G2133" s="152" cm="1">
        <f t="array" ref="G2133">SUM(E2133/F2133)</f>
        <v>0.839832033593281</v>
      </c>
      <c r="H2133" s="15"/>
    </row>
    <row r="2134" ht="13.65" customHeight="1">
      <c r="A2134" s="21">
        <v>6</v>
      </c>
      <c r="B2134" t="s" s="22">
        <v>399</v>
      </c>
      <c r="C2134" s="23">
        <v>100</v>
      </c>
      <c r="D2134" t="s" s="24">
        <v>256</v>
      </c>
      <c r="E2134" s="25">
        <v>19</v>
      </c>
      <c r="F2134" s="23">
        <v>33.3</v>
      </c>
      <c r="G2134" s="152" cm="1">
        <f t="array" ref="G2134">SUM(E2134/F2134)</f>
        <v>0.570570570570571</v>
      </c>
      <c r="H2134" s="15"/>
    </row>
    <row r="2135" ht="13.65" customHeight="1">
      <c r="A2135" s="21">
        <v>79</v>
      </c>
      <c r="B2135" t="s" s="22">
        <v>439</v>
      </c>
      <c r="C2135" s="23">
        <v>20</v>
      </c>
      <c r="D2135" t="s" s="24">
        <v>256</v>
      </c>
      <c r="E2135" s="25">
        <v>25</v>
      </c>
      <c r="F2135" s="23">
        <v>6</v>
      </c>
      <c r="G2135" s="152" cm="1">
        <f t="array" ref="G2135">SUM(E2135/F2135)</f>
        <v>4.16666666666667</v>
      </c>
      <c r="H2135" s="15"/>
    </row>
    <row r="2136" ht="13.65" customHeight="1">
      <c r="A2136" s="21">
        <v>85</v>
      </c>
      <c r="B2136" t="s" s="22">
        <v>463</v>
      </c>
      <c r="C2136" t="s" s="24">
        <v>464</v>
      </c>
      <c r="D2136" t="s" s="24">
        <v>643</v>
      </c>
      <c r="E2136" s="25">
        <v>4.82</v>
      </c>
      <c r="F2136" s="23">
        <v>6</v>
      </c>
      <c r="G2136" s="152" cm="1">
        <f t="array" ref="G2136">SUM(E2136/F2136)</f>
        <v>0.803333333333333</v>
      </c>
      <c r="H2136" s="15"/>
    </row>
    <row r="2137" ht="13.65" customHeight="1">
      <c r="A2137" s="21">
        <v>97</v>
      </c>
      <c r="B2137" t="s" s="22">
        <v>465</v>
      </c>
      <c r="C2137" s="23">
        <v>120</v>
      </c>
      <c r="D2137" t="s" s="24">
        <v>261</v>
      </c>
      <c r="E2137" s="25">
        <v>10.5</v>
      </c>
      <c r="F2137" s="23">
        <v>6</v>
      </c>
      <c r="G2137" s="152" cm="1">
        <f t="array" ref="G2137">SUM(E2137/F2137)</f>
        <v>1.75</v>
      </c>
      <c r="H2137" s="15"/>
    </row>
    <row r="2138" ht="13.65" customHeight="1">
      <c r="A2138" s="21">
        <v>38</v>
      </c>
      <c r="B2138" t="s" s="22">
        <v>618</v>
      </c>
      <c r="C2138" s="23">
        <v>120</v>
      </c>
      <c r="D2138" t="s" s="24">
        <v>102</v>
      </c>
      <c r="E2138" s="25">
        <v>26</v>
      </c>
      <c r="F2138" s="23">
        <v>60</v>
      </c>
      <c r="G2138" s="152" cm="1">
        <f t="array" ref="G2138">SUM(E2138/F2138)</f>
        <v>0.433333333333333</v>
      </c>
      <c r="H2138" s="15"/>
    </row>
    <row r="2139" ht="13.65" customHeight="1">
      <c r="A2139" s="21">
        <v>39</v>
      </c>
      <c r="B2139" t="s" s="22">
        <v>619</v>
      </c>
      <c r="C2139" s="23">
        <v>150</v>
      </c>
      <c r="D2139" t="s" s="24">
        <v>608</v>
      </c>
      <c r="E2139" s="25">
        <v>26</v>
      </c>
      <c r="F2139" s="23">
        <v>19</v>
      </c>
      <c r="G2139" s="152" cm="1">
        <f t="array" ref="G2139">SUM(E2139/F2139)</f>
        <v>1.36842105263158</v>
      </c>
      <c r="H2139" s="15"/>
    </row>
    <row r="2140" ht="13.65" customHeight="1">
      <c r="A2140" s="21">
        <v>33</v>
      </c>
      <c r="B2140" t="s" s="22">
        <v>620</v>
      </c>
      <c r="C2140" t="s" s="24">
        <v>396</v>
      </c>
      <c r="D2140" t="s" s="24">
        <v>424</v>
      </c>
      <c r="E2140" s="25">
        <v>26</v>
      </c>
      <c r="F2140" s="23">
        <v>12</v>
      </c>
      <c r="G2140" s="152" cm="1">
        <f t="array" ref="G2140">SUM(E2140/F2140)</f>
        <v>2.16666666666667</v>
      </c>
      <c r="H2140" s="15"/>
    </row>
    <row r="2141" ht="13.65" customHeight="1">
      <c r="A2141" s="21">
        <v>34</v>
      </c>
      <c r="B2141" t="s" s="22">
        <v>456</v>
      </c>
      <c r="C2141" t="s" s="24">
        <v>455</v>
      </c>
      <c r="D2141" t="s" s="24">
        <v>424</v>
      </c>
      <c r="E2141" s="25">
        <v>63</v>
      </c>
      <c r="F2141" s="23">
        <v>50</v>
      </c>
      <c r="G2141" s="152" cm="1">
        <f t="array" ref="G2141">SUM(E2141/F2141)</f>
        <v>1.26</v>
      </c>
      <c r="H2141" s="15"/>
    </row>
    <row r="2142" ht="13.65" customHeight="1">
      <c r="A2142" s="21">
        <v>73</v>
      </c>
      <c r="B2142" t="s" s="22">
        <v>621</v>
      </c>
      <c r="C2142" t="s" s="24">
        <v>432</v>
      </c>
      <c r="D2142" t="s" s="24">
        <v>408</v>
      </c>
      <c r="E2142" s="25">
        <v>13.5</v>
      </c>
      <c r="F2142" s="23">
        <v>14</v>
      </c>
      <c r="G2142" s="152" cm="1">
        <f t="array" ref="G2142">SUM(E2142/F2142)</f>
        <v>0.964285714285714</v>
      </c>
      <c r="H2142" s="15"/>
    </row>
    <row r="2143" ht="13.65" customHeight="1">
      <c r="A2143" s="21">
        <v>119</v>
      </c>
      <c r="B2143" t="s" s="22">
        <v>467</v>
      </c>
      <c r="C2143" s="23">
        <v>2</v>
      </c>
      <c r="D2143" t="s" s="24">
        <v>468</v>
      </c>
      <c r="E2143" s="25">
        <v>0.45</v>
      </c>
      <c r="F2143" t="s" s="24">
        <v>387</v>
      </c>
      <c r="G2143" s="152" cm="1">
        <f t="array" ref="G2143">SUM(E2143*2)</f>
        <v>0.9</v>
      </c>
      <c r="H2143" s="15"/>
    </row>
    <row r="2144" ht="13.65" customHeight="1">
      <c r="A2144" s="21">
        <v>82</v>
      </c>
      <c r="B2144" t="s" s="22">
        <v>622</v>
      </c>
      <c r="C2144" s="23">
        <v>6</v>
      </c>
      <c r="D2144" t="s" s="24">
        <v>256</v>
      </c>
      <c r="E2144" s="25">
        <v>41</v>
      </c>
      <c r="F2144" s="23">
        <v>2</v>
      </c>
      <c r="G2144" s="152" cm="1">
        <f t="array" ref="G2144">SUM(E2144/F2144)</f>
        <v>20.5</v>
      </c>
      <c r="H2144" s="15"/>
    </row>
    <row r="2145" ht="13.65" customHeight="1">
      <c r="A2145" s="21">
        <v>19</v>
      </c>
      <c r="B2145" t="s" s="22">
        <v>437</v>
      </c>
      <c r="C2145" s="23">
        <v>1</v>
      </c>
      <c r="D2145" t="s" s="24">
        <v>116</v>
      </c>
      <c r="E2145" s="25">
        <v>5.2</v>
      </c>
      <c r="F2145" s="23">
        <v>10</v>
      </c>
      <c r="G2145" s="152" cm="1">
        <f t="array" ref="G2145">SUM(E2145/F2145)</f>
        <v>0.52</v>
      </c>
      <c r="H2145" s="15"/>
    </row>
    <row r="2146" ht="13.65" customHeight="1">
      <c r="A2146" s="21">
        <v>74</v>
      </c>
      <c r="B2146" t="s" s="22">
        <v>623</v>
      </c>
      <c r="C2146" t="s" s="24">
        <v>426</v>
      </c>
      <c r="D2146" t="s" s="24">
        <v>624</v>
      </c>
      <c r="E2146" s="25">
        <v>4.5</v>
      </c>
      <c r="F2146" s="23">
        <v>20</v>
      </c>
      <c r="G2146" s="152" cm="1">
        <f t="array" ref="G2146">SUM(E2146/F2146)</f>
        <v>0.225</v>
      </c>
      <c r="H2146" s="15"/>
    </row>
    <row r="2147" ht="13.65" customHeight="1">
      <c r="A2147" s="21">
        <v>54</v>
      </c>
      <c r="B2147" t="s" s="22">
        <v>360</v>
      </c>
      <c r="C2147" s="23">
        <v>150</v>
      </c>
      <c r="D2147" t="s" s="24">
        <v>405</v>
      </c>
      <c r="E2147" s="25">
        <v>118</v>
      </c>
      <c r="F2147" s="23">
        <v>25</v>
      </c>
      <c r="G2147" s="152" cm="1">
        <f t="array" ref="G2147">SUM(E2147/F2147)</f>
        <v>4.72</v>
      </c>
      <c r="H2147" s="15"/>
    </row>
    <row r="2148" ht="13.65" customHeight="1">
      <c r="A2148" s="21">
        <v>115</v>
      </c>
      <c r="B2148" t="s" s="22">
        <v>631</v>
      </c>
      <c r="C2148" t="s" s="24">
        <v>632</v>
      </c>
      <c r="D2148" t="s" s="24">
        <v>648</v>
      </c>
      <c r="E2148" s="25">
        <v>4.5</v>
      </c>
      <c r="F2148" s="23">
        <v>15</v>
      </c>
      <c r="G2148" s="152" cm="1">
        <f t="array" ref="G2148">SUM(E2148/F2148)</f>
        <v>0.3</v>
      </c>
      <c r="H2148" s="15"/>
    </row>
    <row r="2149" ht="13.65" customHeight="1">
      <c r="A2149" s="21">
        <v>60</v>
      </c>
      <c r="B2149" t="s" s="22">
        <v>634</v>
      </c>
      <c r="C2149" t="s" s="24">
        <v>632</v>
      </c>
      <c r="D2149" t="s" s="24">
        <v>648</v>
      </c>
      <c r="E2149" s="25">
        <v>4.5</v>
      </c>
      <c r="F2149" s="23">
        <v>15</v>
      </c>
      <c r="G2149" s="152" cm="1">
        <f t="array" ref="G2149">SUM(E2149/F2149)</f>
        <v>0.3</v>
      </c>
      <c r="H2149" s="15"/>
    </row>
    <row r="2150" ht="13.65" customHeight="1">
      <c r="A2150" s="21">
        <v>45</v>
      </c>
      <c r="B2150" t="s" s="22">
        <v>625</v>
      </c>
      <c r="C2150" s="23">
        <v>100</v>
      </c>
      <c r="D2150" t="s" s="24">
        <v>106</v>
      </c>
      <c r="E2150" s="25">
        <v>18</v>
      </c>
      <c r="F2150" s="23">
        <v>10</v>
      </c>
      <c r="G2150" s="152" cm="1">
        <f t="array" ref="G2150">SUM(E2150/F2150)</f>
        <v>1.8</v>
      </c>
      <c r="H2150" s="15"/>
    </row>
    <row r="2151" ht="13.65" customHeight="1">
      <c r="A2151" s="21">
        <v>112</v>
      </c>
      <c r="B2151" t="s" s="22">
        <v>626</v>
      </c>
      <c r="C2151" t="s" s="24">
        <v>384</v>
      </c>
      <c r="D2151" t="s" s="24">
        <v>627</v>
      </c>
      <c r="E2151" s="25">
        <v>7</v>
      </c>
      <c r="F2151" s="23">
        <v>20</v>
      </c>
      <c r="G2151" s="152" cm="1">
        <f t="array" ref="G2151">SUM(E2151/F2151)</f>
        <v>0.35</v>
      </c>
      <c r="H2151" s="15"/>
    </row>
    <row r="2152" ht="13.65" customHeight="1">
      <c r="A2152" s="21">
        <v>80</v>
      </c>
      <c r="B2152" t="s" s="22">
        <v>646</v>
      </c>
      <c r="C2152" s="23">
        <v>4</v>
      </c>
      <c r="D2152" t="s" s="24">
        <v>637</v>
      </c>
      <c r="E2152" s="25">
        <v>46</v>
      </c>
      <c r="F2152" s="23">
        <v>16</v>
      </c>
      <c r="G2152" s="152" cm="1">
        <f t="array" ref="G2152">SUM(E2152/F2152)</f>
        <v>2.875</v>
      </c>
      <c r="H2152" s="15"/>
    </row>
    <row r="2153" ht="13.65" customHeight="1">
      <c r="A2153" s="21">
        <v>52</v>
      </c>
      <c r="B2153" t="s" s="22">
        <v>657</v>
      </c>
      <c r="C2153" t="s" s="24">
        <v>384</v>
      </c>
      <c r="D2153" t="s" s="24">
        <v>659</v>
      </c>
      <c r="E2153" s="25">
        <v>7.9</v>
      </c>
      <c r="F2153" s="23">
        <v>13.34</v>
      </c>
      <c r="G2153" s="152" cm="1">
        <f t="array" ref="G2153">SUM(E2153/F2153)</f>
        <v>0.592203898050975</v>
      </c>
      <c r="H2153" s="15"/>
    </row>
    <row r="2154" ht="13.65" customHeight="1">
      <c r="A2154" s="21">
        <v>14</v>
      </c>
      <c r="B2154" t="s" s="22">
        <v>647</v>
      </c>
      <c r="C2154" s="23">
        <v>6</v>
      </c>
      <c r="D2154" t="s" s="24">
        <v>279</v>
      </c>
      <c r="E2154" s="25">
        <v>14</v>
      </c>
      <c r="F2154" s="23">
        <v>6</v>
      </c>
      <c r="G2154" s="152" cm="1">
        <f t="array" ref="G2154">SUM(E2154/F2154)</f>
        <v>2.33333333333333</v>
      </c>
      <c r="H2154" s="15"/>
    </row>
    <row r="2155" ht="13.65" customHeight="1">
      <c r="A2155" s="21">
        <v>15</v>
      </c>
      <c r="B2155" t="s" s="22">
        <v>636</v>
      </c>
      <c r="C2155" s="23">
        <v>4</v>
      </c>
      <c r="D2155" t="s" s="24">
        <v>660</v>
      </c>
      <c r="E2155" s="25">
        <v>29.5</v>
      </c>
      <c r="F2155" s="23">
        <v>48</v>
      </c>
      <c r="G2155" s="152" cm="1">
        <f t="array" ref="G2155">SUM(E2155/F2155)</f>
        <v>0.614583333333333</v>
      </c>
      <c r="H2155" s="15"/>
    </row>
    <row r="2156" ht="13.65" customHeight="1">
      <c r="A2156" s="21">
        <v>110</v>
      </c>
      <c r="B2156" t="s" s="22">
        <v>661</v>
      </c>
      <c r="C2156" s="23">
        <v>1</v>
      </c>
      <c r="D2156" t="s" s="24">
        <v>629</v>
      </c>
      <c r="E2156" s="25">
        <v>5.2</v>
      </c>
      <c r="F2156" s="23">
        <v>3</v>
      </c>
      <c r="G2156" s="152" cm="1">
        <f t="array" ref="G2156">SUM(E2156/F2156)</f>
        <v>1.73333333333333</v>
      </c>
      <c r="H2156" s="15"/>
    </row>
    <row r="2157" ht="13.65" customHeight="1">
      <c r="A2157" s="21">
        <v>20</v>
      </c>
      <c r="B2157" t="s" s="22">
        <v>628</v>
      </c>
      <c r="C2157" s="23">
        <v>1</v>
      </c>
      <c r="D2157" t="s" s="24">
        <v>629</v>
      </c>
      <c r="E2157" s="25">
        <v>7.5</v>
      </c>
      <c r="F2157" s="23">
        <v>3</v>
      </c>
      <c r="G2157" s="152" cm="1">
        <f t="array" ref="G2157">SUM(E2157/F2157)</f>
        <v>2.5</v>
      </c>
      <c r="H2157" s="15"/>
    </row>
    <row r="2158" ht="13.65" customHeight="1">
      <c r="A2158" s="21">
        <v>135</v>
      </c>
      <c r="B2158" t="s" s="22">
        <v>639</v>
      </c>
      <c r="C2158" s="23">
        <v>1</v>
      </c>
      <c r="D2158" t="s" s="24">
        <v>640</v>
      </c>
      <c r="E2158" s="25">
        <v>13.05</v>
      </c>
      <c r="F2158" s="23">
        <v>5</v>
      </c>
      <c r="G2158" s="152" cm="1">
        <f t="array" ref="G2158">SUM(E2158/F2158)</f>
        <v>2.61</v>
      </c>
      <c r="H2158" s="15"/>
    </row>
    <row r="2159" ht="13.65" customHeight="1">
      <c r="A2159" s="28"/>
      <c r="B2159" s="28"/>
      <c r="C2159" s="27"/>
      <c r="D2159" s="24"/>
      <c r="E2159" s="27"/>
      <c r="F2159" t="s" s="29">
        <v>118</v>
      </c>
      <c r="G2159" s="197" cm="1">
        <f t="array" ref="G2159">SUM(G2125:G2158)</f>
        <v>67.0426615147462</v>
      </c>
      <c r="H2159" s="15"/>
    </row>
    <row r="2160" ht="13.65" customHeight="1">
      <c r="A2160" s="129"/>
      <c r="B2160" s="129"/>
      <c r="C2160" s="129"/>
      <c r="D2160" s="129"/>
      <c r="E2160" s="129"/>
      <c r="F2160" s="31"/>
      <c r="G2160" s="31"/>
      <c r="H2160" s="293"/>
    </row>
    <row r="2161" ht="11.7" customHeight="1">
      <c r="A2161" t="s" s="167">
        <v>136</v>
      </c>
      <c r="B2161" t="s" s="167">
        <v>281</v>
      </c>
      <c r="C2161" t="s" s="167">
        <v>282</v>
      </c>
      <c r="D2161" t="s" s="168">
        <v>283</v>
      </c>
      <c r="E2161" s="169"/>
      <c r="F2161" s="170"/>
      <c r="G2161" s="171"/>
      <c r="H2161" s="171"/>
    </row>
    <row r="2162" ht="13.65" customHeight="1">
      <c r="A2162" s="23">
        <v>180</v>
      </c>
      <c r="B2162" s="172" cm="1">
        <f t="array" ref="B2162">SUM(H256)</f>
        <v>2.47496540404041</v>
      </c>
      <c r="C2162" s="172" cm="1">
        <f t="array" ref="C2162">SUM(G2159)</f>
        <v>67.0426615147462</v>
      </c>
      <c r="D2162" s="199" cm="1">
        <f t="array" ref="D2162">SUM(A2162*B2162)+(C2162)</f>
        <v>512.5364342420201</v>
      </c>
      <c r="E2162" s="200"/>
      <c r="F2162" s="15"/>
      <c r="G2162" s="3"/>
      <c r="H2162" s="3"/>
    </row>
    <row r="2163" ht="13.65" customHeight="1">
      <c r="A2163" s="31"/>
      <c r="B2163" s="31"/>
      <c r="C2163" s="31"/>
      <c r="D2163" s="31"/>
      <c r="E2163" s="31"/>
      <c r="F2163" s="3"/>
      <c r="G2163" s="3"/>
      <c r="H2163" s="3"/>
    </row>
    <row r="2164" ht="13.65" customHeight="1">
      <c r="A2164" s="203"/>
      <c r="B2164" s="203"/>
      <c r="C2164" s="203"/>
      <c r="D2164" s="203"/>
      <c r="E2164" s="203"/>
      <c r="F2164" s="203"/>
      <c r="G2164" s="203"/>
      <c r="H2164" s="203"/>
    </row>
    <row r="2165" ht="13.65" customHeight="1">
      <c r="A2165" t="s" s="274">
        <v>185</v>
      </c>
      <c r="B2165" s="275"/>
      <c r="C2165" s="275"/>
      <c r="D2165" s="275"/>
      <c r="E2165" s="280"/>
      <c r="F2165" s="275"/>
      <c r="G2165" s="275"/>
      <c r="H2165" s="277"/>
    </row>
    <row r="2166" ht="13.65" customHeight="1">
      <c r="A2166" s="278"/>
      <c r="B2166" s="278"/>
      <c r="C2166" s="278"/>
      <c r="D2166" s="278"/>
      <c r="E2166" s="278"/>
      <c r="F2166" s="278"/>
      <c r="G2166" s="278"/>
      <c r="H2166" s="278"/>
    </row>
    <row r="2167" ht="13.65" customHeight="1">
      <c r="A2167" s="3"/>
      <c r="B2167" s="3"/>
      <c r="C2167" s="3"/>
      <c r="D2167" s="3"/>
      <c r="E2167" s="3"/>
      <c r="F2167" s="3"/>
      <c r="G2167" s="3"/>
      <c r="H2167" s="3"/>
    </row>
    <row r="2168" ht="13.65" customHeight="1">
      <c r="A2168" t="s" s="5">
        <v>662</v>
      </c>
      <c r="B2168" s="3"/>
      <c r="C2168" s="3"/>
      <c r="D2168" s="3"/>
      <c r="E2168" s="3"/>
      <c r="F2168" s="3"/>
      <c r="G2168" s="3"/>
      <c r="H2168" s="3"/>
    </row>
    <row r="2169" ht="13.65" customHeight="1">
      <c r="A2169" s="11"/>
      <c r="B2169" s="11"/>
      <c r="C2169" s="11"/>
      <c r="D2169" s="11"/>
      <c r="E2169" s="11"/>
      <c r="F2169" s="11"/>
      <c r="G2169" s="11"/>
      <c r="H2169" s="3"/>
    </row>
    <row r="2170" ht="13.65" customHeight="1">
      <c r="A2170" s="12"/>
      <c r="B2170" s="12"/>
      <c r="C2170" s="13"/>
      <c r="D2170" s="14"/>
      <c r="E2170" s="13"/>
      <c r="F2170" s="13"/>
      <c r="G2170" t="s" s="14">
        <v>252</v>
      </c>
      <c r="H2170" s="150"/>
    </row>
    <row r="2171" ht="13.65" customHeight="1">
      <c r="A2171" t="s" s="16">
        <v>93</v>
      </c>
      <c r="B2171" t="s" s="16">
        <v>94</v>
      </c>
      <c r="C2171" t="s" s="16">
        <v>95</v>
      </c>
      <c r="D2171" t="s" s="16">
        <v>96</v>
      </c>
      <c r="E2171" t="s" s="16">
        <v>97</v>
      </c>
      <c r="F2171" t="s" s="16">
        <v>98</v>
      </c>
      <c r="G2171" t="s" s="16">
        <v>99</v>
      </c>
      <c r="H2171" s="15"/>
    </row>
    <row r="2172" ht="13.65" customHeight="1">
      <c r="A2172" s="151"/>
      <c r="B2172" s="151"/>
      <c r="C2172" s="19"/>
      <c r="D2172" s="20"/>
      <c r="E2172" s="19"/>
      <c r="F2172" s="19"/>
      <c r="G2172" t="s" s="20">
        <v>100</v>
      </c>
      <c r="H2172" s="15"/>
    </row>
    <row r="2173" ht="13.65" customHeight="1">
      <c r="A2173" s="21">
        <v>72</v>
      </c>
      <c r="B2173" t="s" s="22">
        <v>101</v>
      </c>
      <c r="C2173" s="23">
        <v>50</v>
      </c>
      <c r="D2173" t="s" s="24">
        <v>608</v>
      </c>
      <c r="E2173" s="25">
        <v>1.93</v>
      </c>
      <c r="F2173" s="23">
        <v>6.25</v>
      </c>
      <c r="G2173" s="152" cm="1">
        <f t="array" ref="G2173">SUM(E2173/F2173)</f>
        <v>0.3088</v>
      </c>
      <c r="H2173" s="15"/>
    </row>
    <row r="2174" ht="13.65" customHeight="1">
      <c r="A2174" s="21">
        <v>123</v>
      </c>
      <c r="B2174" t="s" s="22">
        <v>103</v>
      </c>
      <c r="C2174" s="23">
        <v>40</v>
      </c>
      <c r="D2174" t="s" s="24">
        <v>274</v>
      </c>
      <c r="E2174" s="25">
        <v>3.2</v>
      </c>
      <c r="F2174" s="23">
        <v>10</v>
      </c>
      <c r="G2174" s="152" cm="1">
        <f t="array" ref="G2174">SUM(E2174/F2174)</f>
        <v>0.32</v>
      </c>
      <c r="H2174" s="15"/>
    </row>
    <row r="2175" ht="13.65" customHeight="1">
      <c r="A2175" s="21">
        <v>65</v>
      </c>
      <c r="B2175" t="s" s="22">
        <v>394</v>
      </c>
      <c r="C2175" s="23">
        <v>500</v>
      </c>
      <c r="D2175" t="s" s="24">
        <v>274</v>
      </c>
      <c r="E2175" s="25">
        <v>26</v>
      </c>
      <c r="F2175" s="23">
        <v>125</v>
      </c>
      <c r="G2175" s="152" cm="1">
        <f t="array" ref="G2175">SUM(E2175/F2175)</f>
        <v>0.208</v>
      </c>
      <c r="H2175" s="15"/>
    </row>
    <row r="2176" ht="13.65" customHeight="1">
      <c r="A2176" s="21">
        <v>86</v>
      </c>
      <c r="B2176" t="s" s="22">
        <v>107</v>
      </c>
      <c r="C2176" t="s" s="24">
        <v>108</v>
      </c>
      <c r="D2176" t="s" s="24">
        <v>608</v>
      </c>
      <c r="E2176" s="25">
        <v>0.32</v>
      </c>
      <c r="F2176" t="s" s="24">
        <v>650</v>
      </c>
      <c r="G2176" s="152" cm="1">
        <f t="array" ref="G2176">SUM(E2176*8)</f>
        <v>2.56</v>
      </c>
      <c r="H2176" s="15"/>
    </row>
    <row r="2177" ht="13.65" customHeight="1">
      <c r="A2177" s="21">
        <v>71</v>
      </c>
      <c r="B2177" t="s" s="22">
        <v>109</v>
      </c>
      <c r="C2177" s="23">
        <v>10</v>
      </c>
      <c r="D2177" t="s" s="24">
        <v>608</v>
      </c>
      <c r="E2177" s="25">
        <v>5.92</v>
      </c>
      <c r="F2177" s="23">
        <v>1.25</v>
      </c>
      <c r="G2177" s="152" cm="1">
        <f t="array" ref="G2177">SUM(E2177/F2177)</f>
        <v>4.736</v>
      </c>
      <c r="H2177" s="15"/>
    </row>
    <row r="2178" ht="13.65" customHeight="1">
      <c r="A2178" s="21">
        <v>87</v>
      </c>
      <c r="B2178" t="s" s="22">
        <v>110</v>
      </c>
      <c r="C2178" s="23">
        <v>50</v>
      </c>
      <c r="D2178" t="s" s="24">
        <v>608</v>
      </c>
      <c r="E2178" s="25">
        <v>9</v>
      </c>
      <c r="F2178" s="23">
        <v>6.25</v>
      </c>
      <c r="G2178" s="152" cm="1">
        <f t="array" ref="G2178">SUM(E2178/F2178)</f>
        <v>1.44</v>
      </c>
      <c r="H2178" s="15"/>
    </row>
    <row r="2179" ht="13.65" customHeight="1">
      <c r="A2179" s="21">
        <v>55</v>
      </c>
      <c r="B2179" t="s" s="22">
        <v>111</v>
      </c>
      <c r="C2179" t="s" s="24">
        <v>112</v>
      </c>
      <c r="D2179" t="s" s="24">
        <v>651</v>
      </c>
      <c r="E2179" s="25">
        <v>2.71</v>
      </c>
      <c r="F2179" s="23">
        <v>19</v>
      </c>
      <c r="G2179" s="152" cm="1">
        <f t="array" ref="G2179">SUM(E2179/F2179)</f>
        <v>0.142631578947368</v>
      </c>
      <c r="H2179" s="15"/>
    </row>
    <row r="2180" ht="13.65" customHeight="1">
      <c r="A2180" s="21">
        <v>54</v>
      </c>
      <c r="B2180" t="s" s="22">
        <v>360</v>
      </c>
      <c r="C2180" s="23">
        <v>150</v>
      </c>
      <c r="D2180" t="s" s="24">
        <v>405</v>
      </c>
      <c r="E2180" s="25">
        <v>118</v>
      </c>
      <c r="F2180" s="23">
        <v>25</v>
      </c>
      <c r="G2180" s="152" cm="1">
        <f t="array" ref="G2180">SUM(E2180/F2180)</f>
        <v>4.72</v>
      </c>
      <c r="H2180" s="15"/>
    </row>
    <row r="2181" ht="13.65" customHeight="1">
      <c r="A2181" s="21">
        <v>115</v>
      </c>
      <c r="B2181" t="s" s="22">
        <v>631</v>
      </c>
      <c r="C2181" t="s" s="24">
        <v>632</v>
      </c>
      <c r="D2181" t="s" s="24">
        <v>648</v>
      </c>
      <c r="E2181" s="25">
        <v>4.5</v>
      </c>
      <c r="F2181" s="23">
        <v>15</v>
      </c>
      <c r="G2181" s="152" cm="1">
        <f t="array" ref="G2181">SUM(E2181/F2181)</f>
        <v>0.3</v>
      </c>
      <c r="H2181" s="15"/>
    </row>
    <row r="2182" ht="13.65" customHeight="1">
      <c r="A2182" s="21">
        <v>60</v>
      </c>
      <c r="B2182" t="s" s="22">
        <v>634</v>
      </c>
      <c r="C2182" t="s" s="24">
        <v>632</v>
      </c>
      <c r="D2182" t="s" s="24">
        <v>648</v>
      </c>
      <c r="E2182" s="25">
        <v>4.5</v>
      </c>
      <c r="F2182" s="23">
        <v>15</v>
      </c>
      <c r="G2182" s="152" cm="1">
        <f t="array" ref="G2182">SUM(E2182/F2182)</f>
        <v>0.3</v>
      </c>
      <c r="H2182" s="15"/>
    </row>
    <row r="2183" ht="13.65" customHeight="1">
      <c r="A2183" s="21">
        <v>10</v>
      </c>
      <c r="B2183" t="s" s="22">
        <v>395</v>
      </c>
      <c r="C2183" t="s" s="24">
        <v>396</v>
      </c>
      <c r="D2183" t="s" s="24">
        <v>401</v>
      </c>
      <c r="E2183" s="25">
        <v>3.92</v>
      </c>
      <c r="F2183" s="23">
        <v>30</v>
      </c>
      <c r="G2183" s="152" cm="1">
        <f t="array" ref="G2183">SUM(E2183/F2183)</f>
        <v>0.130666666666667</v>
      </c>
      <c r="H2183" s="15"/>
    </row>
    <row r="2184" ht="13.65" customHeight="1">
      <c r="A2184" s="21">
        <v>9</v>
      </c>
      <c r="B2184" t="s" s="22">
        <v>398</v>
      </c>
      <c r="C2184" s="23">
        <v>50</v>
      </c>
      <c r="D2184" t="s" s="24">
        <v>274</v>
      </c>
      <c r="E2184" s="25">
        <v>14</v>
      </c>
      <c r="F2184" s="23">
        <v>12.5</v>
      </c>
      <c r="G2184" s="152" cm="1">
        <f t="array" ref="G2184">SUM(E2184/F2184)</f>
        <v>1.12</v>
      </c>
      <c r="H2184" s="15"/>
    </row>
    <row r="2185" ht="13.65" customHeight="1">
      <c r="A2185" s="21">
        <v>6</v>
      </c>
      <c r="B2185" t="s" s="22">
        <v>399</v>
      </c>
      <c r="C2185" s="23">
        <v>100</v>
      </c>
      <c r="D2185" t="s" s="24">
        <v>274</v>
      </c>
      <c r="E2185" s="25">
        <v>19</v>
      </c>
      <c r="F2185" s="23">
        <v>25</v>
      </c>
      <c r="G2185" s="152" cm="1">
        <f t="array" ref="G2185">SUM(E2185/F2185)</f>
        <v>0.76</v>
      </c>
      <c r="H2185" s="15"/>
    </row>
    <row r="2186" ht="13.65" customHeight="1">
      <c r="A2186" s="21">
        <v>79</v>
      </c>
      <c r="B2186" t="s" s="22">
        <v>439</v>
      </c>
      <c r="C2186" s="23">
        <v>20</v>
      </c>
      <c r="D2186" t="s" s="24">
        <v>274</v>
      </c>
      <c r="E2186" s="25">
        <v>25</v>
      </c>
      <c r="F2186" s="23">
        <v>5</v>
      </c>
      <c r="G2186" s="152" cm="1">
        <f t="array" ref="G2186">SUM(E2186/F2186)</f>
        <v>5</v>
      </c>
      <c r="H2186" s="15"/>
    </row>
    <row r="2187" ht="13.65" customHeight="1">
      <c r="A2187" s="21">
        <v>85</v>
      </c>
      <c r="B2187" t="s" s="22">
        <v>463</v>
      </c>
      <c r="C2187" t="s" s="24">
        <v>464</v>
      </c>
      <c r="D2187" t="s" s="24">
        <v>652</v>
      </c>
      <c r="E2187" s="25">
        <v>4.82</v>
      </c>
      <c r="F2187" s="23">
        <v>5</v>
      </c>
      <c r="G2187" s="152" cm="1">
        <f t="array" ref="G2187">SUM(E2187/F2187)</f>
        <v>0.964</v>
      </c>
      <c r="H2187" s="15"/>
    </row>
    <row r="2188" ht="13.65" customHeight="1">
      <c r="A2188" s="21">
        <v>97</v>
      </c>
      <c r="B2188" t="s" s="22">
        <v>465</v>
      </c>
      <c r="C2188" s="23">
        <v>120</v>
      </c>
      <c r="D2188" t="s" s="24">
        <v>663</v>
      </c>
      <c r="E2188" s="25">
        <v>10.5</v>
      </c>
      <c r="F2188" s="23">
        <v>3</v>
      </c>
      <c r="G2188" s="152" cm="1">
        <f t="array" ref="G2188">SUM(E2188/F2188)</f>
        <v>3.5</v>
      </c>
      <c r="H2188" s="15"/>
    </row>
    <row r="2189" ht="13.65" customHeight="1">
      <c r="A2189" s="21">
        <v>38</v>
      </c>
      <c r="B2189" t="s" s="22">
        <v>618</v>
      </c>
      <c r="C2189" s="23">
        <v>120</v>
      </c>
      <c r="D2189" t="s" s="24">
        <v>274</v>
      </c>
      <c r="E2189" s="25">
        <v>26</v>
      </c>
      <c r="F2189" s="23">
        <v>30</v>
      </c>
      <c r="G2189" s="152" cm="1">
        <f t="array" ref="G2189">SUM(E2189/F2189)</f>
        <v>0.866666666666667</v>
      </c>
      <c r="H2189" s="15"/>
    </row>
    <row r="2190" ht="13.65" customHeight="1">
      <c r="A2190" s="21">
        <v>39</v>
      </c>
      <c r="B2190" t="s" s="22">
        <v>619</v>
      </c>
      <c r="C2190" s="23">
        <v>150</v>
      </c>
      <c r="D2190" t="s" s="24">
        <v>644</v>
      </c>
      <c r="E2190" s="25">
        <v>26</v>
      </c>
      <c r="F2190" s="23">
        <v>12.5</v>
      </c>
      <c r="G2190" s="152" cm="1">
        <f t="array" ref="G2190">SUM(E2190/F2190)</f>
        <v>2.08</v>
      </c>
      <c r="H2190" s="15"/>
    </row>
    <row r="2191" ht="13.65" customHeight="1">
      <c r="A2191" s="21">
        <v>33</v>
      </c>
      <c r="B2191" t="s" s="22">
        <v>620</v>
      </c>
      <c r="C2191" t="s" s="24">
        <v>396</v>
      </c>
      <c r="D2191" t="s" s="24">
        <v>408</v>
      </c>
      <c r="E2191" s="25">
        <v>26</v>
      </c>
      <c r="F2191" s="23">
        <v>6</v>
      </c>
      <c r="G2191" s="152" cm="1">
        <f t="array" ref="G2191">SUM(E2191/F2191)</f>
        <v>4.33333333333333</v>
      </c>
      <c r="H2191" s="15"/>
    </row>
    <row r="2192" ht="13.65" customHeight="1">
      <c r="A2192" s="21">
        <v>34</v>
      </c>
      <c r="B2192" t="s" s="22">
        <v>456</v>
      </c>
      <c r="C2192" t="s" s="24">
        <v>455</v>
      </c>
      <c r="D2192" t="s" s="24">
        <v>381</v>
      </c>
      <c r="E2192" s="25">
        <v>63</v>
      </c>
      <c r="F2192" s="23">
        <v>10</v>
      </c>
      <c r="G2192" s="152" cm="1">
        <f t="array" ref="G2192">SUM(E2192/F2192)</f>
        <v>6.3</v>
      </c>
      <c r="H2192" s="15"/>
    </row>
    <row r="2193" ht="13.65" customHeight="1">
      <c r="A2193" s="21">
        <v>73</v>
      </c>
      <c r="B2193" t="s" s="22">
        <v>621</v>
      </c>
      <c r="C2193" t="s" s="24">
        <v>432</v>
      </c>
      <c r="D2193" t="s" s="24">
        <v>537</v>
      </c>
      <c r="E2193" s="25">
        <v>13.5</v>
      </c>
      <c r="F2193" s="23">
        <v>7</v>
      </c>
      <c r="G2193" s="152" cm="1">
        <f t="array" ref="G2193">SUM(E2193/F2193)</f>
        <v>1.92857142857143</v>
      </c>
      <c r="H2193" s="15"/>
    </row>
    <row r="2194" ht="13.65" customHeight="1">
      <c r="A2194" s="21">
        <v>119</v>
      </c>
      <c r="B2194" t="s" s="22">
        <v>467</v>
      </c>
      <c r="C2194" s="23">
        <v>2</v>
      </c>
      <c r="D2194" t="s" s="24">
        <v>468</v>
      </c>
      <c r="E2194" s="25">
        <v>0.45</v>
      </c>
      <c r="F2194" t="s" s="24">
        <v>387</v>
      </c>
      <c r="G2194" s="152" cm="1">
        <f t="array" ref="G2194">SUM(E2194*2)</f>
        <v>0.9</v>
      </c>
      <c r="H2194" s="15"/>
    </row>
    <row r="2195" ht="13.65" customHeight="1">
      <c r="A2195" s="21">
        <v>82</v>
      </c>
      <c r="B2195" t="s" s="22">
        <v>622</v>
      </c>
      <c r="C2195" s="23">
        <v>6</v>
      </c>
      <c r="D2195" t="s" s="24">
        <v>405</v>
      </c>
      <c r="E2195" s="25">
        <v>41</v>
      </c>
      <c r="F2195" s="23">
        <v>1</v>
      </c>
      <c r="G2195" s="152" cm="1">
        <f t="array" ref="G2195">SUM(E2195/F2195)</f>
        <v>41</v>
      </c>
      <c r="H2195" s="15"/>
    </row>
    <row r="2196" ht="13.65" customHeight="1">
      <c r="A2196" s="21">
        <v>19</v>
      </c>
      <c r="B2196" t="s" s="22">
        <v>437</v>
      </c>
      <c r="C2196" s="23">
        <v>2</v>
      </c>
      <c r="D2196" t="s" s="24">
        <v>588</v>
      </c>
      <c r="E2196" s="25">
        <v>5.2</v>
      </c>
      <c r="F2196" s="23">
        <v>5</v>
      </c>
      <c r="G2196" s="152" cm="1">
        <f t="array" ref="G2196">SUM(E2196/F2196)</f>
        <v>1.04</v>
      </c>
      <c r="H2196" s="15"/>
    </row>
    <row r="2197" ht="13.65" customHeight="1">
      <c r="A2197" s="21">
        <v>74</v>
      </c>
      <c r="B2197" t="s" s="22">
        <v>623</v>
      </c>
      <c r="C2197" t="s" s="24">
        <v>426</v>
      </c>
      <c r="D2197" t="s" s="24">
        <v>424</v>
      </c>
      <c r="E2197" s="25">
        <v>4.5</v>
      </c>
      <c r="F2197" s="23">
        <v>10</v>
      </c>
      <c r="G2197" s="152" cm="1">
        <f t="array" ref="G2197">SUM(E2197/F2197)</f>
        <v>0.45</v>
      </c>
      <c r="H2197" s="15"/>
    </row>
    <row r="2198" ht="13.65" customHeight="1">
      <c r="A2198" s="21">
        <v>45</v>
      </c>
      <c r="B2198" t="s" s="22">
        <v>625</v>
      </c>
      <c r="C2198" s="23">
        <v>100</v>
      </c>
      <c r="D2198" t="s" s="24">
        <v>261</v>
      </c>
      <c r="E2198" s="25">
        <v>18</v>
      </c>
      <c r="F2198" s="23">
        <v>5</v>
      </c>
      <c r="G2198" s="152" cm="1">
        <f t="array" ref="G2198">SUM(E2198/F2198)</f>
        <v>3.6</v>
      </c>
      <c r="H2198" s="15"/>
    </row>
    <row r="2199" ht="13.65" customHeight="1">
      <c r="A2199" s="21">
        <v>112</v>
      </c>
      <c r="B2199" t="s" s="22">
        <v>626</v>
      </c>
      <c r="C2199" t="s" s="24">
        <v>384</v>
      </c>
      <c r="D2199" t="s" s="24">
        <v>627</v>
      </c>
      <c r="E2199" s="25">
        <v>7</v>
      </c>
      <c r="F2199" s="23">
        <v>20</v>
      </c>
      <c r="G2199" s="152" cm="1">
        <f t="array" ref="G2199">SUM(E2199/F2199)</f>
        <v>0.35</v>
      </c>
      <c r="H2199" s="15"/>
    </row>
    <row r="2200" ht="13.65" customHeight="1">
      <c r="A2200" s="21">
        <v>80</v>
      </c>
      <c r="B2200" t="s" s="22">
        <v>646</v>
      </c>
      <c r="C2200" s="23">
        <v>4</v>
      </c>
      <c r="D2200" t="s" s="24">
        <v>637</v>
      </c>
      <c r="E2200" s="25">
        <v>46</v>
      </c>
      <c r="F2200" s="23">
        <v>16</v>
      </c>
      <c r="G2200" s="152" cm="1">
        <f t="array" ref="G2200">SUM(E2200/F2200)</f>
        <v>2.875</v>
      </c>
      <c r="H2200" s="15"/>
    </row>
    <row r="2201" ht="13.65" customHeight="1">
      <c r="A2201" s="21">
        <v>52</v>
      </c>
      <c r="B2201" t="s" s="22">
        <v>657</v>
      </c>
      <c r="C2201" t="s" s="24">
        <v>384</v>
      </c>
      <c r="D2201" t="s" s="24">
        <v>659</v>
      </c>
      <c r="E2201" s="25">
        <v>7.9</v>
      </c>
      <c r="F2201" s="23">
        <v>13.34</v>
      </c>
      <c r="G2201" s="152" cm="1">
        <f t="array" ref="G2201">SUM(E2201/F2201)</f>
        <v>0.592203898050975</v>
      </c>
      <c r="H2201" s="15"/>
    </row>
    <row r="2202" ht="13.65" customHeight="1">
      <c r="A2202" s="21">
        <v>14</v>
      </c>
      <c r="B2202" t="s" s="22">
        <v>647</v>
      </c>
      <c r="C2202" s="23">
        <v>6</v>
      </c>
      <c r="D2202" t="s" s="24">
        <v>279</v>
      </c>
      <c r="E2202" s="25">
        <v>14</v>
      </c>
      <c r="F2202" s="23">
        <v>6</v>
      </c>
      <c r="G2202" s="152" cm="1">
        <f t="array" ref="G2202">SUM(E2202/F2202)</f>
        <v>2.33333333333333</v>
      </c>
      <c r="H2202" s="15"/>
    </row>
    <row r="2203" ht="13.65" customHeight="1">
      <c r="A2203" s="21">
        <v>15</v>
      </c>
      <c r="B2203" t="s" s="22">
        <v>636</v>
      </c>
      <c r="C2203" s="23">
        <v>4</v>
      </c>
      <c r="D2203" t="s" s="24">
        <v>637</v>
      </c>
      <c r="E2203" s="25">
        <v>29.5</v>
      </c>
      <c r="F2203" s="23">
        <v>4</v>
      </c>
      <c r="G2203" s="152" cm="1">
        <f t="array" ref="G2203">SUM(E2203/F2203)</f>
        <v>7.375</v>
      </c>
      <c r="H2203" s="15"/>
    </row>
    <row r="2204" ht="13.65" customHeight="1">
      <c r="A2204" s="21">
        <v>110</v>
      </c>
      <c r="B2204" t="s" s="22">
        <v>661</v>
      </c>
      <c r="C2204" s="23">
        <v>1</v>
      </c>
      <c r="D2204" t="s" s="24">
        <v>629</v>
      </c>
      <c r="E2204" s="25">
        <v>5.2</v>
      </c>
      <c r="F2204" s="23">
        <v>3</v>
      </c>
      <c r="G2204" s="152" cm="1">
        <f t="array" ref="G2204">SUM(E2204/F2204)</f>
        <v>1.73333333333333</v>
      </c>
      <c r="H2204" s="15"/>
    </row>
    <row r="2205" ht="13.65" customHeight="1">
      <c r="A2205" s="21">
        <v>20</v>
      </c>
      <c r="B2205" t="s" s="22">
        <v>628</v>
      </c>
      <c r="C2205" s="23">
        <v>1</v>
      </c>
      <c r="D2205" t="s" s="24">
        <v>629</v>
      </c>
      <c r="E2205" s="25">
        <v>7.5</v>
      </c>
      <c r="F2205" s="23">
        <v>3</v>
      </c>
      <c r="G2205" s="152" cm="1">
        <f t="array" ref="G2205">SUM(E2205/F2205)</f>
        <v>2.5</v>
      </c>
      <c r="H2205" s="15"/>
    </row>
    <row r="2206" ht="13.65" customHeight="1">
      <c r="A2206" s="21">
        <v>135</v>
      </c>
      <c r="B2206" t="s" s="22">
        <v>639</v>
      </c>
      <c r="C2206" s="23">
        <v>1</v>
      </c>
      <c r="D2206" t="s" s="24">
        <v>640</v>
      </c>
      <c r="E2206" s="25">
        <v>13.05</v>
      </c>
      <c r="F2206" s="23">
        <v>5</v>
      </c>
      <c r="G2206" s="152" cm="1">
        <f t="array" ref="G2206">SUM(E2206/F2206)</f>
        <v>2.61</v>
      </c>
      <c r="H2206" s="15"/>
    </row>
    <row r="2207" ht="13.65" customHeight="1">
      <c r="A2207" s="28"/>
      <c r="B2207" s="28"/>
      <c r="C2207" s="27"/>
      <c r="D2207" s="24"/>
      <c r="E2207" s="27"/>
      <c r="F2207" t="s" s="29">
        <v>118</v>
      </c>
      <c r="G2207" s="197" cm="1">
        <f t="array" ref="G2207">SUM(G2173:G2206)</f>
        <v>109.377540238903</v>
      </c>
      <c r="H2207" s="15"/>
    </row>
    <row r="2208" ht="13.65" customHeight="1">
      <c r="A2208" s="129"/>
      <c r="B2208" s="129"/>
      <c r="C2208" s="129"/>
      <c r="D2208" s="129"/>
      <c r="E2208" s="129"/>
      <c r="F2208" s="31"/>
      <c r="G2208" s="31"/>
      <c r="H2208" s="293"/>
    </row>
    <row r="2209" ht="11.7" customHeight="1">
      <c r="A2209" t="s" s="167">
        <v>136</v>
      </c>
      <c r="B2209" t="s" s="167">
        <v>281</v>
      </c>
      <c r="C2209" t="s" s="167">
        <v>282</v>
      </c>
      <c r="D2209" t="s" s="168">
        <v>283</v>
      </c>
      <c r="E2209" s="169"/>
      <c r="F2209" s="170"/>
      <c r="G2209" s="171"/>
      <c r="H2209" s="171"/>
    </row>
    <row r="2210" ht="13.65" customHeight="1">
      <c r="A2210" s="23">
        <v>310</v>
      </c>
      <c r="B2210" s="172" cm="1">
        <f t="array" ref="B2210">SUM(H256)</f>
        <v>2.47496540404041</v>
      </c>
      <c r="C2210" s="172" cm="1">
        <f t="array" ref="C2210">SUM(G2207)</f>
        <v>109.377540238903</v>
      </c>
      <c r="D2210" s="199" cm="1">
        <f t="array" ref="D2210">SUM(A2210*B2210)+(C2210)</f>
        <v>876.616815491430</v>
      </c>
      <c r="E2210" s="200"/>
      <c r="F2210" s="15"/>
      <c r="G2210" s="3"/>
      <c r="H2210" s="3"/>
    </row>
    <row r="2211" ht="13.65" customHeight="1">
      <c r="A2211" s="31"/>
      <c r="B2211" s="31"/>
      <c r="C2211" s="31"/>
      <c r="D2211" s="31"/>
      <c r="E2211" s="31"/>
      <c r="F2211" s="3"/>
      <c r="G2211" s="3"/>
      <c r="H2211" s="3"/>
    </row>
    <row r="2212" ht="13.65" customHeight="1">
      <c r="A2212" s="203"/>
      <c r="B2212" s="203"/>
      <c r="C2212" s="203"/>
      <c r="D2212" s="203"/>
      <c r="E2212" s="203"/>
      <c r="F2212" s="203"/>
      <c r="G2212" s="203"/>
      <c r="H2212" s="203"/>
    </row>
    <row r="2213" ht="13.65" customHeight="1">
      <c r="A2213" t="s" s="274">
        <v>185</v>
      </c>
      <c r="B2213" s="275"/>
      <c r="C2213" s="275"/>
      <c r="D2213" s="275"/>
      <c r="E2213" s="280"/>
      <c r="F2213" s="275"/>
      <c r="G2213" s="275"/>
      <c r="H2213" s="277"/>
    </row>
    <row r="2214" ht="13.65" customHeight="1">
      <c r="A2214" s="278"/>
      <c r="B2214" s="278"/>
      <c r="C2214" s="278"/>
      <c r="D2214" s="278"/>
      <c r="E2214" s="278"/>
      <c r="F2214" s="278"/>
      <c r="G2214" s="278"/>
      <c r="H2214" s="278"/>
    </row>
    <row r="2215" ht="13.65" customHeight="1">
      <c r="A2215" s="3"/>
      <c r="B2215" s="3"/>
      <c r="C2215" s="3"/>
      <c r="D2215" s="3"/>
      <c r="E2215" s="3"/>
      <c r="F2215" s="3"/>
      <c r="G2215" s="3"/>
      <c r="H2215" s="3"/>
    </row>
    <row r="2216" ht="13.65" customHeight="1">
      <c r="A2216" t="s" s="5">
        <v>664</v>
      </c>
      <c r="B2216" s="3"/>
      <c r="C2216" s="3"/>
      <c r="D2216" s="3"/>
      <c r="E2216" s="3"/>
      <c r="F2216" s="3"/>
      <c r="G2216" s="3"/>
      <c r="H2216" s="3"/>
    </row>
    <row r="2217" ht="13.65" customHeight="1">
      <c r="A2217" s="11"/>
      <c r="B2217" s="11"/>
      <c r="C2217" s="11"/>
      <c r="D2217" s="11"/>
      <c r="E2217" s="11"/>
      <c r="F2217" s="11"/>
      <c r="G2217" s="11"/>
      <c r="H2217" s="3"/>
    </row>
    <row r="2218" ht="13.65" customHeight="1">
      <c r="A2218" s="12"/>
      <c r="B2218" s="12"/>
      <c r="C2218" s="13"/>
      <c r="D2218" s="14"/>
      <c r="E2218" s="13"/>
      <c r="F2218" s="13"/>
      <c r="G2218" t="s" s="14">
        <v>252</v>
      </c>
      <c r="H2218" s="150"/>
    </row>
    <row r="2219" ht="13.65" customHeight="1">
      <c r="A2219" t="s" s="16">
        <v>93</v>
      </c>
      <c r="B2219" t="s" s="16">
        <v>94</v>
      </c>
      <c r="C2219" t="s" s="16">
        <v>95</v>
      </c>
      <c r="D2219" t="s" s="16">
        <v>96</v>
      </c>
      <c r="E2219" t="s" s="16">
        <v>97</v>
      </c>
      <c r="F2219" t="s" s="16">
        <v>98</v>
      </c>
      <c r="G2219" t="s" s="16">
        <v>99</v>
      </c>
      <c r="H2219" s="15"/>
    </row>
    <row r="2220" ht="13.65" customHeight="1">
      <c r="A2220" s="151"/>
      <c r="B2220" s="151"/>
      <c r="C2220" s="19"/>
      <c r="D2220" s="20"/>
      <c r="E2220" s="19"/>
      <c r="F2220" s="19"/>
      <c r="G2220" t="s" s="20">
        <v>100</v>
      </c>
      <c r="H2220" s="15"/>
    </row>
    <row r="2221" ht="13.65" customHeight="1">
      <c r="A2221" s="21">
        <v>72</v>
      </c>
      <c r="B2221" t="s" s="22">
        <v>101</v>
      </c>
      <c r="C2221" s="23">
        <v>50</v>
      </c>
      <c r="D2221" t="s" s="24">
        <v>274</v>
      </c>
      <c r="E2221" s="25">
        <v>1.93</v>
      </c>
      <c r="F2221" s="23">
        <v>12.5</v>
      </c>
      <c r="G2221" s="152" cm="1">
        <f t="array" ref="G2221">SUM(E2221/F2221)</f>
        <v>0.1544</v>
      </c>
      <c r="H2221" s="15"/>
    </row>
    <row r="2222" ht="13.65" customHeight="1">
      <c r="A2222" s="21">
        <v>123</v>
      </c>
      <c r="B2222" t="s" s="22">
        <v>103</v>
      </c>
      <c r="C2222" s="23">
        <v>40</v>
      </c>
      <c r="D2222" t="s" s="24">
        <v>102</v>
      </c>
      <c r="E2222" s="25">
        <v>3.2</v>
      </c>
      <c r="F2222" s="23">
        <v>20</v>
      </c>
      <c r="G2222" s="152" cm="1">
        <f t="array" ref="G2222">SUM(E2222/F2222)</f>
        <v>0.16</v>
      </c>
      <c r="H2222" s="15"/>
    </row>
    <row r="2223" ht="13.65" customHeight="1">
      <c r="A2223" s="21">
        <v>65</v>
      </c>
      <c r="B2223" t="s" s="22">
        <v>394</v>
      </c>
      <c r="C2223" s="23">
        <v>500</v>
      </c>
      <c r="D2223" t="s" s="24">
        <v>274</v>
      </c>
      <c r="E2223" s="25">
        <v>26</v>
      </c>
      <c r="F2223" s="23">
        <v>125</v>
      </c>
      <c r="G2223" s="152" cm="1">
        <f t="array" ref="G2223">SUM(E2223/F2223)</f>
        <v>0.208</v>
      </c>
      <c r="H2223" s="15"/>
    </row>
    <row r="2224" ht="13.65" customHeight="1">
      <c r="A2224" s="21">
        <v>86</v>
      </c>
      <c r="B2224" t="s" s="22">
        <v>107</v>
      </c>
      <c r="C2224" t="s" s="24">
        <v>108</v>
      </c>
      <c r="D2224" t="s" s="24">
        <v>608</v>
      </c>
      <c r="E2224" s="25">
        <v>0.32</v>
      </c>
      <c r="F2224" t="s" s="24">
        <v>650</v>
      </c>
      <c r="G2224" s="152" cm="1">
        <f t="array" ref="G2224">SUM(E2224*8)</f>
        <v>2.56</v>
      </c>
      <c r="H2224" s="15"/>
    </row>
    <row r="2225" ht="13.65" customHeight="1">
      <c r="A2225" s="21">
        <v>71</v>
      </c>
      <c r="B2225" t="s" s="22">
        <v>109</v>
      </c>
      <c r="C2225" s="23">
        <v>10</v>
      </c>
      <c r="D2225" t="s" s="24">
        <v>608</v>
      </c>
      <c r="E2225" s="25">
        <v>5.92</v>
      </c>
      <c r="F2225" s="23">
        <v>1.25</v>
      </c>
      <c r="G2225" s="152" cm="1">
        <f t="array" ref="G2225">SUM(E2225/F2225)</f>
        <v>4.736</v>
      </c>
      <c r="H2225" s="15"/>
    </row>
    <row r="2226" ht="13.65" customHeight="1">
      <c r="A2226" s="21">
        <v>87</v>
      </c>
      <c r="B2226" t="s" s="22">
        <v>110</v>
      </c>
      <c r="C2226" s="23">
        <v>10</v>
      </c>
      <c r="D2226" t="s" s="24">
        <v>608</v>
      </c>
      <c r="E2226" s="25">
        <v>9</v>
      </c>
      <c r="F2226" s="23">
        <v>6.25</v>
      </c>
      <c r="G2226" s="152" cm="1">
        <f t="array" ref="G2226">SUM(E2226/F2226)</f>
        <v>1.44</v>
      </c>
      <c r="H2226" s="15"/>
    </row>
    <row r="2227" ht="13.65" customHeight="1">
      <c r="A2227" s="21">
        <v>55</v>
      </c>
      <c r="B2227" t="s" s="22">
        <v>111</v>
      </c>
      <c r="C2227" t="s" s="24">
        <v>112</v>
      </c>
      <c r="D2227" t="s" s="24">
        <v>663</v>
      </c>
      <c r="E2227" s="25">
        <v>2.71</v>
      </c>
      <c r="F2227" s="23">
        <v>37.5</v>
      </c>
      <c r="G2227" s="152" cm="1">
        <f t="array" ref="G2227">SUM(E2227/F2227)</f>
        <v>0.0722666666666667</v>
      </c>
      <c r="H2227" s="15"/>
    </row>
    <row r="2228" ht="13.65" customHeight="1">
      <c r="A2228" s="21">
        <v>10</v>
      </c>
      <c r="B2228" t="s" s="22">
        <v>395</v>
      </c>
      <c r="C2228" t="s" s="24">
        <v>396</v>
      </c>
      <c r="D2228" t="s" s="24">
        <v>401</v>
      </c>
      <c r="E2228" s="25">
        <v>3.92</v>
      </c>
      <c r="F2228" s="23">
        <v>30</v>
      </c>
      <c r="G2228" s="152" cm="1">
        <f t="array" ref="G2228">SUM(E2228/F2228)</f>
        <v>0.130666666666667</v>
      </c>
      <c r="H2228" s="15"/>
    </row>
    <row r="2229" ht="13.65" customHeight="1">
      <c r="A2229" s="21">
        <v>9</v>
      </c>
      <c r="B2229" t="s" s="22">
        <v>398</v>
      </c>
      <c r="C2229" s="23">
        <v>50</v>
      </c>
      <c r="D2229" t="s" s="24">
        <v>102</v>
      </c>
      <c r="E2229" s="25">
        <v>14</v>
      </c>
      <c r="F2229" s="23">
        <v>25</v>
      </c>
      <c r="G2229" s="152" cm="1">
        <f t="array" ref="G2229">SUM(E2229/F2229)</f>
        <v>0.5600000000000001</v>
      </c>
      <c r="H2229" s="15"/>
    </row>
    <row r="2230" ht="13.65" customHeight="1">
      <c r="A2230" s="21">
        <v>6</v>
      </c>
      <c r="B2230" t="s" s="22">
        <v>399</v>
      </c>
      <c r="C2230" s="23">
        <v>100</v>
      </c>
      <c r="D2230" t="s" s="24">
        <v>104</v>
      </c>
      <c r="E2230" s="25">
        <v>19</v>
      </c>
      <c r="F2230" s="23">
        <v>100</v>
      </c>
      <c r="G2230" s="152" cm="1">
        <f t="array" ref="G2230">SUM(E2230/F2230)</f>
        <v>0.19</v>
      </c>
      <c r="H2230" s="15"/>
    </row>
    <row r="2231" ht="13.65" customHeight="1">
      <c r="A2231" s="21">
        <v>79</v>
      </c>
      <c r="B2231" t="s" s="22">
        <v>439</v>
      </c>
      <c r="C2231" s="23">
        <v>20</v>
      </c>
      <c r="D2231" t="s" s="24">
        <v>102</v>
      </c>
      <c r="E2231" s="25">
        <v>25</v>
      </c>
      <c r="F2231" s="23">
        <v>10</v>
      </c>
      <c r="G2231" s="152" cm="1">
        <f t="array" ref="G2231">SUM(E2231/F2231)</f>
        <v>2.5</v>
      </c>
      <c r="H2231" s="15"/>
    </row>
    <row r="2232" ht="13.65" customHeight="1">
      <c r="A2232" s="21">
        <v>85</v>
      </c>
      <c r="B2232" t="s" s="22">
        <v>463</v>
      </c>
      <c r="C2232" t="s" s="24">
        <v>665</v>
      </c>
      <c r="D2232" t="s" s="24">
        <v>389</v>
      </c>
      <c r="E2232" s="25">
        <v>7.8</v>
      </c>
      <c r="F2232" s="23">
        <v>10</v>
      </c>
      <c r="G2232" s="152" cm="1">
        <f t="array" ref="G2232">SUM(E2232/F2232)</f>
        <v>0.78</v>
      </c>
      <c r="H2232" s="15"/>
    </row>
    <row r="2233" ht="13.65" customHeight="1">
      <c r="A2233" s="21">
        <v>97</v>
      </c>
      <c r="B2233" t="s" s="22">
        <v>465</v>
      </c>
      <c r="C2233" s="23">
        <v>120</v>
      </c>
      <c r="D2233" t="s" s="24">
        <v>460</v>
      </c>
      <c r="E2233" s="25">
        <v>10.5</v>
      </c>
      <c r="F2233" s="23">
        <v>24</v>
      </c>
      <c r="G2233" s="152" cm="1">
        <f t="array" ref="G2233">SUM(E2233/F2233)</f>
        <v>0.4375</v>
      </c>
      <c r="H2233" s="15"/>
    </row>
    <row r="2234" ht="13.65" customHeight="1">
      <c r="A2234" s="21">
        <v>73</v>
      </c>
      <c r="B2234" t="s" s="22">
        <v>621</v>
      </c>
      <c r="C2234" t="s" s="24">
        <v>432</v>
      </c>
      <c r="D2234" t="s" s="24">
        <v>424</v>
      </c>
      <c r="E2234" s="25">
        <v>13.5</v>
      </c>
      <c r="F2234" s="23">
        <v>28</v>
      </c>
      <c r="G2234" s="152" cm="1">
        <f t="array" ref="G2234">SUM(E2234/F2234)</f>
        <v>0.482142857142857</v>
      </c>
      <c r="H2234" s="15"/>
    </row>
    <row r="2235" ht="13.65" customHeight="1">
      <c r="A2235" s="21">
        <v>119</v>
      </c>
      <c r="B2235" t="s" s="22">
        <v>467</v>
      </c>
      <c r="C2235" s="23">
        <v>1</v>
      </c>
      <c r="D2235" t="s" s="24">
        <v>468</v>
      </c>
      <c r="E2235" s="25">
        <v>0.45</v>
      </c>
      <c r="F2235" t="s" s="24">
        <v>387</v>
      </c>
      <c r="G2235" s="152" cm="1">
        <f t="array" ref="G2235">SUM(E2235*2)</f>
        <v>0.9</v>
      </c>
      <c r="H2235" s="15"/>
    </row>
    <row r="2236" ht="13.65" customHeight="1">
      <c r="A2236" s="21">
        <v>19</v>
      </c>
      <c r="B2236" t="s" s="22">
        <v>414</v>
      </c>
      <c r="C2236" s="23">
        <v>1</v>
      </c>
      <c r="D2236" t="s" s="24">
        <v>116</v>
      </c>
      <c r="E2236" s="25">
        <v>5.2</v>
      </c>
      <c r="F2236" s="23">
        <v>10</v>
      </c>
      <c r="G2236" s="152" cm="1">
        <f t="array" ref="G2236">SUM(E2236/F2236)</f>
        <v>0.52</v>
      </c>
      <c r="H2236" s="15"/>
    </row>
    <row r="2237" ht="13.65" customHeight="1">
      <c r="A2237" s="21">
        <v>74</v>
      </c>
      <c r="B2237" t="s" s="22">
        <v>666</v>
      </c>
      <c r="C2237" t="s" s="24">
        <v>426</v>
      </c>
      <c r="D2237" t="s" s="24">
        <v>424</v>
      </c>
      <c r="E2237" s="25">
        <v>4.5</v>
      </c>
      <c r="F2237" s="23">
        <v>10</v>
      </c>
      <c r="G2237" s="152" cm="1">
        <f t="array" ref="G2237">SUM(E2237/F2237)</f>
        <v>0.45</v>
      </c>
      <c r="H2237" s="15"/>
    </row>
    <row r="2238" ht="13.65" customHeight="1">
      <c r="A2238" s="21">
        <v>45</v>
      </c>
      <c r="B2238" t="s" s="22">
        <v>625</v>
      </c>
      <c r="C2238" s="23">
        <v>100</v>
      </c>
      <c r="D2238" t="s" s="24">
        <v>405</v>
      </c>
      <c r="E2238" s="25">
        <v>18</v>
      </c>
      <c r="F2238" s="23">
        <v>16</v>
      </c>
      <c r="G2238" s="152" cm="1">
        <f t="array" ref="G2238">SUM(E2238/F2238)</f>
        <v>1.125</v>
      </c>
      <c r="H2238" s="15"/>
    </row>
    <row r="2239" ht="13.65" customHeight="1">
      <c r="A2239" s="21">
        <v>82</v>
      </c>
      <c r="B2239" t="s" s="22">
        <v>622</v>
      </c>
      <c r="C2239" s="23">
        <v>6</v>
      </c>
      <c r="D2239" t="s" s="24">
        <v>629</v>
      </c>
      <c r="E2239" s="25">
        <v>41</v>
      </c>
      <c r="F2239" s="23">
        <v>3</v>
      </c>
      <c r="G2239" s="152" cm="1">
        <f t="array" ref="G2239">SUM(E2239/F2239)</f>
        <v>13.6666666666667</v>
      </c>
      <c r="H2239" s="15"/>
    </row>
    <row r="2240" ht="13.65" customHeight="1">
      <c r="A2240" s="21">
        <v>34</v>
      </c>
      <c r="B2240" t="s" s="22">
        <v>667</v>
      </c>
      <c r="C2240" t="s" s="24">
        <v>668</v>
      </c>
      <c r="D2240" t="s" s="24">
        <v>495</v>
      </c>
      <c r="E2240" s="25">
        <v>290</v>
      </c>
      <c r="F2240" s="23">
        <v>20</v>
      </c>
      <c r="G2240" s="152" cm="1">
        <f t="array" ref="G2240">SUM(E2240/F2240)</f>
        <v>14.5</v>
      </c>
      <c r="H2240" s="15"/>
    </row>
    <row r="2241" ht="13.65" customHeight="1">
      <c r="A2241" s="21">
        <v>20</v>
      </c>
      <c r="B2241" t="s" s="22">
        <v>628</v>
      </c>
      <c r="C2241" s="23">
        <v>1</v>
      </c>
      <c r="D2241" t="s" s="24">
        <v>629</v>
      </c>
      <c r="E2241" s="25">
        <v>7.5</v>
      </c>
      <c r="F2241" s="23">
        <v>3</v>
      </c>
      <c r="G2241" s="152" cm="1">
        <f t="array" ref="G2241">SUM(E2241/F2241)</f>
        <v>2.5</v>
      </c>
      <c r="H2241" s="15"/>
    </row>
    <row r="2242" ht="13.65" customHeight="1">
      <c r="A2242" s="28"/>
      <c r="B2242" s="28"/>
      <c r="C2242" s="27"/>
      <c r="D2242" s="24"/>
      <c r="E2242" s="27"/>
      <c r="F2242" t="s" s="29">
        <v>118</v>
      </c>
      <c r="G2242" s="197" cm="1">
        <f t="array" ref="G2242">SUM(G2221:G2241)</f>
        <v>48.0726428571429</v>
      </c>
      <c r="H2242" s="15"/>
    </row>
    <row r="2243" ht="13.65" customHeight="1">
      <c r="A2243" s="129"/>
      <c r="B2243" s="129"/>
      <c r="C2243" s="129"/>
      <c r="D2243" s="129"/>
      <c r="E2243" s="129"/>
      <c r="F2243" s="31"/>
      <c r="G2243" s="31"/>
      <c r="H2243" s="3"/>
    </row>
    <row r="2244" ht="11.7" customHeight="1">
      <c r="A2244" t="s" s="167">
        <v>136</v>
      </c>
      <c r="B2244" t="s" s="167">
        <v>281</v>
      </c>
      <c r="C2244" t="s" s="167">
        <v>282</v>
      </c>
      <c r="D2244" t="s" s="168">
        <v>283</v>
      </c>
      <c r="E2244" s="169"/>
      <c r="F2244" s="170"/>
      <c r="G2244" s="171"/>
      <c r="H2244" s="171"/>
    </row>
    <row r="2245" ht="13.65" customHeight="1">
      <c r="A2245" s="23">
        <v>65</v>
      </c>
      <c r="B2245" s="172" cm="1">
        <f t="array" ref="B2245">SUM(H256)</f>
        <v>2.47496540404041</v>
      </c>
      <c r="C2245" s="172" cm="1">
        <f t="array" ref="C2245">SUM(G2242)</f>
        <v>48.0726428571429</v>
      </c>
      <c r="D2245" s="199" cm="1">
        <f t="array" ref="D2245">SUM(A2245*B2245)+(C2245)</f>
        <v>208.945394119770</v>
      </c>
      <c r="E2245" s="200"/>
      <c r="F2245" s="15"/>
      <c r="G2245" s="3"/>
      <c r="H2245" s="3"/>
    </row>
    <row r="2246" ht="13.65" customHeight="1">
      <c r="A2246" s="31"/>
      <c r="B2246" s="31"/>
      <c r="C2246" s="31"/>
      <c r="D2246" s="31"/>
      <c r="E2246" s="31"/>
      <c r="F2246" s="3"/>
      <c r="G2246" s="3"/>
      <c r="H2246" s="3"/>
    </row>
    <row r="2247" ht="13.65" customHeight="1">
      <c r="A2247" s="3"/>
      <c r="B2247" s="3"/>
      <c r="C2247" s="3"/>
      <c r="D2247" s="3"/>
      <c r="E2247" s="3"/>
      <c r="F2247" s="3"/>
      <c r="G2247" s="3"/>
      <c r="H2247" s="3"/>
    </row>
    <row r="2248" ht="13.65" customHeight="1">
      <c r="A2248" t="s" s="5">
        <v>669</v>
      </c>
      <c r="B2248" s="3"/>
      <c r="C2248" s="3"/>
      <c r="D2248" s="3"/>
      <c r="E2248" s="3"/>
      <c r="F2248" s="3"/>
      <c r="G2248" s="3"/>
      <c r="H2248" s="3"/>
    </row>
    <row r="2249" ht="13.65" customHeight="1">
      <c r="A2249" s="11"/>
      <c r="B2249" s="11"/>
      <c r="C2249" s="11"/>
      <c r="D2249" s="11"/>
      <c r="E2249" s="11"/>
      <c r="F2249" s="11"/>
      <c r="G2249" s="11"/>
      <c r="H2249" s="3"/>
    </row>
    <row r="2250" ht="13.65" customHeight="1">
      <c r="A2250" s="12"/>
      <c r="B2250" s="12"/>
      <c r="C2250" s="13"/>
      <c r="D2250" s="14"/>
      <c r="E2250" s="13"/>
      <c r="F2250" s="13"/>
      <c r="G2250" t="s" s="14">
        <v>252</v>
      </c>
      <c r="H2250" s="150"/>
    </row>
    <row r="2251" ht="13.65" customHeight="1">
      <c r="A2251" t="s" s="16">
        <v>93</v>
      </c>
      <c r="B2251" t="s" s="16">
        <v>94</v>
      </c>
      <c r="C2251" t="s" s="16">
        <v>95</v>
      </c>
      <c r="D2251" t="s" s="16">
        <v>96</v>
      </c>
      <c r="E2251" t="s" s="16">
        <v>97</v>
      </c>
      <c r="F2251" t="s" s="16">
        <v>98</v>
      </c>
      <c r="G2251" t="s" s="16">
        <v>99</v>
      </c>
      <c r="H2251" s="15"/>
    </row>
    <row r="2252" ht="13.65" customHeight="1">
      <c r="A2252" s="151"/>
      <c r="B2252" s="151"/>
      <c r="C2252" s="19"/>
      <c r="D2252" s="20"/>
      <c r="E2252" s="19"/>
      <c r="F2252" s="19"/>
      <c r="G2252" t="s" s="20">
        <v>100</v>
      </c>
      <c r="H2252" s="15"/>
    </row>
    <row r="2253" ht="13.65" customHeight="1">
      <c r="A2253" s="21">
        <v>72</v>
      </c>
      <c r="B2253" t="s" s="22">
        <v>101</v>
      </c>
      <c r="C2253" s="23">
        <v>50</v>
      </c>
      <c r="D2253" t="s" s="24">
        <v>102</v>
      </c>
      <c r="E2253" s="25">
        <v>1.93</v>
      </c>
      <c r="F2253" s="23">
        <v>25</v>
      </c>
      <c r="G2253" s="152" cm="1">
        <f t="array" ref="G2253">SUM(E2253/F2253)</f>
        <v>0.0772</v>
      </c>
      <c r="H2253" s="15"/>
    </row>
    <row r="2254" ht="13.65" customHeight="1">
      <c r="A2254" s="21">
        <v>123</v>
      </c>
      <c r="B2254" t="s" s="22">
        <v>103</v>
      </c>
      <c r="C2254" s="23">
        <v>40</v>
      </c>
      <c r="D2254" t="s" s="24">
        <v>104</v>
      </c>
      <c r="E2254" s="25">
        <v>3.2</v>
      </c>
      <c r="F2254" s="23">
        <v>40</v>
      </c>
      <c r="G2254" s="152" cm="1">
        <f t="array" ref="G2254">SUM(E2254/F2254)</f>
        <v>0.08</v>
      </c>
      <c r="H2254" s="15"/>
    </row>
    <row r="2255" ht="13.65" customHeight="1">
      <c r="A2255" s="21">
        <v>86</v>
      </c>
      <c r="B2255" t="s" s="22">
        <v>107</v>
      </c>
      <c r="C2255" t="s" s="24">
        <v>670</v>
      </c>
      <c r="D2255" t="s" s="24">
        <v>102</v>
      </c>
      <c r="E2255" s="25">
        <v>0.32</v>
      </c>
      <c r="F2255" t="s" s="24">
        <v>387</v>
      </c>
      <c r="G2255" s="152" cm="1">
        <f t="array" ref="G2255">SUM(E2255*2)</f>
        <v>0.64</v>
      </c>
      <c r="H2255" s="15"/>
    </row>
    <row r="2256" ht="13.65" customHeight="1">
      <c r="A2256" s="21">
        <v>71</v>
      </c>
      <c r="B2256" t="s" s="22">
        <v>109</v>
      </c>
      <c r="C2256" s="23">
        <v>10</v>
      </c>
      <c r="D2256" t="s" s="24">
        <v>102</v>
      </c>
      <c r="E2256" s="25">
        <v>5.92</v>
      </c>
      <c r="F2256" s="23">
        <v>5</v>
      </c>
      <c r="G2256" s="152" cm="1">
        <f t="array" ref="G2256">SUM(E2256/F2256)</f>
        <v>1.184</v>
      </c>
      <c r="H2256" s="15"/>
    </row>
    <row r="2257" ht="13.65" customHeight="1">
      <c r="A2257" s="21">
        <v>87</v>
      </c>
      <c r="B2257" t="s" s="22">
        <v>110</v>
      </c>
      <c r="C2257" s="23">
        <v>50</v>
      </c>
      <c r="D2257" t="s" s="24">
        <v>102</v>
      </c>
      <c r="E2257" s="25">
        <v>9</v>
      </c>
      <c r="F2257" s="23">
        <v>25</v>
      </c>
      <c r="G2257" s="152" cm="1">
        <f t="array" ref="G2257">SUM(E2257/F2257)</f>
        <v>0.36</v>
      </c>
      <c r="H2257" s="15"/>
    </row>
    <row r="2258" ht="13.65" customHeight="1">
      <c r="A2258" s="21">
        <v>55</v>
      </c>
      <c r="B2258" t="s" s="22">
        <v>111</v>
      </c>
      <c r="C2258" t="s" s="24">
        <v>112</v>
      </c>
      <c r="D2258" t="s" s="24">
        <v>461</v>
      </c>
      <c r="E2258" s="25">
        <v>2.71</v>
      </c>
      <c r="F2258" s="23">
        <v>37.5</v>
      </c>
      <c r="G2258" s="152" cm="1">
        <f t="array" ref="G2258">SUM(E2258/F2258)</f>
        <v>0.0722666666666667</v>
      </c>
      <c r="H2258" s="15"/>
    </row>
    <row r="2259" ht="13.65" customHeight="1">
      <c r="A2259" s="21">
        <v>19</v>
      </c>
      <c r="B2259" t="s" s="22">
        <v>671</v>
      </c>
      <c r="C2259" s="23">
        <v>1</v>
      </c>
      <c r="D2259" t="s" s="24">
        <v>104</v>
      </c>
      <c r="E2259" s="25">
        <v>36</v>
      </c>
      <c r="F2259" s="23">
        <v>1</v>
      </c>
      <c r="G2259" s="152" cm="1">
        <f t="array" ref="G2259">SUM(E2259/F2259)</f>
        <v>36</v>
      </c>
      <c r="H2259" s="15"/>
    </row>
    <row r="2260" ht="13.65" customHeight="1">
      <c r="A2260" s="21">
        <v>34</v>
      </c>
      <c r="B2260" t="s" s="22">
        <v>456</v>
      </c>
      <c r="C2260" t="s" s="24">
        <v>455</v>
      </c>
      <c r="D2260" t="s" s="24">
        <v>424</v>
      </c>
      <c r="E2260" s="25">
        <v>63</v>
      </c>
      <c r="F2260" s="23">
        <v>50</v>
      </c>
      <c r="G2260" s="152" cm="1">
        <f t="array" ref="G2260">SUM(E2260/F2260)</f>
        <v>1.26</v>
      </c>
      <c r="H2260" s="15"/>
    </row>
    <row r="2261" ht="13.65" customHeight="1">
      <c r="A2261" s="28"/>
      <c r="B2261" s="28"/>
      <c r="C2261" s="27"/>
      <c r="D2261" s="24"/>
      <c r="E2261" s="27"/>
      <c r="F2261" t="s" s="29">
        <v>118</v>
      </c>
      <c r="G2261" s="197" cm="1">
        <f t="array" ref="G2261">SUM(G2253:G2260)</f>
        <v>39.6734666666667</v>
      </c>
      <c r="H2261" s="15"/>
    </row>
    <row r="2262" ht="13.65" customHeight="1">
      <c r="A2262" s="129"/>
      <c r="B2262" s="129"/>
      <c r="C2262" s="129"/>
      <c r="D2262" s="129"/>
      <c r="E2262" s="129"/>
      <c r="F2262" s="31"/>
      <c r="G2262" s="31"/>
      <c r="H2262" s="3"/>
    </row>
    <row r="2263" ht="11.7" customHeight="1">
      <c r="A2263" t="s" s="167">
        <v>136</v>
      </c>
      <c r="B2263" t="s" s="167">
        <v>281</v>
      </c>
      <c r="C2263" t="s" s="167">
        <v>282</v>
      </c>
      <c r="D2263" t="s" s="168">
        <v>283</v>
      </c>
      <c r="E2263" s="169"/>
      <c r="F2263" s="170"/>
      <c r="G2263" s="171"/>
      <c r="H2263" s="171"/>
    </row>
    <row r="2264" ht="13.65" customHeight="1">
      <c r="A2264" s="23">
        <v>60</v>
      </c>
      <c r="B2264" s="172" cm="1">
        <f t="array" ref="B2264">SUM(H256)</f>
        <v>2.47496540404041</v>
      </c>
      <c r="C2264" s="172" cm="1">
        <f t="array" ref="C2264">SUM(G2261)</f>
        <v>39.6734666666667</v>
      </c>
      <c r="D2264" s="199" cm="1">
        <f t="array" ref="D2264">SUM(A2264*B2264)+(C2264)</f>
        <v>188.171390909091</v>
      </c>
      <c r="E2264" s="200"/>
      <c r="F2264" s="15"/>
      <c r="G2264" s="3"/>
      <c r="H2264" s="3"/>
    </row>
    <row r="2265" ht="13.65" customHeight="1">
      <c r="A2265" s="31"/>
      <c r="B2265" s="31"/>
      <c r="C2265" s="31"/>
      <c r="D2265" s="31"/>
      <c r="E2265" s="31"/>
      <c r="F2265" s="3"/>
      <c r="G2265" s="3"/>
      <c r="H2265" s="3"/>
    </row>
    <row r="2266" ht="13.65" customHeight="1">
      <c r="A2266" s="203"/>
      <c r="B2266" s="203"/>
      <c r="C2266" s="203"/>
      <c r="D2266" s="203"/>
      <c r="E2266" s="203"/>
      <c r="F2266" s="203"/>
      <c r="G2266" s="203"/>
      <c r="H2266" s="203"/>
    </row>
    <row r="2267" ht="13.65" customHeight="1">
      <c r="A2267" t="s" s="274">
        <v>185</v>
      </c>
      <c r="B2267" s="275"/>
      <c r="C2267" s="275"/>
      <c r="D2267" s="275"/>
      <c r="E2267" s="280"/>
      <c r="F2267" s="275"/>
      <c r="G2267" s="275"/>
      <c r="H2267" s="277"/>
    </row>
    <row r="2268" ht="13.65" customHeight="1">
      <c r="A2268" s="278"/>
      <c r="B2268" s="278"/>
      <c r="C2268" s="278"/>
      <c r="D2268" s="278"/>
      <c r="E2268" s="278"/>
      <c r="F2268" s="278"/>
      <c r="G2268" s="278"/>
      <c r="H2268" s="278"/>
    </row>
    <row r="2269" ht="13.65" customHeight="1">
      <c r="A2269" s="3"/>
      <c r="B2269" s="3"/>
      <c r="C2269" s="3"/>
      <c r="D2269" s="3"/>
      <c r="E2269" s="3"/>
      <c r="F2269" s="3"/>
      <c r="G2269" s="3"/>
      <c r="H2269" s="3"/>
    </row>
    <row r="2270" ht="13.65" customHeight="1">
      <c r="A2270" t="s" s="5">
        <v>672</v>
      </c>
      <c r="B2270" s="3"/>
      <c r="C2270" s="3"/>
      <c r="D2270" s="3"/>
      <c r="E2270" s="3"/>
      <c r="F2270" s="3"/>
      <c r="G2270" s="3"/>
      <c r="H2270" s="3"/>
    </row>
    <row r="2271" ht="13.65" customHeight="1">
      <c r="A2271" s="11"/>
      <c r="B2271" s="11"/>
      <c r="C2271" s="11"/>
      <c r="D2271" s="11"/>
      <c r="E2271" s="11"/>
      <c r="F2271" s="11"/>
      <c r="G2271" s="11"/>
      <c r="H2271" s="3"/>
    </row>
    <row r="2272" ht="13.65" customHeight="1">
      <c r="A2272" s="12"/>
      <c r="B2272" s="12"/>
      <c r="C2272" s="13"/>
      <c r="D2272" s="14"/>
      <c r="E2272" s="13"/>
      <c r="F2272" s="13"/>
      <c r="G2272" t="s" s="14">
        <v>252</v>
      </c>
      <c r="H2272" s="150"/>
    </row>
    <row r="2273" ht="13.65" customHeight="1">
      <c r="A2273" t="s" s="16">
        <v>93</v>
      </c>
      <c r="B2273" t="s" s="16">
        <v>94</v>
      </c>
      <c r="C2273" t="s" s="16">
        <v>95</v>
      </c>
      <c r="D2273" t="s" s="16">
        <v>96</v>
      </c>
      <c r="E2273" t="s" s="16">
        <v>97</v>
      </c>
      <c r="F2273" t="s" s="16">
        <v>98</v>
      </c>
      <c r="G2273" t="s" s="16">
        <v>99</v>
      </c>
      <c r="H2273" s="15"/>
    </row>
    <row r="2274" ht="13.65" customHeight="1">
      <c r="A2274" s="151"/>
      <c r="B2274" s="151"/>
      <c r="C2274" s="19"/>
      <c r="D2274" s="20"/>
      <c r="E2274" s="19"/>
      <c r="F2274" s="19"/>
      <c r="G2274" t="s" s="20">
        <v>100</v>
      </c>
      <c r="H2274" s="15"/>
    </row>
    <row r="2275" ht="13.65" customHeight="1">
      <c r="A2275" s="21">
        <v>72</v>
      </c>
      <c r="B2275" t="s" s="22">
        <v>101</v>
      </c>
      <c r="C2275" s="23">
        <v>50</v>
      </c>
      <c r="D2275" t="s" s="24">
        <v>102</v>
      </c>
      <c r="E2275" s="25">
        <v>1.93</v>
      </c>
      <c r="F2275" s="23">
        <v>25</v>
      </c>
      <c r="G2275" s="152" cm="1">
        <f t="array" ref="G2275">SUM(E2275/F2275)</f>
        <v>0.0772</v>
      </c>
      <c r="H2275" s="15"/>
    </row>
    <row r="2276" ht="13.65" customHeight="1">
      <c r="A2276" s="21">
        <v>123</v>
      </c>
      <c r="B2276" t="s" s="22">
        <v>103</v>
      </c>
      <c r="C2276" s="23">
        <v>40</v>
      </c>
      <c r="D2276" t="s" s="24">
        <v>104</v>
      </c>
      <c r="E2276" s="25">
        <v>3.2</v>
      </c>
      <c r="F2276" s="23">
        <v>40</v>
      </c>
      <c r="G2276" s="152" cm="1">
        <f t="array" ref="G2276">SUM(E2276/F2276)</f>
        <v>0.08</v>
      </c>
      <c r="H2276" s="15"/>
    </row>
    <row r="2277" ht="13.65" customHeight="1">
      <c r="A2277" s="21">
        <v>57</v>
      </c>
      <c r="B2277" t="s" s="22">
        <v>253</v>
      </c>
      <c r="C2277" t="s" s="24">
        <v>673</v>
      </c>
      <c r="D2277" t="s" s="24">
        <v>371</v>
      </c>
      <c r="E2277" s="25">
        <v>4.5</v>
      </c>
      <c r="F2277" s="23">
        <v>33</v>
      </c>
      <c r="G2277" s="152" cm="1">
        <f t="array" ref="G2277">SUM(E2277/F2277)</f>
        <v>0.136363636363636</v>
      </c>
      <c r="H2277" s="15"/>
    </row>
    <row r="2278" ht="13.65" customHeight="1">
      <c r="A2278" s="21">
        <v>65</v>
      </c>
      <c r="B2278" t="s" s="22">
        <v>394</v>
      </c>
      <c r="C2278" s="23">
        <v>500</v>
      </c>
      <c r="D2278" t="s" s="24">
        <v>274</v>
      </c>
      <c r="E2278" s="25">
        <v>26</v>
      </c>
      <c r="F2278" s="23">
        <v>125</v>
      </c>
      <c r="G2278" s="152" cm="1">
        <f t="array" ref="G2278">SUM(E2278/F2278)</f>
        <v>0.208</v>
      </c>
      <c r="H2278" s="15"/>
    </row>
    <row r="2279" ht="13.65" customHeight="1">
      <c r="A2279" s="21">
        <v>86</v>
      </c>
      <c r="B2279" t="s" s="22">
        <v>107</v>
      </c>
      <c r="C2279" t="s" s="24">
        <v>670</v>
      </c>
      <c r="D2279" t="s" s="24">
        <v>102</v>
      </c>
      <c r="E2279" s="25">
        <v>0.32</v>
      </c>
      <c r="F2279" t="s" s="24">
        <v>387</v>
      </c>
      <c r="G2279" s="152" cm="1">
        <f t="array" ref="G2279">SUM(E2279*2)</f>
        <v>0.64</v>
      </c>
      <c r="H2279" s="15"/>
    </row>
    <row r="2280" ht="13.65" customHeight="1">
      <c r="A2280" s="21">
        <v>71</v>
      </c>
      <c r="B2280" t="s" s="22">
        <v>109</v>
      </c>
      <c r="C2280" s="23">
        <v>10</v>
      </c>
      <c r="D2280" t="s" s="24">
        <v>102</v>
      </c>
      <c r="E2280" s="25">
        <v>5.92</v>
      </c>
      <c r="F2280" s="23">
        <v>5</v>
      </c>
      <c r="G2280" s="152" cm="1">
        <f t="array" ref="G2280">SUM(E2280/F2280)</f>
        <v>1.184</v>
      </c>
      <c r="H2280" s="15"/>
    </row>
    <row r="2281" ht="13.65" customHeight="1">
      <c r="A2281" s="21">
        <v>87</v>
      </c>
      <c r="B2281" t="s" s="22">
        <v>110</v>
      </c>
      <c r="C2281" s="23">
        <v>50</v>
      </c>
      <c r="D2281" t="s" s="24">
        <v>102</v>
      </c>
      <c r="E2281" s="25">
        <v>9</v>
      </c>
      <c r="F2281" s="23">
        <v>25</v>
      </c>
      <c r="G2281" s="152" cm="1">
        <f t="array" ref="G2281">SUM(E2281/F2281)</f>
        <v>0.36</v>
      </c>
      <c r="H2281" s="15"/>
    </row>
    <row r="2282" ht="13.65" customHeight="1">
      <c r="A2282" s="21">
        <v>55</v>
      </c>
      <c r="B2282" t="s" s="22">
        <v>111</v>
      </c>
      <c r="C2282" t="s" s="24">
        <v>112</v>
      </c>
      <c r="D2282" t="s" s="24">
        <v>113</v>
      </c>
      <c r="E2282" s="25">
        <v>2.71</v>
      </c>
      <c r="F2282" s="23">
        <v>75</v>
      </c>
      <c r="G2282" s="152" cm="1">
        <f t="array" ref="G2282">SUM(E2282/F2282)</f>
        <v>0.0361333333333333</v>
      </c>
      <c r="H2282" s="15"/>
    </row>
    <row r="2283" ht="13.65" customHeight="1">
      <c r="A2283" s="21">
        <v>10</v>
      </c>
      <c r="B2283" t="s" s="22">
        <v>395</v>
      </c>
      <c r="C2283" t="s" s="24">
        <v>396</v>
      </c>
      <c r="D2283" t="s" s="24">
        <v>397</v>
      </c>
      <c r="E2283" s="25">
        <v>3.92</v>
      </c>
      <c r="F2283" s="23">
        <v>50</v>
      </c>
      <c r="G2283" s="152" cm="1">
        <f t="array" ref="G2283">SUM(E2283/F2283)</f>
        <v>0.0784</v>
      </c>
      <c r="H2283" s="15"/>
    </row>
    <row r="2284" ht="13.65" customHeight="1">
      <c r="A2284" s="21">
        <v>9</v>
      </c>
      <c r="B2284" t="s" s="22">
        <v>398</v>
      </c>
      <c r="C2284" s="23">
        <v>50</v>
      </c>
      <c r="D2284" t="s" s="24">
        <v>102</v>
      </c>
      <c r="E2284" s="25">
        <v>14</v>
      </c>
      <c r="F2284" s="23">
        <v>25</v>
      </c>
      <c r="G2284" s="152" cm="1">
        <f t="array" ref="G2284">SUM(E2284/F2284)</f>
        <v>0.5600000000000001</v>
      </c>
      <c r="H2284" s="15"/>
    </row>
    <row r="2285" ht="13.65" customHeight="1">
      <c r="A2285" s="21">
        <v>6</v>
      </c>
      <c r="B2285" t="s" s="22">
        <v>399</v>
      </c>
      <c r="C2285" s="23">
        <v>100</v>
      </c>
      <c r="D2285" t="s" s="24">
        <v>104</v>
      </c>
      <c r="E2285" s="25">
        <v>19</v>
      </c>
      <c r="F2285" s="23">
        <v>100</v>
      </c>
      <c r="G2285" s="152" cm="1">
        <f t="array" ref="G2285">SUM(E2285/F2285)</f>
        <v>0.19</v>
      </c>
      <c r="H2285" s="15"/>
    </row>
    <row r="2286" ht="13.65" customHeight="1">
      <c r="A2286" s="21">
        <v>79</v>
      </c>
      <c r="B2286" t="s" s="22">
        <v>439</v>
      </c>
      <c r="C2286" s="23">
        <v>20</v>
      </c>
      <c r="D2286" t="s" s="24">
        <v>104</v>
      </c>
      <c r="E2286" s="25">
        <v>25</v>
      </c>
      <c r="F2286" s="23">
        <v>20</v>
      </c>
      <c r="G2286" s="152" cm="1">
        <f t="array" ref="G2286">SUM(E2286/F2286)</f>
        <v>1.25</v>
      </c>
      <c r="H2286" s="15"/>
    </row>
    <row r="2287" ht="13.65" customHeight="1">
      <c r="A2287" s="21">
        <v>34</v>
      </c>
      <c r="B2287" t="s" s="22">
        <v>456</v>
      </c>
      <c r="C2287" t="s" s="24">
        <v>455</v>
      </c>
      <c r="D2287" t="s" s="24">
        <v>424</v>
      </c>
      <c r="E2287" s="25">
        <v>63</v>
      </c>
      <c r="F2287" s="23">
        <v>50</v>
      </c>
      <c r="G2287" s="152" cm="1">
        <f t="array" ref="G2287">SUM(E2287/F2287)</f>
        <v>1.26</v>
      </c>
      <c r="H2287" s="15"/>
    </row>
    <row r="2288" ht="13.65" customHeight="1">
      <c r="A2288" s="21">
        <v>19</v>
      </c>
      <c r="B2288" t="s" s="22">
        <v>414</v>
      </c>
      <c r="C2288" s="23">
        <v>1</v>
      </c>
      <c r="D2288" t="s" s="24">
        <v>116</v>
      </c>
      <c r="E2288" s="25">
        <v>5.2</v>
      </c>
      <c r="F2288" s="23">
        <v>10</v>
      </c>
      <c r="G2288" s="152" cm="1">
        <f t="array" ref="G2288">SUM(E2288/F2288)</f>
        <v>0.52</v>
      </c>
      <c r="H2288" s="15"/>
    </row>
    <row r="2289" ht="13.65" customHeight="1">
      <c r="A2289" s="21">
        <v>74</v>
      </c>
      <c r="B2289" t="s" s="22">
        <v>623</v>
      </c>
      <c r="C2289" t="s" s="24">
        <v>426</v>
      </c>
      <c r="D2289" t="s" s="24">
        <v>424</v>
      </c>
      <c r="E2289" s="25">
        <v>4.5</v>
      </c>
      <c r="F2289" s="23">
        <v>20</v>
      </c>
      <c r="G2289" s="152" cm="1">
        <f t="array" ref="G2289">SUM(E2289/F2289)</f>
        <v>0.225</v>
      </c>
      <c r="H2289" s="15"/>
    </row>
    <row r="2290" ht="13.65" customHeight="1">
      <c r="A2290" s="28"/>
      <c r="B2290" s="28"/>
      <c r="C2290" s="27"/>
      <c r="D2290" s="24"/>
      <c r="E2290" s="27"/>
      <c r="F2290" t="s" s="29">
        <v>118</v>
      </c>
      <c r="G2290" s="197" cm="1">
        <f t="array" ref="G2290">SUM(G2275:G2289)</f>
        <v>6.80509696969697</v>
      </c>
      <c r="H2290" s="15"/>
    </row>
    <row r="2291" ht="13.65" customHeight="1">
      <c r="A2291" s="129"/>
      <c r="B2291" s="129"/>
      <c r="C2291" s="129"/>
      <c r="D2291" s="129"/>
      <c r="E2291" s="129"/>
      <c r="F2291" s="31"/>
      <c r="G2291" s="31"/>
      <c r="H2291" s="3"/>
    </row>
    <row r="2292" ht="11.7" customHeight="1">
      <c r="A2292" t="s" s="167">
        <v>136</v>
      </c>
      <c r="B2292" t="s" s="167">
        <v>281</v>
      </c>
      <c r="C2292" t="s" s="167">
        <v>282</v>
      </c>
      <c r="D2292" t="s" s="168">
        <v>283</v>
      </c>
      <c r="E2292" s="169"/>
      <c r="F2292" s="170"/>
      <c r="G2292" s="171"/>
      <c r="H2292" s="171"/>
    </row>
    <row r="2293" ht="13.65" customHeight="1">
      <c r="A2293" s="23">
        <v>55</v>
      </c>
      <c r="B2293" s="172" cm="1">
        <f t="array" ref="B2293">SUM(H256)</f>
        <v>2.47496540404041</v>
      </c>
      <c r="C2293" s="172" cm="1">
        <f t="array" ref="C2293">SUM(G2290)</f>
        <v>6.80509696969697</v>
      </c>
      <c r="D2293" s="199" cm="1">
        <f t="array" ref="D2293">SUM(A2293*B2293)+(C2293)</f>
        <v>142.928194191920</v>
      </c>
      <c r="E2293" s="200"/>
      <c r="F2293" s="15"/>
      <c r="G2293" s="3"/>
      <c r="H2293" s="3"/>
    </row>
    <row r="2294" ht="13.65" customHeight="1">
      <c r="A2294" s="31"/>
      <c r="B2294" s="31"/>
      <c r="C2294" s="31"/>
      <c r="D2294" s="31"/>
      <c r="E2294" s="31"/>
      <c r="F2294" s="3"/>
      <c r="G2294" s="3"/>
      <c r="H2294" s="3"/>
    </row>
    <row r="2295" ht="13.65" customHeight="1">
      <c r="A2295" s="3"/>
      <c r="B2295" s="3"/>
      <c r="C2295" s="3"/>
      <c r="D2295" s="3"/>
      <c r="E2295" s="3"/>
      <c r="F2295" s="3"/>
      <c r="G2295" s="3"/>
      <c r="H2295" s="3"/>
    </row>
    <row r="2296" ht="13.65" customHeight="1">
      <c r="A2296" t="s" s="5">
        <v>674</v>
      </c>
      <c r="B2296" s="3"/>
      <c r="C2296" s="3"/>
      <c r="D2296" s="3"/>
      <c r="E2296" s="3"/>
      <c r="F2296" s="3"/>
      <c r="G2296" s="3"/>
      <c r="H2296" s="3"/>
    </row>
    <row r="2297" ht="13.65" customHeight="1">
      <c r="A2297" s="11"/>
      <c r="B2297" s="11"/>
      <c r="C2297" s="11"/>
      <c r="D2297" s="11"/>
      <c r="E2297" s="11"/>
      <c r="F2297" s="11"/>
      <c r="G2297" s="11"/>
      <c r="H2297" s="3"/>
    </row>
    <row r="2298" ht="13.65" customHeight="1">
      <c r="A2298" s="12"/>
      <c r="B2298" s="12"/>
      <c r="C2298" s="13"/>
      <c r="D2298" s="14"/>
      <c r="E2298" s="13"/>
      <c r="F2298" s="13"/>
      <c r="G2298" t="s" s="14">
        <v>252</v>
      </c>
      <c r="H2298" s="150"/>
    </row>
    <row r="2299" ht="13.65" customHeight="1">
      <c r="A2299" t="s" s="16">
        <v>93</v>
      </c>
      <c r="B2299" t="s" s="16">
        <v>94</v>
      </c>
      <c r="C2299" t="s" s="16">
        <v>95</v>
      </c>
      <c r="D2299" t="s" s="16">
        <v>96</v>
      </c>
      <c r="E2299" t="s" s="16">
        <v>97</v>
      </c>
      <c r="F2299" t="s" s="16">
        <v>98</v>
      </c>
      <c r="G2299" t="s" s="16">
        <v>99</v>
      </c>
      <c r="H2299" s="15"/>
    </row>
    <row r="2300" ht="13.65" customHeight="1">
      <c r="A2300" s="151"/>
      <c r="B2300" s="151"/>
      <c r="C2300" s="19"/>
      <c r="D2300" s="20"/>
      <c r="E2300" s="19"/>
      <c r="F2300" s="19"/>
      <c r="G2300" t="s" s="20">
        <v>100</v>
      </c>
      <c r="H2300" s="15"/>
    </row>
    <row r="2301" ht="13.65" customHeight="1">
      <c r="A2301" s="21">
        <v>72</v>
      </c>
      <c r="B2301" t="s" s="22">
        <v>101</v>
      </c>
      <c r="C2301" s="23">
        <v>50</v>
      </c>
      <c r="D2301" t="s" s="24">
        <v>274</v>
      </c>
      <c r="E2301" s="25">
        <v>1.93</v>
      </c>
      <c r="F2301" s="23">
        <v>12.5</v>
      </c>
      <c r="G2301" s="152" cm="1">
        <f t="array" ref="G2301">SUM(E2301/F2301)</f>
        <v>0.1544</v>
      </c>
      <c r="H2301" s="15"/>
    </row>
    <row r="2302" ht="13.65" customHeight="1">
      <c r="A2302" s="21">
        <v>123</v>
      </c>
      <c r="B2302" t="s" s="22">
        <v>103</v>
      </c>
      <c r="C2302" s="23">
        <v>40</v>
      </c>
      <c r="D2302" t="s" s="24">
        <v>102</v>
      </c>
      <c r="E2302" s="25">
        <v>3.2</v>
      </c>
      <c r="F2302" s="23">
        <v>20</v>
      </c>
      <c r="G2302" s="152" cm="1">
        <f t="array" ref="G2302">SUM(E2302/F2302)</f>
        <v>0.16</v>
      </c>
      <c r="H2302" s="15"/>
    </row>
    <row r="2303" ht="13.65" customHeight="1">
      <c r="A2303" s="21">
        <v>57</v>
      </c>
      <c r="B2303" t="s" s="22">
        <v>253</v>
      </c>
      <c r="C2303" t="s" s="24">
        <v>673</v>
      </c>
      <c r="D2303" t="s" s="24">
        <v>675</v>
      </c>
      <c r="E2303" s="25">
        <v>4.5</v>
      </c>
      <c r="F2303" s="23">
        <v>17</v>
      </c>
      <c r="G2303" s="152" cm="1">
        <f t="array" ref="G2303">SUM(E2303/F2303)</f>
        <v>0.264705882352941</v>
      </c>
      <c r="H2303" s="15"/>
    </row>
    <row r="2304" ht="13.65" customHeight="1">
      <c r="A2304" s="21">
        <v>65</v>
      </c>
      <c r="B2304" t="s" s="22">
        <v>394</v>
      </c>
      <c r="C2304" s="23">
        <v>500</v>
      </c>
      <c r="D2304" t="s" s="24">
        <v>274</v>
      </c>
      <c r="E2304" s="25">
        <v>26</v>
      </c>
      <c r="F2304" s="23">
        <v>125</v>
      </c>
      <c r="G2304" s="152" cm="1">
        <f t="array" ref="G2304">SUM(E2304/F2304)</f>
        <v>0.208</v>
      </c>
      <c r="H2304" s="15"/>
    </row>
    <row r="2305" ht="13.65" customHeight="1">
      <c r="A2305" s="21">
        <v>86</v>
      </c>
      <c r="B2305" t="s" s="22">
        <v>107</v>
      </c>
      <c r="C2305" t="s" s="24">
        <v>670</v>
      </c>
      <c r="D2305" t="s" s="24">
        <v>274</v>
      </c>
      <c r="E2305" s="25">
        <v>0.32</v>
      </c>
      <c r="F2305" t="s" s="24">
        <v>301</v>
      </c>
      <c r="G2305" s="152" cm="1">
        <f t="array" ref="G2305">SUM(E2305*4)</f>
        <v>1.28</v>
      </c>
      <c r="H2305" s="15"/>
    </row>
    <row r="2306" ht="13.65" customHeight="1">
      <c r="A2306" s="21">
        <v>71</v>
      </c>
      <c r="B2306" t="s" s="22">
        <v>109</v>
      </c>
      <c r="C2306" s="23">
        <v>10</v>
      </c>
      <c r="D2306" t="s" s="24">
        <v>274</v>
      </c>
      <c r="E2306" s="25">
        <v>5.92</v>
      </c>
      <c r="F2306" s="23">
        <v>2.5</v>
      </c>
      <c r="G2306" s="152" cm="1">
        <f t="array" ref="G2306">SUM(E2306/F2306)</f>
        <v>2.368</v>
      </c>
      <c r="H2306" s="15"/>
    </row>
    <row r="2307" ht="13.65" customHeight="1">
      <c r="A2307" s="21">
        <v>87</v>
      </c>
      <c r="B2307" t="s" s="22">
        <v>110</v>
      </c>
      <c r="C2307" s="23">
        <v>50</v>
      </c>
      <c r="D2307" t="s" s="24">
        <v>274</v>
      </c>
      <c r="E2307" s="25">
        <v>9</v>
      </c>
      <c r="F2307" s="23">
        <v>12.5</v>
      </c>
      <c r="G2307" s="152" cm="1">
        <f t="array" ref="G2307">SUM(E2307/F2307)</f>
        <v>0.72</v>
      </c>
      <c r="H2307" s="15"/>
    </row>
    <row r="2308" ht="13.65" customHeight="1">
      <c r="A2308" s="21">
        <v>55</v>
      </c>
      <c r="B2308" t="s" s="22">
        <v>111</v>
      </c>
      <c r="C2308" t="s" s="24">
        <v>112</v>
      </c>
      <c r="D2308" t="s" s="24">
        <v>461</v>
      </c>
      <c r="E2308" s="25">
        <v>2.71</v>
      </c>
      <c r="F2308" s="23">
        <v>37.5</v>
      </c>
      <c r="G2308" s="152" cm="1">
        <f t="array" ref="G2308">SUM(E2308/F2308)</f>
        <v>0.0722666666666667</v>
      </c>
      <c r="H2308" s="15"/>
    </row>
    <row r="2309" ht="13.65" customHeight="1">
      <c r="A2309" s="21">
        <v>10</v>
      </c>
      <c r="B2309" t="s" s="22">
        <v>395</v>
      </c>
      <c r="C2309" t="s" s="24">
        <v>396</v>
      </c>
      <c r="D2309" t="s" s="24">
        <v>401</v>
      </c>
      <c r="E2309" s="25">
        <v>3.92</v>
      </c>
      <c r="F2309" s="23">
        <v>30</v>
      </c>
      <c r="G2309" s="152" cm="1">
        <f t="array" ref="G2309">SUM(E2309/F2309)</f>
        <v>0.130666666666667</v>
      </c>
      <c r="H2309" s="15"/>
    </row>
    <row r="2310" ht="13.65" customHeight="1">
      <c r="A2310" s="21">
        <v>9</v>
      </c>
      <c r="B2310" t="s" s="22">
        <v>398</v>
      </c>
      <c r="C2310" s="23">
        <v>50</v>
      </c>
      <c r="D2310" t="s" s="24">
        <v>256</v>
      </c>
      <c r="E2310" s="25">
        <v>14</v>
      </c>
      <c r="F2310" s="23">
        <v>25</v>
      </c>
      <c r="G2310" s="152" cm="1">
        <f t="array" ref="G2310">SUM(E2310/F2310)</f>
        <v>0.5600000000000001</v>
      </c>
      <c r="H2310" s="15"/>
    </row>
    <row r="2311" ht="13.65" customHeight="1">
      <c r="A2311" s="21">
        <v>6</v>
      </c>
      <c r="B2311" t="s" s="22">
        <v>399</v>
      </c>
      <c r="C2311" s="23">
        <v>100</v>
      </c>
      <c r="D2311" t="s" s="24">
        <v>102</v>
      </c>
      <c r="E2311" s="25">
        <v>19</v>
      </c>
      <c r="F2311" s="23">
        <v>50</v>
      </c>
      <c r="G2311" s="152" cm="1">
        <f t="array" ref="G2311">SUM(E2311/F2311)</f>
        <v>0.38</v>
      </c>
      <c r="H2311" s="15"/>
    </row>
    <row r="2312" ht="13.65" customHeight="1">
      <c r="A2312" s="21">
        <v>79</v>
      </c>
      <c r="B2312" t="s" s="22">
        <v>439</v>
      </c>
      <c r="C2312" s="23">
        <v>20</v>
      </c>
      <c r="D2312" t="s" s="24">
        <v>104</v>
      </c>
      <c r="E2312" s="25">
        <v>25</v>
      </c>
      <c r="F2312" s="23">
        <v>20</v>
      </c>
      <c r="G2312" s="152" cm="1">
        <f t="array" ref="G2312">SUM(E2312/F2312)</f>
        <v>1.25</v>
      </c>
      <c r="H2312" s="15"/>
    </row>
    <row r="2313" ht="13.65" customHeight="1">
      <c r="A2313" s="21">
        <v>85</v>
      </c>
      <c r="B2313" t="s" s="22">
        <v>463</v>
      </c>
      <c r="C2313" t="s" s="24">
        <v>464</v>
      </c>
      <c r="D2313" t="s" s="24">
        <v>648</v>
      </c>
      <c r="E2313" s="25">
        <v>4.82</v>
      </c>
      <c r="F2313" s="23">
        <v>33</v>
      </c>
      <c r="G2313" s="152" cm="1">
        <f t="array" ref="G2313">SUM(E2313/F2313)</f>
        <v>0.146060606060606</v>
      </c>
      <c r="H2313" s="15"/>
    </row>
    <row r="2314" ht="13.65" customHeight="1">
      <c r="A2314" s="21">
        <v>34</v>
      </c>
      <c r="B2314" t="s" s="22">
        <v>456</v>
      </c>
      <c r="C2314" t="s" s="24">
        <v>455</v>
      </c>
      <c r="D2314" t="s" s="24">
        <v>424</v>
      </c>
      <c r="E2314" s="25">
        <v>63</v>
      </c>
      <c r="F2314" s="23">
        <v>50</v>
      </c>
      <c r="G2314" s="152" cm="1">
        <f t="array" ref="G2314">SUM(E2314/F2314)</f>
        <v>1.26</v>
      </c>
      <c r="H2314" s="15"/>
    </row>
    <row r="2315" ht="13.65" customHeight="1">
      <c r="A2315" s="21">
        <v>73</v>
      </c>
      <c r="B2315" t="s" s="22">
        <v>621</v>
      </c>
      <c r="C2315" t="s" s="24">
        <v>432</v>
      </c>
      <c r="D2315" t="s" s="24">
        <v>424</v>
      </c>
      <c r="E2315" s="25">
        <v>13.5</v>
      </c>
      <c r="F2315" s="23">
        <v>28</v>
      </c>
      <c r="G2315" s="152" cm="1">
        <f t="array" ref="G2315">SUM(E2315/F2315)</f>
        <v>0.482142857142857</v>
      </c>
      <c r="H2315" s="15"/>
    </row>
    <row r="2316" ht="13.65" customHeight="1">
      <c r="A2316" s="21">
        <v>119</v>
      </c>
      <c r="B2316" t="s" s="22">
        <v>467</v>
      </c>
      <c r="C2316" s="23">
        <v>1</v>
      </c>
      <c r="D2316" t="s" s="24">
        <v>468</v>
      </c>
      <c r="E2316" s="25">
        <v>0.45</v>
      </c>
      <c r="F2316" s="23">
        <v>1</v>
      </c>
      <c r="G2316" s="152" cm="1">
        <f t="array" ref="G2316">SUM(E2316/F2316)</f>
        <v>0.45</v>
      </c>
      <c r="H2316" s="15"/>
    </row>
    <row r="2317" ht="13.65" customHeight="1">
      <c r="A2317" s="21">
        <v>19</v>
      </c>
      <c r="B2317" t="s" s="22">
        <v>414</v>
      </c>
      <c r="C2317" s="23">
        <v>1</v>
      </c>
      <c r="D2317" t="s" s="24">
        <v>116</v>
      </c>
      <c r="E2317" s="25">
        <v>5.2</v>
      </c>
      <c r="F2317" s="23">
        <v>10</v>
      </c>
      <c r="G2317" s="152" cm="1">
        <f t="array" ref="G2317">SUM(E2317/F2317)</f>
        <v>0.52</v>
      </c>
      <c r="H2317" s="15"/>
    </row>
    <row r="2318" ht="13.65" customHeight="1">
      <c r="A2318" s="21">
        <v>74</v>
      </c>
      <c r="B2318" t="s" s="22">
        <v>623</v>
      </c>
      <c r="C2318" t="s" s="24">
        <v>426</v>
      </c>
      <c r="D2318" t="s" s="24">
        <v>424</v>
      </c>
      <c r="E2318" s="25">
        <v>4.5</v>
      </c>
      <c r="F2318" s="23">
        <v>20</v>
      </c>
      <c r="G2318" s="152" cm="1">
        <f t="array" ref="G2318">SUM(E2318/F2318)</f>
        <v>0.225</v>
      </c>
      <c r="H2318" s="15"/>
    </row>
    <row r="2319" ht="13.65" customHeight="1">
      <c r="A2319" s="21">
        <v>122</v>
      </c>
      <c r="B2319" t="s" s="22">
        <v>489</v>
      </c>
      <c r="C2319" t="s" s="24">
        <v>490</v>
      </c>
      <c r="D2319" t="s" s="24">
        <v>676</v>
      </c>
      <c r="E2319" s="25">
        <v>1.7</v>
      </c>
      <c r="F2319" s="23">
        <v>166</v>
      </c>
      <c r="G2319" s="152" cm="1">
        <f t="array" ref="G2319">SUM(E2319/F2319)</f>
        <v>0.0102409638554217</v>
      </c>
      <c r="H2319" s="15"/>
    </row>
    <row r="2320" ht="13.65" customHeight="1">
      <c r="A2320" s="21">
        <v>95</v>
      </c>
      <c r="B2320" t="s" s="22">
        <v>677</v>
      </c>
      <c r="C2320" t="s" s="24">
        <v>384</v>
      </c>
      <c r="D2320" t="s" s="24">
        <v>627</v>
      </c>
      <c r="E2320" s="25">
        <v>6.7</v>
      </c>
      <c r="F2320" s="23">
        <v>20</v>
      </c>
      <c r="G2320" s="152" cm="1">
        <f t="array" ref="G2320">SUM(E2320/F2320)</f>
        <v>0.335</v>
      </c>
      <c r="H2320" s="15"/>
    </row>
    <row r="2321" ht="13.65" customHeight="1">
      <c r="A2321" s="28"/>
      <c r="B2321" s="28"/>
      <c r="C2321" s="27"/>
      <c r="D2321" s="24"/>
      <c r="E2321" s="27"/>
      <c r="F2321" t="s" s="29">
        <v>118</v>
      </c>
      <c r="G2321" s="197" cm="1">
        <f t="array" ref="G2321">SUM(G2301:G2320)</f>
        <v>10.9764836427452</v>
      </c>
      <c r="H2321" s="15"/>
    </row>
    <row r="2322" ht="13.65" customHeight="1">
      <c r="A2322" s="129"/>
      <c r="B2322" s="129"/>
      <c r="C2322" s="129"/>
      <c r="D2322" s="129"/>
      <c r="E2322" s="129"/>
      <c r="F2322" s="31"/>
      <c r="G2322" s="31"/>
      <c r="H2322" s="3"/>
    </row>
    <row r="2323" ht="11.7" customHeight="1">
      <c r="A2323" t="s" s="167">
        <v>136</v>
      </c>
      <c r="B2323" t="s" s="167">
        <v>281</v>
      </c>
      <c r="C2323" t="s" s="167">
        <v>282</v>
      </c>
      <c r="D2323" t="s" s="168">
        <v>283</v>
      </c>
      <c r="E2323" s="169"/>
      <c r="F2323" s="170"/>
      <c r="G2323" s="171"/>
      <c r="H2323" s="171"/>
    </row>
    <row r="2324" ht="13.65" customHeight="1">
      <c r="A2324" s="23">
        <v>60</v>
      </c>
      <c r="B2324" s="172" cm="1">
        <f t="array" ref="B2324">SUM(H256)</f>
        <v>2.47496540404041</v>
      </c>
      <c r="C2324" s="172" cm="1">
        <f t="array" ref="C2324">SUM(G2321)</f>
        <v>10.9764836427452</v>
      </c>
      <c r="D2324" s="199" cm="1">
        <f t="array" ref="D2324">SUM(A2324*B2324)+(C2324)</f>
        <v>159.474407885170</v>
      </c>
      <c r="E2324" s="200"/>
      <c r="F2324" s="15"/>
      <c r="G2324" s="3"/>
      <c r="H2324" s="3"/>
    </row>
    <row r="2325" ht="13.65" customHeight="1">
      <c r="A2325" s="31"/>
      <c r="B2325" s="31"/>
      <c r="C2325" s="31"/>
      <c r="D2325" s="31"/>
      <c r="E2325" s="31"/>
      <c r="F2325" s="3"/>
      <c r="G2325" s="3"/>
      <c r="H2325" s="3"/>
    </row>
    <row r="2326" ht="13.65" customHeight="1">
      <c r="A2326" s="203"/>
      <c r="B2326" s="203"/>
      <c r="C2326" s="203"/>
      <c r="D2326" s="203"/>
      <c r="E2326" s="203"/>
      <c r="F2326" s="203"/>
      <c r="G2326" s="203"/>
      <c r="H2326" s="203"/>
    </row>
    <row r="2327" ht="13.65" customHeight="1">
      <c r="A2327" t="s" s="274">
        <v>185</v>
      </c>
      <c r="B2327" s="275"/>
      <c r="C2327" s="275"/>
      <c r="D2327" s="275"/>
      <c r="E2327" s="280"/>
      <c r="F2327" s="275"/>
      <c r="G2327" s="275"/>
      <c r="H2327" s="277"/>
    </row>
    <row r="2328" ht="13.65" customHeight="1">
      <c r="A2328" s="278"/>
      <c r="B2328" s="278"/>
      <c r="C2328" s="278"/>
      <c r="D2328" s="278"/>
      <c r="E2328" s="278"/>
      <c r="F2328" s="278"/>
      <c r="G2328" s="278"/>
      <c r="H2328" s="278"/>
    </row>
    <row r="2329" ht="13.65" customHeight="1">
      <c r="A2329" s="3"/>
      <c r="B2329" s="3"/>
      <c r="C2329" s="3"/>
      <c r="D2329" s="3"/>
      <c r="E2329" s="3"/>
      <c r="F2329" s="3"/>
      <c r="G2329" s="3"/>
      <c r="H2329" s="3"/>
    </row>
    <row r="2330" ht="13.65" customHeight="1">
      <c r="A2330" t="s" s="5">
        <v>678</v>
      </c>
      <c r="B2330" s="3"/>
      <c r="C2330" s="3"/>
      <c r="D2330" s="3"/>
      <c r="E2330" s="3"/>
      <c r="F2330" s="3"/>
      <c r="G2330" s="3"/>
      <c r="H2330" s="3"/>
    </row>
    <row r="2331" ht="13.65" customHeight="1">
      <c r="A2331" s="11"/>
      <c r="B2331" s="11"/>
      <c r="C2331" s="11"/>
      <c r="D2331" s="11"/>
      <c r="E2331" s="11"/>
      <c r="F2331" s="11"/>
      <c r="G2331" s="11"/>
      <c r="H2331" s="3"/>
    </row>
    <row r="2332" ht="13.65" customHeight="1">
      <c r="A2332" s="12"/>
      <c r="B2332" s="12"/>
      <c r="C2332" s="13"/>
      <c r="D2332" s="14"/>
      <c r="E2332" s="13"/>
      <c r="F2332" s="13"/>
      <c r="G2332" t="s" s="14">
        <v>252</v>
      </c>
      <c r="H2332" s="150"/>
    </row>
    <row r="2333" ht="13.65" customHeight="1">
      <c r="A2333" t="s" s="16">
        <v>93</v>
      </c>
      <c r="B2333" t="s" s="16">
        <v>94</v>
      </c>
      <c r="C2333" t="s" s="16">
        <v>95</v>
      </c>
      <c r="D2333" t="s" s="16">
        <v>96</v>
      </c>
      <c r="E2333" t="s" s="16">
        <v>97</v>
      </c>
      <c r="F2333" t="s" s="16">
        <v>98</v>
      </c>
      <c r="G2333" t="s" s="16">
        <v>99</v>
      </c>
      <c r="H2333" s="15"/>
    </row>
    <row r="2334" ht="13.65" customHeight="1">
      <c r="A2334" s="151"/>
      <c r="B2334" s="151"/>
      <c r="C2334" s="19"/>
      <c r="D2334" s="20"/>
      <c r="E2334" s="19"/>
      <c r="F2334" s="19"/>
      <c r="G2334" t="s" s="20">
        <v>100</v>
      </c>
      <c r="H2334" s="15"/>
    </row>
    <row r="2335" ht="13.65" customHeight="1">
      <c r="A2335" s="21">
        <v>72</v>
      </c>
      <c r="B2335" t="s" s="22">
        <v>101</v>
      </c>
      <c r="C2335" s="23">
        <v>50</v>
      </c>
      <c r="D2335" t="s" s="24">
        <v>405</v>
      </c>
      <c r="E2335" s="25">
        <v>1.93</v>
      </c>
      <c r="F2335" s="23">
        <v>6.25</v>
      </c>
      <c r="G2335" s="152" cm="1">
        <f t="array" ref="G2335">SUM(E2335/F2335)</f>
        <v>0.3088</v>
      </c>
      <c r="H2335" s="15"/>
    </row>
    <row r="2336" ht="13.65" customHeight="1">
      <c r="A2336" s="21">
        <v>123</v>
      </c>
      <c r="B2336" t="s" s="22">
        <v>103</v>
      </c>
      <c r="C2336" s="23">
        <v>40</v>
      </c>
      <c r="D2336" t="s" s="24">
        <v>256</v>
      </c>
      <c r="E2336" s="25">
        <v>3.2</v>
      </c>
      <c r="F2336" s="23">
        <v>13</v>
      </c>
      <c r="G2336" s="152" cm="1">
        <f t="array" ref="G2336">SUM(E2336/F2336)</f>
        <v>0.246153846153846</v>
      </c>
      <c r="H2336" s="15"/>
    </row>
    <row r="2337" ht="13.65" customHeight="1">
      <c r="A2337" s="21">
        <v>57</v>
      </c>
      <c r="B2337" t="s" s="22">
        <v>253</v>
      </c>
      <c r="C2337" t="s" s="24">
        <v>673</v>
      </c>
      <c r="D2337" t="s" s="24">
        <v>371</v>
      </c>
      <c r="E2337" s="25">
        <v>4.5</v>
      </c>
      <c r="F2337" s="23">
        <v>33</v>
      </c>
      <c r="G2337" s="152" cm="1">
        <f t="array" ref="G2337">SUM(E2337/F2337)</f>
        <v>0.136363636363636</v>
      </c>
      <c r="H2337" s="15"/>
    </row>
    <row r="2338" ht="13.65" customHeight="1">
      <c r="A2338" s="21">
        <v>65</v>
      </c>
      <c r="B2338" t="s" s="22">
        <v>394</v>
      </c>
      <c r="C2338" s="23">
        <v>500</v>
      </c>
      <c r="D2338" t="s" s="24">
        <v>102</v>
      </c>
      <c r="E2338" s="25">
        <v>26</v>
      </c>
      <c r="F2338" s="23">
        <v>250</v>
      </c>
      <c r="G2338" s="152" cm="1">
        <f t="array" ref="G2338">SUM(E2338/F2338)</f>
        <v>0.104</v>
      </c>
      <c r="H2338" s="15"/>
    </row>
    <row r="2339" ht="13.65" customHeight="1">
      <c r="A2339" s="21">
        <v>86</v>
      </c>
      <c r="B2339" t="s" s="22">
        <v>107</v>
      </c>
      <c r="C2339" t="s" s="24">
        <v>670</v>
      </c>
      <c r="D2339" t="s" s="24">
        <v>102</v>
      </c>
      <c r="E2339" s="25">
        <v>0.32</v>
      </c>
      <c r="F2339" t="s" s="24">
        <v>387</v>
      </c>
      <c r="G2339" s="152" cm="1">
        <f t="array" ref="G2339">SUM(E2339*2)</f>
        <v>0.64</v>
      </c>
      <c r="H2339" s="15"/>
    </row>
    <row r="2340" ht="13.65" customHeight="1">
      <c r="A2340" s="21">
        <v>71</v>
      </c>
      <c r="B2340" t="s" s="22">
        <v>109</v>
      </c>
      <c r="C2340" s="23">
        <v>10</v>
      </c>
      <c r="D2340" t="s" s="24">
        <v>102</v>
      </c>
      <c r="E2340" s="25">
        <v>5.92</v>
      </c>
      <c r="F2340" s="23">
        <v>5</v>
      </c>
      <c r="G2340" s="152" cm="1">
        <f t="array" ref="G2340">SUM(E2340/F2340)</f>
        <v>1.184</v>
      </c>
      <c r="H2340" s="15"/>
    </row>
    <row r="2341" ht="13.65" customHeight="1">
      <c r="A2341" s="21">
        <v>87</v>
      </c>
      <c r="B2341" t="s" s="22">
        <v>110</v>
      </c>
      <c r="C2341" s="23">
        <v>50</v>
      </c>
      <c r="D2341" t="s" s="24">
        <v>102</v>
      </c>
      <c r="E2341" s="25">
        <v>9</v>
      </c>
      <c r="F2341" s="23">
        <v>25</v>
      </c>
      <c r="G2341" s="152" cm="1">
        <f t="array" ref="G2341">SUM(E2341/F2341)</f>
        <v>0.36</v>
      </c>
      <c r="H2341" s="15"/>
    </row>
    <row r="2342" ht="13.65" customHeight="1">
      <c r="A2342" s="21">
        <v>55</v>
      </c>
      <c r="B2342" t="s" s="22">
        <v>111</v>
      </c>
      <c r="C2342" t="s" s="24">
        <v>112</v>
      </c>
      <c r="D2342" t="s" s="24">
        <v>113</v>
      </c>
      <c r="E2342" s="25">
        <v>2.71</v>
      </c>
      <c r="F2342" s="23">
        <v>75</v>
      </c>
      <c r="G2342" s="152" cm="1">
        <f t="array" ref="G2342">SUM(E2342/F2342)</f>
        <v>0.0361333333333333</v>
      </c>
      <c r="H2342" s="15"/>
    </row>
    <row r="2343" ht="13.65" customHeight="1">
      <c r="A2343" s="21">
        <v>24</v>
      </c>
      <c r="B2343" t="s" s="22">
        <v>531</v>
      </c>
      <c r="C2343" s="23">
        <v>10</v>
      </c>
      <c r="D2343" t="s" s="24">
        <v>104</v>
      </c>
      <c r="E2343" s="25">
        <v>9.6</v>
      </c>
      <c r="F2343" s="23">
        <v>10</v>
      </c>
      <c r="G2343" s="152" cm="1">
        <f t="array" ref="G2343">SUM(E2343/F2343)</f>
        <v>0.96</v>
      </c>
      <c r="H2343" s="15"/>
    </row>
    <row r="2344" ht="13.65" customHeight="1">
      <c r="A2344" s="21">
        <v>79</v>
      </c>
      <c r="B2344" t="s" s="22">
        <v>439</v>
      </c>
      <c r="C2344" s="23">
        <v>20</v>
      </c>
      <c r="D2344" t="s" s="24">
        <v>104</v>
      </c>
      <c r="E2344" s="25">
        <v>25</v>
      </c>
      <c r="F2344" s="23">
        <v>20</v>
      </c>
      <c r="G2344" s="152" cm="1">
        <f t="array" ref="G2344">SUM(E2344/F2344)</f>
        <v>1.25</v>
      </c>
      <c r="H2344" s="15"/>
    </row>
    <row r="2345" ht="13.65" customHeight="1">
      <c r="A2345" s="21">
        <v>85</v>
      </c>
      <c r="B2345" t="s" s="22">
        <v>463</v>
      </c>
      <c r="C2345" t="s" s="24">
        <v>464</v>
      </c>
      <c r="D2345" t="s" s="24">
        <v>384</v>
      </c>
      <c r="E2345" s="25">
        <v>4.82</v>
      </c>
      <c r="F2345" s="23">
        <v>50</v>
      </c>
      <c r="G2345" s="152" cm="1">
        <f t="array" ref="G2345">SUM(E2345/F2345)</f>
        <v>0.0964</v>
      </c>
      <c r="H2345" s="15"/>
    </row>
    <row r="2346" ht="13.65" customHeight="1">
      <c r="A2346" s="21">
        <v>19</v>
      </c>
      <c r="B2346" t="s" s="22">
        <v>414</v>
      </c>
      <c r="C2346" s="23">
        <v>1</v>
      </c>
      <c r="D2346" t="s" s="24">
        <v>116</v>
      </c>
      <c r="E2346" s="25">
        <v>5.2</v>
      </c>
      <c r="F2346" s="23">
        <v>10</v>
      </c>
      <c r="G2346" s="152" cm="1">
        <f t="array" ref="G2346">SUM(E2346/F2346)</f>
        <v>0.52</v>
      </c>
      <c r="H2346" s="15"/>
    </row>
    <row r="2347" ht="13.65" customHeight="1">
      <c r="A2347" s="21">
        <v>34</v>
      </c>
      <c r="B2347" t="s" s="22">
        <v>456</v>
      </c>
      <c r="C2347" t="s" s="24">
        <v>455</v>
      </c>
      <c r="D2347" t="s" s="24">
        <v>424</v>
      </c>
      <c r="E2347" s="25">
        <v>63</v>
      </c>
      <c r="F2347" s="23">
        <v>50</v>
      </c>
      <c r="G2347" s="152" cm="1">
        <f t="array" ref="G2347">SUM(E2347/F2347)</f>
        <v>1.26</v>
      </c>
      <c r="H2347" s="15"/>
    </row>
    <row r="2348" ht="13.65" customHeight="1">
      <c r="A2348" s="21">
        <v>73</v>
      </c>
      <c r="B2348" t="s" s="22">
        <v>621</v>
      </c>
      <c r="C2348" t="s" s="24">
        <v>432</v>
      </c>
      <c r="D2348" t="s" s="24">
        <v>424</v>
      </c>
      <c r="E2348" s="25">
        <v>13.5</v>
      </c>
      <c r="F2348" s="23">
        <v>28</v>
      </c>
      <c r="G2348" s="152" cm="1">
        <f t="array" ref="G2348">SUM(E2348/F2348)</f>
        <v>0.482142857142857</v>
      </c>
      <c r="H2348" s="15"/>
    </row>
    <row r="2349" ht="13.65" customHeight="1">
      <c r="A2349" s="21">
        <v>119</v>
      </c>
      <c r="B2349" t="s" s="22">
        <v>467</v>
      </c>
      <c r="C2349" s="23">
        <v>1</v>
      </c>
      <c r="D2349" t="s" s="24">
        <v>468</v>
      </c>
      <c r="E2349" s="25">
        <v>0.45</v>
      </c>
      <c r="F2349" s="23">
        <v>1</v>
      </c>
      <c r="G2349" s="152" cm="1">
        <f t="array" ref="G2349">SUM(E2349/F2349)</f>
        <v>0.45</v>
      </c>
      <c r="H2349" s="15"/>
    </row>
    <row r="2350" ht="13.65" customHeight="1">
      <c r="A2350" s="21">
        <v>122</v>
      </c>
      <c r="B2350" t="s" s="22">
        <v>489</v>
      </c>
      <c r="C2350" t="s" s="24">
        <v>490</v>
      </c>
      <c r="D2350" t="s" s="24">
        <v>676</v>
      </c>
      <c r="E2350" s="25">
        <v>1.7</v>
      </c>
      <c r="F2350" s="23">
        <v>166</v>
      </c>
      <c r="G2350" s="152" cm="1">
        <f t="array" ref="G2350">SUM(E2350/F2350)</f>
        <v>0.0102409638554217</v>
      </c>
      <c r="H2350" s="15"/>
    </row>
    <row r="2351" ht="13.65" customHeight="1">
      <c r="A2351" s="21">
        <v>50</v>
      </c>
      <c r="B2351" t="s" s="22">
        <v>679</v>
      </c>
      <c r="C2351" t="s" s="24">
        <v>384</v>
      </c>
      <c r="D2351" t="s" s="24">
        <v>680</v>
      </c>
      <c r="E2351" s="25">
        <v>165</v>
      </c>
      <c r="F2351" s="23">
        <v>20</v>
      </c>
      <c r="G2351" s="152" cm="1">
        <f t="array" ref="G2351">SUM(E2351/F2351)</f>
        <v>8.25</v>
      </c>
      <c r="H2351" s="15"/>
    </row>
    <row r="2352" ht="13.65" customHeight="1">
      <c r="A2352" s="28"/>
      <c r="B2352" s="28"/>
      <c r="C2352" s="27"/>
      <c r="D2352" s="24"/>
      <c r="E2352" s="27"/>
      <c r="F2352" t="s" s="29">
        <v>118</v>
      </c>
      <c r="G2352" s="197" cm="1">
        <f t="array" ref="G2352">SUM(G2335:G2351)</f>
        <v>16.2942346368491</v>
      </c>
      <c r="H2352" s="15"/>
    </row>
    <row r="2353" ht="13.65" customHeight="1">
      <c r="A2353" s="129"/>
      <c r="B2353" s="129"/>
      <c r="C2353" s="129"/>
      <c r="D2353" s="129"/>
      <c r="E2353" s="129"/>
      <c r="F2353" s="31"/>
      <c r="G2353" s="31"/>
      <c r="H2353" s="3"/>
    </row>
    <row r="2354" ht="11.7" customHeight="1">
      <c r="A2354" t="s" s="167">
        <v>136</v>
      </c>
      <c r="B2354" t="s" s="167">
        <v>281</v>
      </c>
      <c r="C2354" t="s" s="167">
        <v>282</v>
      </c>
      <c r="D2354" t="s" s="168">
        <v>283</v>
      </c>
      <c r="E2354" s="169"/>
      <c r="F2354" s="170"/>
      <c r="G2354" s="171"/>
      <c r="H2354" s="171"/>
    </row>
    <row r="2355" ht="13.65" customHeight="1">
      <c r="A2355" s="23">
        <v>90</v>
      </c>
      <c r="B2355" s="172" cm="1">
        <f t="array" ref="B2355">SUM(H256)</f>
        <v>2.47496540404041</v>
      </c>
      <c r="C2355" s="172" cm="1">
        <f t="array" ref="C2355">SUM(G2352)</f>
        <v>16.2942346368491</v>
      </c>
      <c r="D2355" s="199" cm="1">
        <f t="array" ref="D2355">SUM(A2355*B2355)+(C2355)</f>
        <v>239.041121000486</v>
      </c>
      <c r="E2355" s="200"/>
      <c r="F2355" s="15"/>
      <c r="G2355" s="3"/>
      <c r="H2355" s="3"/>
    </row>
    <row r="2356" ht="13.65" customHeight="1">
      <c r="A2356" s="31"/>
      <c r="B2356" s="31"/>
      <c r="C2356" s="31"/>
      <c r="D2356" s="31"/>
      <c r="E2356" s="31"/>
      <c r="F2356" s="3"/>
      <c r="G2356" s="3"/>
      <c r="H2356" s="3"/>
    </row>
    <row r="2357" ht="13.65" customHeight="1">
      <c r="A2357" s="3"/>
      <c r="B2357" s="3"/>
      <c r="C2357" s="3"/>
      <c r="D2357" s="3"/>
      <c r="E2357" s="3"/>
      <c r="F2357" s="3"/>
      <c r="G2357" s="3"/>
      <c r="H2357" s="3"/>
    </row>
    <row r="2358" ht="13.65" customHeight="1">
      <c r="A2358" t="s" s="5">
        <v>681</v>
      </c>
      <c r="B2358" s="3"/>
      <c r="C2358" s="3"/>
      <c r="D2358" s="3"/>
      <c r="E2358" s="3"/>
      <c r="F2358" s="3"/>
      <c r="G2358" s="3"/>
      <c r="H2358" s="3"/>
    </row>
    <row r="2359" ht="13.65" customHeight="1">
      <c r="A2359" s="11"/>
      <c r="B2359" s="11"/>
      <c r="C2359" s="11"/>
      <c r="D2359" s="11"/>
      <c r="E2359" s="11"/>
      <c r="F2359" s="11"/>
      <c r="G2359" s="11"/>
      <c r="H2359" s="3"/>
    </row>
    <row r="2360" ht="13.65" customHeight="1">
      <c r="A2360" s="12"/>
      <c r="B2360" s="12"/>
      <c r="C2360" s="13"/>
      <c r="D2360" s="14"/>
      <c r="E2360" s="13"/>
      <c r="F2360" s="13"/>
      <c r="G2360" t="s" s="14">
        <v>252</v>
      </c>
      <c r="H2360" s="150"/>
    </row>
    <row r="2361" ht="13.65" customHeight="1">
      <c r="A2361" t="s" s="16">
        <v>93</v>
      </c>
      <c r="B2361" t="s" s="16">
        <v>94</v>
      </c>
      <c r="C2361" t="s" s="16">
        <v>95</v>
      </c>
      <c r="D2361" t="s" s="16">
        <v>96</v>
      </c>
      <c r="E2361" t="s" s="16">
        <v>97</v>
      </c>
      <c r="F2361" t="s" s="16">
        <v>98</v>
      </c>
      <c r="G2361" t="s" s="16">
        <v>99</v>
      </c>
      <c r="H2361" s="15"/>
    </row>
    <row r="2362" ht="13.65" customHeight="1">
      <c r="A2362" s="151"/>
      <c r="B2362" s="151"/>
      <c r="C2362" s="19"/>
      <c r="D2362" s="20"/>
      <c r="E2362" s="19"/>
      <c r="F2362" s="19"/>
      <c r="G2362" t="s" s="20">
        <v>100</v>
      </c>
      <c r="H2362" s="15"/>
    </row>
    <row r="2363" ht="13.65" customHeight="1">
      <c r="A2363" s="21">
        <v>72</v>
      </c>
      <c r="B2363" t="s" s="22">
        <v>101</v>
      </c>
      <c r="C2363" s="23">
        <v>50</v>
      </c>
      <c r="D2363" t="s" s="24">
        <v>102</v>
      </c>
      <c r="E2363" s="25">
        <v>1.93</v>
      </c>
      <c r="F2363" s="23">
        <v>25</v>
      </c>
      <c r="G2363" s="152" cm="1">
        <f t="array" ref="G2363">SUM(E2363/F2363)</f>
        <v>0.0772</v>
      </c>
      <c r="H2363" s="15"/>
    </row>
    <row r="2364" ht="13.65" customHeight="1">
      <c r="A2364" s="21">
        <v>123</v>
      </c>
      <c r="B2364" t="s" s="22">
        <v>103</v>
      </c>
      <c r="C2364" s="23">
        <v>40</v>
      </c>
      <c r="D2364" t="s" s="24">
        <v>104</v>
      </c>
      <c r="E2364" s="25">
        <v>3.2</v>
      </c>
      <c r="F2364" s="23">
        <v>40</v>
      </c>
      <c r="G2364" s="152" cm="1">
        <f t="array" ref="G2364">SUM(E2364/F2364)</f>
        <v>0.08</v>
      </c>
      <c r="H2364" s="15"/>
    </row>
    <row r="2365" ht="13.65" customHeight="1">
      <c r="A2365" s="21">
        <v>86</v>
      </c>
      <c r="B2365" t="s" s="22">
        <v>107</v>
      </c>
      <c r="C2365" t="s" s="24">
        <v>670</v>
      </c>
      <c r="D2365" t="s" s="24">
        <v>102</v>
      </c>
      <c r="E2365" s="25">
        <v>0.32</v>
      </c>
      <c r="F2365" t="s" s="24">
        <v>387</v>
      </c>
      <c r="G2365" s="152" cm="1">
        <f t="array" ref="G2365">SUM(E2365*2)</f>
        <v>0.64</v>
      </c>
      <c r="H2365" s="15"/>
    </row>
    <row r="2366" ht="13.65" customHeight="1">
      <c r="A2366" s="21">
        <v>71</v>
      </c>
      <c r="B2366" t="s" s="22">
        <v>109</v>
      </c>
      <c r="C2366" s="23">
        <v>10</v>
      </c>
      <c r="D2366" t="s" s="24">
        <v>102</v>
      </c>
      <c r="E2366" s="25">
        <v>5.92</v>
      </c>
      <c r="F2366" s="23">
        <v>5</v>
      </c>
      <c r="G2366" s="152" cm="1">
        <f t="array" ref="G2366">SUM(E2366/F2366)</f>
        <v>1.184</v>
      </c>
      <c r="H2366" s="15"/>
    </row>
    <row r="2367" ht="13.65" customHeight="1">
      <c r="A2367" s="21">
        <v>87</v>
      </c>
      <c r="B2367" t="s" s="22">
        <v>110</v>
      </c>
      <c r="C2367" s="23">
        <v>50</v>
      </c>
      <c r="D2367" t="s" s="24">
        <v>102</v>
      </c>
      <c r="E2367" s="25">
        <v>9</v>
      </c>
      <c r="F2367" s="23">
        <v>25</v>
      </c>
      <c r="G2367" s="152" cm="1">
        <f t="array" ref="G2367">SUM(E2367/F2367)</f>
        <v>0.36</v>
      </c>
      <c r="H2367" s="15"/>
    </row>
    <row r="2368" ht="13.65" customHeight="1">
      <c r="A2368" s="21">
        <v>55</v>
      </c>
      <c r="B2368" t="s" s="22">
        <v>111</v>
      </c>
      <c r="C2368" t="s" s="24">
        <v>112</v>
      </c>
      <c r="D2368" t="s" s="24">
        <v>113</v>
      </c>
      <c r="E2368" s="25">
        <v>2.71</v>
      </c>
      <c r="F2368" s="23">
        <v>70</v>
      </c>
      <c r="G2368" s="152" cm="1">
        <f t="array" ref="G2368">SUM(E2368/F2368)</f>
        <v>0.0387142857142857</v>
      </c>
      <c r="H2368" s="15"/>
    </row>
    <row r="2369" ht="13.65" customHeight="1">
      <c r="A2369" s="21">
        <v>34</v>
      </c>
      <c r="B2369" t="s" s="22">
        <v>456</v>
      </c>
      <c r="C2369" t="s" s="24">
        <v>455</v>
      </c>
      <c r="D2369" t="s" s="24">
        <v>424</v>
      </c>
      <c r="E2369" s="25">
        <v>63</v>
      </c>
      <c r="F2369" s="23">
        <v>50</v>
      </c>
      <c r="G2369" s="152" cm="1">
        <f t="array" ref="G2369">SUM(E2369/F2369)</f>
        <v>1.26</v>
      </c>
      <c r="H2369" s="15"/>
    </row>
    <row r="2370" ht="13.65" customHeight="1">
      <c r="A2370" s="21">
        <v>73</v>
      </c>
      <c r="B2370" t="s" s="22">
        <v>621</v>
      </c>
      <c r="C2370" t="s" s="24">
        <v>432</v>
      </c>
      <c r="D2370" t="s" s="24">
        <v>424</v>
      </c>
      <c r="E2370" s="25">
        <v>13.5</v>
      </c>
      <c r="F2370" s="23">
        <v>28</v>
      </c>
      <c r="G2370" s="152" cm="1">
        <f t="array" ref="G2370">SUM(E2370/F2370)</f>
        <v>0.482142857142857</v>
      </c>
      <c r="H2370" s="15"/>
    </row>
    <row r="2371" ht="13.65" customHeight="1">
      <c r="A2371" s="21">
        <v>13</v>
      </c>
      <c r="B2371" t="s" s="22">
        <v>682</v>
      </c>
      <c r="C2371" s="23">
        <v>6</v>
      </c>
      <c r="D2371" t="s" s="24">
        <v>444</v>
      </c>
      <c r="E2371" s="25">
        <v>14</v>
      </c>
      <c r="F2371" s="23">
        <v>10</v>
      </c>
      <c r="G2371" s="152" cm="1">
        <f t="array" ref="G2371">SUM(E2371/F2371)</f>
        <v>1.4</v>
      </c>
      <c r="H2371" s="15"/>
    </row>
    <row r="2372" ht="13.65" customHeight="1">
      <c r="A2372" s="21">
        <v>14</v>
      </c>
      <c r="B2372" t="s" s="22">
        <v>683</v>
      </c>
      <c r="C2372" s="23">
        <v>6</v>
      </c>
      <c r="D2372" t="s" s="24">
        <v>279</v>
      </c>
      <c r="E2372" s="25">
        <v>14</v>
      </c>
      <c r="F2372" s="23">
        <v>6</v>
      </c>
      <c r="G2372" s="152" cm="1">
        <f t="array" ref="G2372">SUM(E2372/F2372)</f>
        <v>2.33333333333333</v>
      </c>
      <c r="H2372" s="15"/>
    </row>
    <row r="2373" ht="13.65" customHeight="1">
      <c r="A2373" s="21">
        <v>54</v>
      </c>
      <c r="B2373" t="s" s="22">
        <v>630</v>
      </c>
      <c r="C2373" s="23">
        <v>150</v>
      </c>
      <c r="D2373" t="s" s="24">
        <v>104</v>
      </c>
      <c r="E2373" s="25">
        <v>118</v>
      </c>
      <c r="F2373" s="23">
        <v>150</v>
      </c>
      <c r="G2373" s="152" cm="1">
        <f t="array" ref="G2373">SUM(E2373/F2373)</f>
        <v>0.786666666666667</v>
      </c>
      <c r="H2373" s="15"/>
    </row>
    <row r="2374" ht="13.65" customHeight="1">
      <c r="A2374" s="21">
        <v>82</v>
      </c>
      <c r="B2374" t="s" s="22">
        <v>622</v>
      </c>
      <c r="C2374" s="23">
        <v>6</v>
      </c>
      <c r="D2374" t="s" s="24">
        <v>104</v>
      </c>
      <c r="E2374" s="25">
        <v>41</v>
      </c>
      <c r="F2374" s="23">
        <v>6</v>
      </c>
      <c r="G2374" s="152" cm="1">
        <f t="array" ref="G2374">SUM(E2374/F2374)</f>
        <v>6.83333333333333</v>
      </c>
      <c r="H2374" s="15"/>
    </row>
    <row r="2375" ht="13.65" customHeight="1">
      <c r="A2375" s="21">
        <v>45</v>
      </c>
      <c r="B2375" t="s" s="22">
        <v>684</v>
      </c>
      <c r="C2375" s="23">
        <v>100</v>
      </c>
      <c r="D2375" t="s" s="24">
        <v>104</v>
      </c>
      <c r="E2375" s="25">
        <v>18</v>
      </c>
      <c r="F2375" s="23">
        <v>100</v>
      </c>
      <c r="G2375" s="152" cm="1">
        <f t="array" ref="G2375">SUM(E2375/F2375)</f>
        <v>0.18</v>
      </c>
      <c r="H2375" s="15"/>
    </row>
    <row r="2376" ht="13.65" customHeight="1">
      <c r="A2376" s="28"/>
      <c r="B2376" s="28"/>
      <c r="C2376" s="27"/>
      <c r="D2376" s="24"/>
      <c r="E2376" s="27"/>
      <c r="F2376" t="s" s="29">
        <v>118</v>
      </c>
      <c r="G2376" s="197" cm="1">
        <f t="array" ref="G2376">SUM(G2363:G2375)</f>
        <v>15.6553904761905</v>
      </c>
      <c r="H2376" s="15"/>
    </row>
    <row r="2377" ht="13.65" customHeight="1">
      <c r="A2377" s="129"/>
      <c r="B2377" s="129"/>
      <c r="C2377" s="129"/>
      <c r="D2377" s="129"/>
      <c r="E2377" s="129"/>
      <c r="F2377" s="31"/>
      <c r="G2377" s="31"/>
      <c r="H2377" s="3"/>
    </row>
    <row r="2378" ht="11.7" customHeight="1">
      <c r="A2378" t="s" s="167">
        <v>136</v>
      </c>
      <c r="B2378" t="s" s="167">
        <v>281</v>
      </c>
      <c r="C2378" t="s" s="167">
        <v>282</v>
      </c>
      <c r="D2378" t="s" s="168">
        <v>283</v>
      </c>
      <c r="E2378" s="169"/>
      <c r="F2378" s="170"/>
      <c r="G2378" s="171"/>
      <c r="H2378" s="171"/>
    </row>
    <row r="2379" ht="13.65" customHeight="1">
      <c r="A2379" s="23">
        <v>30</v>
      </c>
      <c r="B2379" s="172" cm="1">
        <f t="array" ref="B2379">SUM(H256)</f>
        <v>2.47496540404041</v>
      </c>
      <c r="C2379" s="172" cm="1">
        <f t="array" ref="C2379">SUM(G2376)</f>
        <v>15.6553904761905</v>
      </c>
      <c r="D2379" s="199" cm="1">
        <f t="array" ref="D2379">SUM(A2379*B2379)+(C2379)</f>
        <v>89.90435259740281</v>
      </c>
      <c r="E2379" s="200"/>
      <c r="F2379" s="15"/>
      <c r="G2379" s="3"/>
      <c r="H2379" s="3"/>
    </row>
    <row r="2380" ht="13.65" customHeight="1">
      <c r="A2380" s="31"/>
      <c r="B2380" s="31"/>
      <c r="C2380" s="31"/>
      <c r="D2380" s="31"/>
      <c r="E2380" s="31"/>
      <c r="F2380" s="3"/>
      <c r="G2380" s="3"/>
      <c r="H2380" s="3"/>
    </row>
    <row r="2381" ht="13.65" customHeight="1">
      <c r="A2381" s="203"/>
      <c r="B2381" s="203"/>
      <c r="C2381" s="203"/>
      <c r="D2381" s="203"/>
      <c r="E2381" s="203"/>
      <c r="F2381" s="203"/>
      <c r="G2381" s="203"/>
      <c r="H2381" s="203"/>
    </row>
    <row r="2382" ht="13.65" customHeight="1">
      <c r="A2382" t="s" s="274">
        <v>185</v>
      </c>
      <c r="B2382" s="275"/>
      <c r="C2382" s="275"/>
      <c r="D2382" s="275"/>
      <c r="E2382" s="280"/>
      <c r="F2382" s="275"/>
      <c r="G2382" s="275"/>
      <c r="H2382" s="277"/>
    </row>
    <row r="2383" ht="13.65" customHeight="1">
      <c r="A2383" s="278"/>
      <c r="B2383" s="278"/>
      <c r="C2383" s="278"/>
      <c r="D2383" s="278"/>
      <c r="E2383" s="278"/>
      <c r="F2383" s="278"/>
      <c r="G2383" s="278"/>
      <c r="H2383" s="278"/>
    </row>
    <row r="2384" ht="13.65" customHeight="1">
      <c r="A2384" s="3"/>
      <c r="B2384" s="3"/>
      <c r="C2384" s="3"/>
      <c r="D2384" s="3"/>
      <c r="E2384" s="3"/>
      <c r="F2384" s="3"/>
      <c r="G2384" s="3"/>
      <c r="H2384" s="3"/>
    </row>
    <row r="2385" ht="13.65" customHeight="1">
      <c r="A2385" t="s" s="5">
        <v>685</v>
      </c>
      <c r="B2385" s="3"/>
      <c r="C2385" s="3"/>
      <c r="D2385" s="3"/>
      <c r="E2385" s="3"/>
      <c r="F2385" s="3"/>
      <c r="G2385" s="3"/>
      <c r="H2385" s="3"/>
    </row>
    <row r="2386" ht="13.65" customHeight="1">
      <c r="A2386" s="11"/>
      <c r="B2386" s="11"/>
      <c r="C2386" s="11"/>
      <c r="D2386" s="11"/>
      <c r="E2386" s="11"/>
      <c r="F2386" s="11"/>
      <c r="G2386" s="11"/>
      <c r="H2386" s="3"/>
    </row>
    <row r="2387" ht="13.65" customHeight="1">
      <c r="A2387" s="12"/>
      <c r="B2387" s="12"/>
      <c r="C2387" s="13"/>
      <c r="D2387" s="14"/>
      <c r="E2387" s="13"/>
      <c r="F2387" s="13"/>
      <c r="G2387" t="s" s="14">
        <v>252</v>
      </c>
      <c r="H2387" s="150"/>
    </row>
    <row r="2388" ht="13.65" customHeight="1">
      <c r="A2388" t="s" s="16">
        <v>93</v>
      </c>
      <c r="B2388" t="s" s="16">
        <v>94</v>
      </c>
      <c r="C2388" t="s" s="16">
        <v>95</v>
      </c>
      <c r="D2388" t="s" s="16">
        <v>96</v>
      </c>
      <c r="E2388" t="s" s="16">
        <v>97</v>
      </c>
      <c r="F2388" t="s" s="16">
        <v>98</v>
      </c>
      <c r="G2388" t="s" s="16">
        <v>99</v>
      </c>
      <c r="H2388" s="15"/>
    </row>
    <row r="2389" ht="13.65" customHeight="1">
      <c r="A2389" s="151"/>
      <c r="B2389" s="151"/>
      <c r="C2389" s="19"/>
      <c r="D2389" s="20"/>
      <c r="E2389" s="19"/>
      <c r="F2389" s="19"/>
      <c r="G2389" t="s" s="20">
        <v>100</v>
      </c>
      <c r="H2389" s="15"/>
    </row>
    <row r="2390" ht="13.65" customHeight="1">
      <c r="A2390" s="21">
        <v>72</v>
      </c>
      <c r="B2390" t="s" s="22">
        <v>101</v>
      </c>
      <c r="C2390" s="23">
        <v>50</v>
      </c>
      <c r="D2390" t="s" s="24">
        <v>102</v>
      </c>
      <c r="E2390" s="25">
        <v>1.93</v>
      </c>
      <c r="F2390" s="23">
        <v>25</v>
      </c>
      <c r="G2390" s="152" cm="1">
        <f t="array" ref="G2390">SUM(E2390/F2390)</f>
        <v>0.0772</v>
      </c>
      <c r="H2390" s="15"/>
    </row>
    <row r="2391" ht="13.65" customHeight="1">
      <c r="A2391" s="21">
        <v>123</v>
      </c>
      <c r="B2391" t="s" s="22">
        <v>103</v>
      </c>
      <c r="C2391" s="23">
        <v>40</v>
      </c>
      <c r="D2391" t="s" s="24">
        <v>104</v>
      </c>
      <c r="E2391" s="25">
        <v>3.2</v>
      </c>
      <c r="F2391" s="23">
        <v>40</v>
      </c>
      <c r="G2391" s="152" cm="1">
        <f t="array" ref="G2391">SUM(E2391/F2391)</f>
        <v>0.08</v>
      </c>
      <c r="H2391" s="15"/>
    </row>
    <row r="2392" ht="13.65" customHeight="1">
      <c r="A2392" s="21">
        <v>65</v>
      </c>
      <c r="B2392" t="s" s="22">
        <v>394</v>
      </c>
      <c r="C2392" s="23">
        <v>500</v>
      </c>
      <c r="D2392" t="s" s="24">
        <v>256</v>
      </c>
      <c r="E2392" s="25">
        <v>26</v>
      </c>
      <c r="F2392" s="23">
        <v>166</v>
      </c>
      <c r="G2392" s="152" cm="1">
        <f t="array" ref="G2392">SUM(E2392/F2392)</f>
        <v>0.156626506024096</v>
      </c>
      <c r="H2392" s="15"/>
    </row>
    <row r="2393" ht="13.65" customHeight="1">
      <c r="A2393" s="21">
        <v>86</v>
      </c>
      <c r="B2393" t="s" s="22">
        <v>107</v>
      </c>
      <c r="C2393" t="s" s="24">
        <v>670</v>
      </c>
      <c r="D2393" t="s" s="24">
        <v>102</v>
      </c>
      <c r="E2393" s="25">
        <v>0.32</v>
      </c>
      <c r="F2393" t="s" s="24">
        <v>387</v>
      </c>
      <c r="G2393" s="152" cm="1">
        <f t="array" ref="G2393">SUM(E2393*2)</f>
        <v>0.64</v>
      </c>
      <c r="H2393" s="15"/>
    </row>
    <row r="2394" ht="13.65" customHeight="1">
      <c r="A2394" s="21">
        <v>71</v>
      </c>
      <c r="B2394" t="s" s="22">
        <v>109</v>
      </c>
      <c r="C2394" s="23">
        <v>10</v>
      </c>
      <c r="D2394" t="s" s="24">
        <v>102</v>
      </c>
      <c r="E2394" s="25">
        <v>5.92</v>
      </c>
      <c r="F2394" s="23">
        <v>5</v>
      </c>
      <c r="G2394" s="152" cm="1">
        <f t="array" ref="G2394">SUM(E2394/F2394)</f>
        <v>1.184</v>
      </c>
      <c r="H2394" s="15"/>
    </row>
    <row r="2395" ht="13.65" customHeight="1">
      <c r="A2395" s="21">
        <v>87</v>
      </c>
      <c r="B2395" t="s" s="22">
        <v>110</v>
      </c>
      <c r="C2395" s="23">
        <v>50</v>
      </c>
      <c r="D2395" t="s" s="24">
        <v>102</v>
      </c>
      <c r="E2395" s="25">
        <v>9</v>
      </c>
      <c r="F2395" s="23">
        <v>25</v>
      </c>
      <c r="G2395" s="152" cm="1">
        <f t="array" ref="G2395">SUM(E2395/F2395)</f>
        <v>0.36</v>
      </c>
      <c r="H2395" s="15"/>
    </row>
    <row r="2396" ht="13.65" customHeight="1">
      <c r="A2396" s="21">
        <v>55</v>
      </c>
      <c r="B2396" t="s" s="22">
        <v>111</v>
      </c>
      <c r="C2396" t="s" s="24">
        <v>112</v>
      </c>
      <c r="D2396" t="s" s="24">
        <v>113</v>
      </c>
      <c r="E2396" s="25">
        <v>2.71</v>
      </c>
      <c r="F2396" s="23">
        <v>75</v>
      </c>
      <c r="G2396" s="152" cm="1">
        <f t="array" ref="G2396">SUM(E2396/F2396)</f>
        <v>0.0361333333333333</v>
      </c>
      <c r="H2396" s="15"/>
    </row>
    <row r="2397" ht="13.65" customHeight="1">
      <c r="A2397" s="21">
        <v>10</v>
      </c>
      <c r="B2397" t="s" s="22">
        <v>395</v>
      </c>
      <c r="C2397" t="s" s="24">
        <v>396</v>
      </c>
      <c r="D2397" t="s" s="24">
        <v>397</v>
      </c>
      <c r="E2397" s="25">
        <v>3.92</v>
      </c>
      <c r="F2397" s="23">
        <v>50</v>
      </c>
      <c r="G2397" s="152" cm="1">
        <f t="array" ref="G2397">SUM(E2397/F2397)</f>
        <v>0.0784</v>
      </c>
      <c r="H2397" s="15"/>
    </row>
    <row r="2398" ht="13.65" customHeight="1">
      <c r="A2398" s="21">
        <v>9</v>
      </c>
      <c r="B2398" t="s" s="22">
        <v>398</v>
      </c>
      <c r="C2398" s="23">
        <v>50</v>
      </c>
      <c r="D2398" t="s" s="24">
        <v>102</v>
      </c>
      <c r="E2398" s="25">
        <v>14</v>
      </c>
      <c r="F2398" s="23">
        <v>25</v>
      </c>
      <c r="G2398" s="152" cm="1">
        <f t="array" ref="G2398">SUM(E2398/F2398)</f>
        <v>0.5600000000000001</v>
      </c>
      <c r="H2398" s="15"/>
    </row>
    <row r="2399" ht="13.65" customHeight="1">
      <c r="A2399" s="21">
        <v>6</v>
      </c>
      <c r="B2399" t="s" s="22">
        <v>399</v>
      </c>
      <c r="C2399" s="23">
        <v>100</v>
      </c>
      <c r="D2399" t="s" s="24">
        <v>104</v>
      </c>
      <c r="E2399" s="25">
        <v>19</v>
      </c>
      <c r="F2399" s="23">
        <v>100</v>
      </c>
      <c r="G2399" s="152" cm="1">
        <f t="array" ref="G2399">SUM(E2399/F2399)</f>
        <v>0.19</v>
      </c>
      <c r="H2399" s="15"/>
    </row>
    <row r="2400" ht="13.65" customHeight="1">
      <c r="A2400" s="21">
        <v>79</v>
      </c>
      <c r="B2400" t="s" s="22">
        <v>439</v>
      </c>
      <c r="C2400" s="23">
        <v>20</v>
      </c>
      <c r="D2400" t="s" s="24">
        <v>104</v>
      </c>
      <c r="E2400" s="25">
        <v>25</v>
      </c>
      <c r="F2400" s="23">
        <v>20</v>
      </c>
      <c r="G2400" s="152" cm="1">
        <f t="array" ref="G2400">SUM(E2400/F2400)</f>
        <v>1.25</v>
      </c>
      <c r="H2400" s="15"/>
    </row>
    <row r="2401" ht="13.65" customHeight="1">
      <c r="A2401" s="21">
        <v>85</v>
      </c>
      <c r="B2401" t="s" s="22">
        <v>463</v>
      </c>
      <c r="C2401" t="s" s="24">
        <v>464</v>
      </c>
      <c r="D2401" t="s" s="24">
        <v>648</v>
      </c>
      <c r="E2401" s="25">
        <v>4.82</v>
      </c>
      <c r="F2401" s="23">
        <v>33</v>
      </c>
      <c r="G2401" s="152" cm="1">
        <f t="array" ref="G2401">SUM(E2401/F2401)</f>
        <v>0.146060606060606</v>
      </c>
      <c r="H2401" s="15"/>
    </row>
    <row r="2402" ht="13.65" customHeight="1">
      <c r="A2402" s="21">
        <v>74</v>
      </c>
      <c r="B2402" t="s" s="22">
        <v>686</v>
      </c>
      <c r="C2402" t="s" s="24">
        <v>426</v>
      </c>
      <c r="D2402" t="s" s="24">
        <v>408</v>
      </c>
      <c r="E2402" s="25">
        <v>4.5</v>
      </c>
      <c r="F2402" s="23">
        <v>10</v>
      </c>
      <c r="G2402" s="152" cm="1">
        <f t="array" ref="G2402">SUM(E2402/F2402)</f>
        <v>0.45</v>
      </c>
      <c r="H2402" s="15"/>
    </row>
    <row r="2403" ht="13.65" customHeight="1">
      <c r="A2403" s="21">
        <v>119</v>
      </c>
      <c r="B2403" t="s" s="22">
        <v>467</v>
      </c>
      <c r="C2403" s="23">
        <v>1</v>
      </c>
      <c r="D2403" t="s" s="24">
        <v>468</v>
      </c>
      <c r="E2403" s="25">
        <v>0.45</v>
      </c>
      <c r="F2403" s="23">
        <v>1</v>
      </c>
      <c r="G2403" s="152" cm="1">
        <f t="array" ref="G2403">SUM(E2403/F2403)</f>
        <v>0.45</v>
      </c>
      <c r="H2403" s="15"/>
    </row>
    <row r="2404" ht="13.65" customHeight="1">
      <c r="A2404" s="21">
        <v>122</v>
      </c>
      <c r="B2404" t="s" s="22">
        <v>489</v>
      </c>
      <c r="C2404" t="s" s="24">
        <v>490</v>
      </c>
      <c r="D2404" t="s" s="24">
        <v>676</v>
      </c>
      <c r="E2404" s="25">
        <v>1.7</v>
      </c>
      <c r="F2404" s="23">
        <v>166</v>
      </c>
      <c r="G2404" s="152" cm="1">
        <f t="array" ref="G2404">SUM(E2404/F2404)</f>
        <v>0.0102409638554217</v>
      </c>
      <c r="H2404" s="15"/>
    </row>
    <row r="2405" ht="13.65" customHeight="1">
      <c r="A2405" s="21">
        <v>34</v>
      </c>
      <c r="B2405" t="s" s="22">
        <v>456</v>
      </c>
      <c r="C2405" t="s" s="24">
        <v>455</v>
      </c>
      <c r="D2405" t="s" s="24">
        <v>424</v>
      </c>
      <c r="E2405" s="25">
        <v>63</v>
      </c>
      <c r="F2405" s="23">
        <v>50</v>
      </c>
      <c r="G2405" s="152" cm="1">
        <f t="array" ref="G2405">SUM(E2405/F2405)</f>
        <v>1.26</v>
      </c>
      <c r="H2405" s="15"/>
    </row>
    <row r="2406" ht="13.65" customHeight="1">
      <c r="A2406" s="21">
        <v>45</v>
      </c>
      <c r="B2406" t="s" s="22">
        <v>625</v>
      </c>
      <c r="C2406" s="23">
        <v>100</v>
      </c>
      <c r="D2406" t="s" s="24">
        <v>274</v>
      </c>
      <c r="E2406" s="25">
        <v>18</v>
      </c>
      <c r="F2406" s="23">
        <v>25</v>
      </c>
      <c r="G2406" s="152" cm="1">
        <f t="array" ref="G2406">SUM(E2406/F2406)</f>
        <v>0.72</v>
      </c>
      <c r="H2406" s="15"/>
    </row>
    <row r="2407" ht="13.65" customHeight="1">
      <c r="A2407" s="21">
        <v>54</v>
      </c>
      <c r="B2407" t="s" s="22">
        <v>360</v>
      </c>
      <c r="C2407" s="23">
        <v>150</v>
      </c>
      <c r="D2407" t="s" s="24">
        <v>104</v>
      </c>
      <c r="E2407" s="25">
        <v>118</v>
      </c>
      <c r="F2407" s="23">
        <v>150</v>
      </c>
      <c r="G2407" s="152" cm="1">
        <f t="array" ref="G2407">SUM(E2407/F2407)</f>
        <v>0.786666666666667</v>
      </c>
      <c r="H2407" s="15"/>
    </row>
    <row r="2408" ht="13.65" customHeight="1">
      <c r="A2408" s="21">
        <v>115</v>
      </c>
      <c r="B2408" t="s" s="22">
        <v>631</v>
      </c>
      <c r="C2408" t="s" s="24">
        <v>632</v>
      </c>
      <c r="D2408" t="s" s="24">
        <v>498</v>
      </c>
      <c r="E2408" s="25">
        <v>4.5</v>
      </c>
      <c r="F2408" s="23">
        <v>31</v>
      </c>
      <c r="G2408" s="152" cm="1">
        <f t="array" ref="G2408">SUM(E2408/F2408)</f>
        <v>0.145161290322581</v>
      </c>
      <c r="H2408" s="15"/>
    </row>
    <row r="2409" ht="13.65" customHeight="1">
      <c r="A2409" s="21">
        <v>60</v>
      </c>
      <c r="B2409" t="s" s="22">
        <v>634</v>
      </c>
      <c r="C2409" t="s" s="24">
        <v>632</v>
      </c>
      <c r="D2409" t="s" s="24">
        <v>498</v>
      </c>
      <c r="E2409" s="25">
        <v>4.5</v>
      </c>
      <c r="F2409" s="23">
        <v>31</v>
      </c>
      <c r="G2409" s="152" cm="1">
        <f t="array" ref="G2409">SUM(E2409/F2409)</f>
        <v>0.145161290322581</v>
      </c>
      <c r="H2409" s="15"/>
    </row>
    <row r="2410" ht="13.65" customHeight="1">
      <c r="A2410" s="21">
        <v>82</v>
      </c>
      <c r="B2410" t="s" s="22">
        <v>622</v>
      </c>
      <c r="C2410" s="23">
        <v>6</v>
      </c>
      <c r="D2410" t="s" s="24">
        <v>256</v>
      </c>
      <c r="E2410" s="25">
        <v>41</v>
      </c>
      <c r="F2410" s="23">
        <v>2</v>
      </c>
      <c r="G2410" s="152" cm="1">
        <f t="array" ref="G2410">SUM(E2410/F2410)</f>
        <v>20.5</v>
      </c>
      <c r="H2410" s="15"/>
    </row>
    <row r="2411" ht="13.65" customHeight="1">
      <c r="A2411" s="21">
        <v>19</v>
      </c>
      <c r="B2411" t="s" s="22">
        <v>414</v>
      </c>
      <c r="C2411" s="23">
        <v>1</v>
      </c>
      <c r="D2411" t="s" s="24">
        <v>116</v>
      </c>
      <c r="E2411" s="25">
        <v>5.2</v>
      </c>
      <c r="F2411" s="23">
        <v>1</v>
      </c>
      <c r="G2411" s="152" cm="1">
        <f t="array" ref="G2411">SUM(E2411/F2411)</f>
        <v>5.2</v>
      </c>
      <c r="H2411" s="15"/>
    </row>
    <row r="2412" ht="13.65" customHeight="1">
      <c r="A2412" s="21">
        <v>20</v>
      </c>
      <c r="B2412" t="s" s="22">
        <v>687</v>
      </c>
      <c r="C2412" s="23">
        <v>1</v>
      </c>
      <c r="D2412" t="s" s="24">
        <v>629</v>
      </c>
      <c r="E2412" s="25">
        <v>7.5</v>
      </c>
      <c r="F2412" s="23">
        <v>3</v>
      </c>
      <c r="G2412" s="152" cm="1">
        <f t="array" ref="G2412">SUM(E2412/F2412)</f>
        <v>2.5</v>
      </c>
      <c r="H2412" s="15"/>
    </row>
    <row r="2413" ht="13.65" customHeight="1">
      <c r="A2413" s="28"/>
      <c r="B2413" s="28"/>
      <c r="C2413" s="27"/>
      <c r="D2413" s="24"/>
      <c r="E2413" s="27"/>
      <c r="F2413" t="s" s="29">
        <v>118</v>
      </c>
      <c r="G2413" s="197" cm="1">
        <f t="array" ref="G2413">SUM(G2390:G2412)</f>
        <v>36.9256506565853</v>
      </c>
      <c r="H2413" s="15"/>
    </row>
    <row r="2414" ht="13.65" customHeight="1">
      <c r="A2414" s="129"/>
      <c r="B2414" s="129"/>
      <c r="C2414" s="129"/>
      <c r="D2414" s="129"/>
      <c r="E2414" s="129"/>
      <c r="F2414" s="31"/>
      <c r="G2414" s="31"/>
      <c r="H2414" s="3"/>
    </row>
    <row r="2415" ht="11.7" customHeight="1">
      <c r="A2415" t="s" s="167">
        <v>136</v>
      </c>
      <c r="B2415" t="s" s="167">
        <v>281</v>
      </c>
      <c r="C2415" t="s" s="167">
        <v>282</v>
      </c>
      <c r="D2415" t="s" s="168">
        <v>283</v>
      </c>
      <c r="E2415" s="169"/>
      <c r="F2415" s="170"/>
      <c r="G2415" s="171"/>
      <c r="H2415" s="171"/>
    </row>
    <row r="2416" ht="13.65" customHeight="1">
      <c r="A2416" s="23">
        <v>30</v>
      </c>
      <c r="B2416" s="172" cm="1">
        <f t="array" ref="B2416">SUM(H256)</f>
        <v>2.47496540404041</v>
      </c>
      <c r="C2416" s="172" cm="1">
        <f t="array" ref="C2416">SUM(G2413)</f>
        <v>36.9256506565853</v>
      </c>
      <c r="D2416" s="199" cm="1">
        <f t="array" ref="D2416">SUM(A2416*B2416)+(C2416)</f>
        <v>111.174612777798</v>
      </c>
      <c r="E2416" s="200"/>
      <c r="F2416" s="15"/>
      <c r="G2416" s="3"/>
      <c r="H2416" s="3"/>
    </row>
    <row r="2417" ht="13.65" customHeight="1">
      <c r="A2417" s="176"/>
      <c r="B2417" s="176"/>
      <c r="C2417" s="292"/>
      <c r="D2417" s="176"/>
      <c r="E2417" s="290"/>
      <c r="F2417" s="3"/>
      <c r="G2417" s="3"/>
      <c r="H2417" s="3"/>
    </row>
    <row r="2418" ht="13.65" customHeight="1">
      <c r="A2418" s="203"/>
      <c r="B2418" s="203"/>
      <c r="C2418" s="203"/>
      <c r="D2418" s="203"/>
      <c r="E2418" s="203"/>
      <c r="F2418" s="203"/>
      <c r="G2418" s="203"/>
      <c r="H2418" s="203"/>
    </row>
    <row r="2419" ht="13.65" customHeight="1">
      <c r="A2419" t="s" s="274">
        <v>185</v>
      </c>
      <c r="B2419" s="275"/>
      <c r="C2419" s="275"/>
      <c r="D2419" s="275"/>
      <c r="E2419" s="280"/>
      <c r="F2419" s="275"/>
      <c r="G2419" s="275"/>
      <c r="H2419" s="277"/>
    </row>
    <row r="2420" ht="13.65" customHeight="1">
      <c r="A2420" s="278"/>
      <c r="B2420" s="278"/>
      <c r="C2420" s="278"/>
      <c r="D2420" s="278"/>
      <c r="E2420" s="278"/>
      <c r="F2420" s="278"/>
      <c r="G2420" s="278"/>
      <c r="H2420" s="278"/>
    </row>
    <row r="2421" ht="13.65" customHeight="1">
      <c r="A2421" s="3"/>
      <c r="B2421" s="3"/>
      <c r="C2421" s="3"/>
      <c r="D2421" s="3"/>
      <c r="E2421" s="3"/>
      <c r="F2421" s="3"/>
      <c r="G2421" s="3"/>
      <c r="H2421" s="3"/>
    </row>
    <row r="2422" ht="13.65" customHeight="1">
      <c r="A2422" t="s" s="5">
        <v>688</v>
      </c>
      <c r="B2422" s="3"/>
      <c r="C2422" s="3"/>
      <c r="D2422" s="3"/>
      <c r="E2422" s="3"/>
      <c r="F2422" s="3"/>
      <c r="G2422" s="3"/>
      <c r="H2422" s="3"/>
    </row>
    <row r="2423" ht="13.65" customHeight="1">
      <c r="A2423" s="11"/>
      <c r="B2423" s="11"/>
      <c r="C2423" s="11"/>
      <c r="D2423" s="11"/>
      <c r="E2423" s="11"/>
      <c r="F2423" s="11"/>
      <c r="G2423" s="11"/>
      <c r="H2423" s="3"/>
    </row>
    <row r="2424" ht="13.65" customHeight="1">
      <c r="A2424" s="12"/>
      <c r="B2424" s="12"/>
      <c r="C2424" s="13"/>
      <c r="D2424" s="14"/>
      <c r="E2424" s="13"/>
      <c r="F2424" s="13"/>
      <c r="G2424" t="s" s="14">
        <v>252</v>
      </c>
      <c r="H2424" s="150"/>
    </row>
    <row r="2425" ht="13.65" customHeight="1">
      <c r="A2425" t="s" s="16">
        <v>93</v>
      </c>
      <c r="B2425" t="s" s="16">
        <v>94</v>
      </c>
      <c r="C2425" t="s" s="16">
        <v>95</v>
      </c>
      <c r="D2425" t="s" s="16">
        <v>96</v>
      </c>
      <c r="E2425" t="s" s="16">
        <v>97</v>
      </c>
      <c r="F2425" t="s" s="16">
        <v>98</v>
      </c>
      <c r="G2425" t="s" s="16">
        <v>99</v>
      </c>
      <c r="H2425" s="15"/>
    </row>
    <row r="2426" ht="13.65" customHeight="1">
      <c r="A2426" s="151"/>
      <c r="B2426" s="151"/>
      <c r="C2426" s="19"/>
      <c r="D2426" s="20"/>
      <c r="E2426" s="19"/>
      <c r="F2426" s="19"/>
      <c r="G2426" t="s" s="20">
        <v>100</v>
      </c>
      <c r="H2426" s="15"/>
    </row>
    <row r="2427" ht="13.65" customHeight="1">
      <c r="A2427" s="21">
        <v>72</v>
      </c>
      <c r="B2427" t="s" s="22">
        <v>101</v>
      </c>
      <c r="C2427" s="23">
        <v>50</v>
      </c>
      <c r="D2427" t="s" s="24">
        <v>102</v>
      </c>
      <c r="E2427" s="25">
        <v>1.93</v>
      </c>
      <c r="F2427" s="23">
        <v>25</v>
      </c>
      <c r="G2427" s="152" cm="1">
        <f t="array" ref="G2427">SUM(E2427/F2427)</f>
        <v>0.0772</v>
      </c>
      <c r="H2427" s="15"/>
    </row>
    <row r="2428" ht="13.65" customHeight="1">
      <c r="A2428" s="21">
        <v>123</v>
      </c>
      <c r="B2428" t="s" s="22">
        <v>103</v>
      </c>
      <c r="C2428" s="23">
        <v>40</v>
      </c>
      <c r="D2428" t="s" s="24">
        <v>104</v>
      </c>
      <c r="E2428" s="25">
        <v>3.2</v>
      </c>
      <c r="F2428" s="23">
        <v>40</v>
      </c>
      <c r="G2428" s="152" cm="1">
        <f t="array" ref="G2428">SUM(E2428/F2428)</f>
        <v>0.08</v>
      </c>
      <c r="H2428" s="15"/>
    </row>
    <row r="2429" ht="13.65" customHeight="1">
      <c r="A2429" s="21">
        <v>65</v>
      </c>
      <c r="B2429" t="s" s="22">
        <v>394</v>
      </c>
      <c r="C2429" s="23">
        <v>500</v>
      </c>
      <c r="D2429" t="s" s="24">
        <v>274</v>
      </c>
      <c r="E2429" s="25">
        <v>26</v>
      </c>
      <c r="F2429" s="23">
        <v>250</v>
      </c>
      <c r="G2429" s="152" cm="1">
        <f t="array" ref="G2429">SUM(E2429/F2429)</f>
        <v>0.104</v>
      </c>
      <c r="H2429" s="15"/>
    </row>
    <row r="2430" ht="13.65" customHeight="1">
      <c r="A2430" s="21">
        <v>86</v>
      </c>
      <c r="B2430" t="s" s="22">
        <v>107</v>
      </c>
      <c r="C2430" t="s" s="24">
        <v>670</v>
      </c>
      <c r="D2430" t="s" s="24">
        <v>102</v>
      </c>
      <c r="E2430" s="25">
        <v>0.32</v>
      </c>
      <c r="F2430" t="s" s="24">
        <v>387</v>
      </c>
      <c r="G2430" s="152" cm="1">
        <f t="array" ref="G2430">SUM(E2430*2)</f>
        <v>0.64</v>
      </c>
      <c r="H2430" s="15"/>
    </row>
    <row r="2431" ht="13.65" customHeight="1">
      <c r="A2431" s="21">
        <v>71</v>
      </c>
      <c r="B2431" t="s" s="22">
        <v>109</v>
      </c>
      <c r="C2431" s="23">
        <v>10</v>
      </c>
      <c r="D2431" t="s" s="24">
        <v>102</v>
      </c>
      <c r="E2431" s="25">
        <v>5.92</v>
      </c>
      <c r="F2431" s="23">
        <v>5</v>
      </c>
      <c r="G2431" s="152" cm="1">
        <f t="array" ref="G2431">SUM(E2431/F2431)</f>
        <v>1.184</v>
      </c>
      <c r="H2431" s="15"/>
    </row>
    <row r="2432" ht="13.65" customHeight="1">
      <c r="A2432" s="21">
        <v>87</v>
      </c>
      <c r="B2432" t="s" s="22">
        <v>110</v>
      </c>
      <c r="C2432" s="23">
        <v>50</v>
      </c>
      <c r="D2432" t="s" s="24">
        <v>102</v>
      </c>
      <c r="E2432" s="25">
        <v>9</v>
      </c>
      <c r="F2432" s="23">
        <v>25</v>
      </c>
      <c r="G2432" s="152" cm="1">
        <f t="array" ref="G2432">SUM(E2432/F2432)</f>
        <v>0.36</v>
      </c>
      <c r="H2432" s="15"/>
    </row>
    <row r="2433" ht="13.65" customHeight="1">
      <c r="A2433" s="21">
        <v>55</v>
      </c>
      <c r="B2433" t="s" s="22">
        <v>111</v>
      </c>
      <c r="C2433" t="s" s="24">
        <v>112</v>
      </c>
      <c r="D2433" t="s" s="24">
        <v>113</v>
      </c>
      <c r="E2433" s="25">
        <v>2.71</v>
      </c>
      <c r="F2433" s="23">
        <v>75</v>
      </c>
      <c r="G2433" s="152" cm="1">
        <f t="array" ref="G2433">SUM(E2433/F2433)</f>
        <v>0.0361333333333333</v>
      </c>
      <c r="H2433" s="15"/>
    </row>
    <row r="2434" ht="13.65" customHeight="1">
      <c r="A2434" s="21">
        <v>10</v>
      </c>
      <c r="B2434" t="s" s="22">
        <v>395</v>
      </c>
      <c r="C2434" t="s" s="24">
        <v>396</v>
      </c>
      <c r="D2434" t="s" s="24">
        <v>397</v>
      </c>
      <c r="E2434" s="25">
        <v>3.92</v>
      </c>
      <c r="F2434" s="23">
        <v>50</v>
      </c>
      <c r="G2434" s="152" cm="1">
        <f t="array" ref="G2434">SUM(E2434/F2434)</f>
        <v>0.0784</v>
      </c>
      <c r="H2434" s="15"/>
    </row>
    <row r="2435" ht="13.65" customHeight="1">
      <c r="A2435" s="21">
        <v>9</v>
      </c>
      <c r="B2435" t="s" s="22">
        <v>398</v>
      </c>
      <c r="C2435" s="23">
        <v>50</v>
      </c>
      <c r="D2435" t="s" s="24">
        <v>102</v>
      </c>
      <c r="E2435" s="25">
        <v>14</v>
      </c>
      <c r="F2435" s="23">
        <v>25</v>
      </c>
      <c r="G2435" s="152" cm="1">
        <f t="array" ref="G2435">SUM(E2435/F2435)</f>
        <v>0.5600000000000001</v>
      </c>
      <c r="H2435" s="15"/>
    </row>
    <row r="2436" ht="13.65" customHeight="1">
      <c r="A2436" s="21">
        <v>6</v>
      </c>
      <c r="B2436" t="s" s="22">
        <v>399</v>
      </c>
      <c r="C2436" s="23">
        <v>100</v>
      </c>
      <c r="D2436" t="s" s="24">
        <v>104</v>
      </c>
      <c r="E2436" s="25">
        <v>19</v>
      </c>
      <c r="F2436" s="23">
        <v>100</v>
      </c>
      <c r="G2436" s="152" cm="1">
        <f t="array" ref="G2436">SUM(E2436/F2436)</f>
        <v>0.19</v>
      </c>
      <c r="H2436" s="15"/>
    </row>
    <row r="2437" ht="13.65" customHeight="1">
      <c r="A2437" s="21">
        <v>79</v>
      </c>
      <c r="B2437" t="s" s="22">
        <v>439</v>
      </c>
      <c r="C2437" s="23">
        <v>20</v>
      </c>
      <c r="D2437" t="s" s="24">
        <v>104</v>
      </c>
      <c r="E2437" s="25">
        <v>25</v>
      </c>
      <c r="F2437" s="23">
        <v>20</v>
      </c>
      <c r="G2437" s="152" cm="1">
        <f t="array" ref="G2437">SUM(E2437/F2437)</f>
        <v>1.25</v>
      </c>
      <c r="H2437" s="15"/>
    </row>
    <row r="2438" ht="13.65" customHeight="1">
      <c r="A2438" s="21">
        <v>85</v>
      </c>
      <c r="B2438" t="s" s="22">
        <v>463</v>
      </c>
      <c r="C2438" t="s" s="24">
        <v>464</v>
      </c>
      <c r="D2438" t="s" s="24">
        <v>648</v>
      </c>
      <c r="E2438" s="25">
        <v>4.82</v>
      </c>
      <c r="F2438" s="23">
        <v>33</v>
      </c>
      <c r="G2438" s="152" cm="1">
        <f t="array" ref="G2438">SUM(E2438/F2438)</f>
        <v>0.146060606060606</v>
      </c>
      <c r="H2438" s="15"/>
    </row>
    <row r="2439" ht="13.65" customHeight="1">
      <c r="A2439" s="21">
        <v>119</v>
      </c>
      <c r="B2439" t="s" s="22">
        <v>467</v>
      </c>
      <c r="C2439" s="23">
        <v>1</v>
      </c>
      <c r="D2439" t="s" s="24">
        <v>468</v>
      </c>
      <c r="E2439" s="25">
        <v>0.45</v>
      </c>
      <c r="F2439" s="23">
        <v>1</v>
      </c>
      <c r="G2439" s="152" cm="1">
        <f t="array" ref="G2439">SUM(E2439/F2439)</f>
        <v>0.45</v>
      </c>
      <c r="H2439" s="15"/>
    </row>
    <row r="2440" ht="13.65" customHeight="1">
      <c r="A2440" s="21">
        <v>82</v>
      </c>
      <c r="B2440" t="s" s="22">
        <v>622</v>
      </c>
      <c r="C2440" s="23">
        <v>6</v>
      </c>
      <c r="D2440" t="s" s="24">
        <v>104</v>
      </c>
      <c r="E2440" s="25">
        <v>41</v>
      </c>
      <c r="F2440" s="23">
        <v>6</v>
      </c>
      <c r="G2440" s="152" cm="1">
        <f t="array" ref="G2440">SUM(E2440/F2440)</f>
        <v>6.83333333333333</v>
      </c>
      <c r="H2440" s="15"/>
    </row>
    <row r="2441" ht="13.65" customHeight="1">
      <c r="A2441" s="21">
        <v>19</v>
      </c>
      <c r="B2441" t="s" s="22">
        <v>414</v>
      </c>
      <c r="C2441" s="23">
        <v>1</v>
      </c>
      <c r="D2441" t="s" s="24">
        <v>116</v>
      </c>
      <c r="E2441" s="25">
        <v>5.2</v>
      </c>
      <c r="F2441" s="23">
        <v>10</v>
      </c>
      <c r="G2441" s="152" cm="1">
        <f t="array" ref="G2441">SUM(E2441/F2441)</f>
        <v>0.52</v>
      </c>
      <c r="H2441" s="15"/>
    </row>
    <row r="2442" ht="13.65" customHeight="1">
      <c r="A2442" s="21">
        <v>74</v>
      </c>
      <c r="B2442" t="s" s="22">
        <v>689</v>
      </c>
      <c r="C2442" t="s" s="24">
        <v>690</v>
      </c>
      <c r="D2442" t="s" s="24">
        <v>424</v>
      </c>
      <c r="E2442" s="25">
        <v>4.5</v>
      </c>
      <c r="F2442" s="23">
        <v>20</v>
      </c>
      <c r="G2442" s="152" cm="1">
        <f t="array" ref="G2442">SUM(E2442/F2442)</f>
        <v>0.225</v>
      </c>
      <c r="H2442" s="15"/>
    </row>
    <row r="2443" ht="13.65" customHeight="1">
      <c r="A2443" s="21">
        <v>34</v>
      </c>
      <c r="B2443" t="s" s="22">
        <v>456</v>
      </c>
      <c r="C2443" t="s" s="24">
        <v>455</v>
      </c>
      <c r="D2443" t="s" s="24">
        <v>424</v>
      </c>
      <c r="E2443" s="25">
        <v>63</v>
      </c>
      <c r="F2443" s="23">
        <v>50</v>
      </c>
      <c r="G2443" s="152" cm="1">
        <f t="array" ref="G2443">SUM(E2443/F2443)</f>
        <v>1.26</v>
      </c>
      <c r="H2443" s="15"/>
    </row>
    <row r="2444" ht="13.65" customHeight="1">
      <c r="A2444" s="28"/>
      <c r="B2444" s="28"/>
      <c r="C2444" s="27"/>
      <c r="D2444" s="24"/>
      <c r="E2444" s="27"/>
      <c r="F2444" t="s" s="29">
        <v>118</v>
      </c>
      <c r="G2444" s="197" cm="1">
        <f t="array" ref="G2444">SUM(G2427:G2443)</f>
        <v>13.9941272727273</v>
      </c>
      <c r="H2444" s="15"/>
    </row>
    <row r="2445" ht="13.65" customHeight="1">
      <c r="A2445" s="129"/>
      <c r="B2445" s="129"/>
      <c r="C2445" s="129"/>
      <c r="D2445" s="129"/>
      <c r="E2445" s="129"/>
      <c r="F2445" s="31"/>
      <c r="G2445" s="31"/>
      <c r="H2445" s="3"/>
    </row>
    <row r="2446" ht="11.7" customHeight="1">
      <c r="A2446" t="s" s="167">
        <v>136</v>
      </c>
      <c r="B2446" t="s" s="167">
        <v>281</v>
      </c>
      <c r="C2446" t="s" s="167">
        <v>282</v>
      </c>
      <c r="D2446" t="s" s="168">
        <v>283</v>
      </c>
      <c r="E2446" s="169"/>
      <c r="F2446" s="170"/>
      <c r="G2446" s="171"/>
      <c r="H2446" s="171"/>
    </row>
    <row r="2447" ht="13.65" customHeight="1">
      <c r="A2447" s="23">
        <v>60</v>
      </c>
      <c r="B2447" s="172" cm="1">
        <f t="array" ref="B2447">SUM(H256)</f>
        <v>2.47496540404041</v>
      </c>
      <c r="C2447" s="172" cm="1">
        <f t="array" ref="C2447">SUM(G2444)</f>
        <v>13.9941272727273</v>
      </c>
      <c r="D2447" s="199" cm="1">
        <f t="array" ref="D2447">SUM(A2447*B2447)+(C2447)</f>
        <v>162.492051515152</v>
      </c>
      <c r="E2447" s="200"/>
      <c r="F2447" s="15"/>
      <c r="G2447" s="3"/>
      <c r="H2447" s="3"/>
    </row>
    <row r="2448" ht="13.65" customHeight="1">
      <c r="A2448" s="31"/>
      <c r="B2448" s="31"/>
      <c r="C2448" s="31"/>
      <c r="D2448" s="31"/>
      <c r="E2448" s="31"/>
      <c r="F2448" s="3"/>
      <c r="G2448" s="3"/>
      <c r="H2448" s="3"/>
    </row>
    <row r="2449" ht="13.65" customHeight="1">
      <c r="A2449" s="3"/>
      <c r="B2449" s="3"/>
      <c r="C2449" s="3"/>
      <c r="D2449" s="3"/>
      <c r="E2449" s="3"/>
      <c r="F2449" s="3"/>
      <c r="G2449" s="3"/>
      <c r="H2449" s="3"/>
    </row>
    <row r="2450" ht="13.65" customHeight="1">
      <c r="A2450" t="s" s="5">
        <v>691</v>
      </c>
      <c r="B2450" s="3"/>
      <c r="C2450" s="3"/>
      <c r="D2450" s="3"/>
      <c r="E2450" s="3"/>
      <c r="F2450" s="3"/>
      <c r="G2450" s="3"/>
      <c r="H2450" s="3"/>
    </row>
    <row r="2451" ht="13.65" customHeight="1">
      <c r="A2451" s="11"/>
      <c r="B2451" s="11"/>
      <c r="C2451" s="11"/>
      <c r="D2451" s="11"/>
      <c r="E2451" s="11"/>
      <c r="F2451" s="11"/>
      <c r="G2451" s="11"/>
      <c r="H2451" s="3"/>
    </row>
    <row r="2452" ht="13.65" customHeight="1">
      <c r="A2452" s="12"/>
      <c r="B2452" s="12"/>
      <c r="C2452" s="13"/>
      <c r="D2452" s="14"/>
      <c r="E2452" s="13"/>
      <c r="F2452" s="13"/>
      <c r="G2452" t="s" s="14">
        <v>252</v>
      </c>
      <c r="H2452" s="150"/>
    </row>
    <row r="2453" ht="13.65" customHeight="1">
      <c r="A2453" t="s" s="16">
        <v>93</v>
      </c>
      <c r="B2453" t="s" s="16">
        <v>94</v>
      </c>
      <c r="C2453" t="s" s="16">
        <v>95</v>
      </c>
      <c r="D2453" t="s" s="16">
        <v>96</v>
      </c>
      <c r="E2453" t="s" s="16">
        <v>97</v>
      </c>
      <c r="F2453" t="s" s="16">
        <v>98</v>
      </c>
      <c r="G2453" t="s" s="16">
        <v>99</v>
      </c>
      <c r="H2453" s="15"/>
    </row>
    <row r="2454" ht="13.65" customHeight="1">
      <c r="A2454" s="151"/>
      <c r="B2454" s="151"/>
      <c r="C2454" s="19"/>
      <c r="D2454" s="20"/>
      <c r="E2454" s="19"/>
      <c r="F2454" s="19"/>
      <c r="G2454" t="s" s="20">
        <v>100</v>
      </c>
      <c r="H2454" s="15"/>
    </row>
    <row r="2455" ht="13.65" customHeight="1">
      <c r="A2455" s="21">
        <v>72</v>
      </c>
      <c r="B2455" t="s" s="22">
        <v>101</v>
      </c>
      <c r="C2455" s="23">
        <v>50</v>
      </c>
      <c r="D2455" t="s" s="24">
        <v>274</v>
      </c>
      <c r="E2455" s="25">
        <v>1.93</v>
      </c>
      <c r="F2455" s="23">
        <v>12.5</v>
      </c>
      <c r="G2455" s="152" cm="1">
        <f t="array" ref="G2455">SUM(E2455/F2455)</f>
        <v>0.1544</v>
      </c>
      <c r="H2455" s="15"/>
    </row>
    <row r="2456" ht="13.65" customHeight="1">
      <c r="A2456" s="21">
        <v>123</v>
      </c>
      <c r="B2456" t="s" s="22">
        <v>103</v>
      </c>
      <c r="C2456" s="23">
        <v>40</v>
      </c>
      <c r="D2456" t="s" s="24">
        <v>102</v>
      </c>
      <c r="E2456" s="25">
        <v>3.2</v>
      </c>
      <c r="F2456" s="23">
        <v>20</v>
      </c>
      <c r="G2456" s="152" cm="1">
        <f t="array" ref="G2456">SUM(E2456/F2456)</f>
        <v>0.16</v>
      </c>
      <c r="H2456" s="15"/>
    </row>
    <row r="2457" ht="13.65" customHeight="1">
      <c r="A2457" s="21">
        <v>65</v>
      </c>
      <c r="B2457" t="s" s="22">
        <v>394</v>
      </c>
      <c r="C2457" s="23">
        <v>500</v>
      </c>
      <c r="D2457" t="s" s="24">
        <v>633</v>
      </c>
      <c r="E2457" s="25">
        <v>26</v>
      </c>
      <c r="F2457" s="23">
        <v>16.6</v>
      </c>
      <c r="G2457" s="152" cm="1">
        <f t="array" ref="G2457">SUM(E2457/F2457)</f>
        <v>1.56626506024096</v>
      </c>
      <c r="H2457" s="15"/>
    </row>
    <row r="2458" ht="13.65" customHeight="1">
      <c r="A2458" s="21">
        <v>140</v>
      </c>
      <c r="B2458" t="s" s="22">
        <v>470</v>
      </c>
      <c r="C2458" t="s" s="24">
        <v>108</v>
      </c>
      <c r="D2458" t="s" s="24">
        <v>102</v>
      </c>
      <c r="E2458" s="25">
        <v>1.12</v>
      </c>
      <c r="F2458" t="s" s="24">
        <v>387</v>
      </c>
      <c r="G2458" s="152" cm="1">
        <f t="array" ref="G2458">SUM(E2458*2)</f>
        <v>2.24</v>
      </c>
      <c r="H2458" s="15"/>
    </row>
    <row r="2459" ht="13.65" customHeight="1">
      <c r="A2459" s="21">
        <v>71</v>
      </c>
      <c r="B2459" t="s" s="22">
        <v>109</v>
      </c>
      <c r="C2459" s="23">
        <v>10</v>
      </c>
      <c r="D2459" t="s" s="24">
        <v>102</v>
      </c>
      <c r="E2459" s="25">
        <v>5.92</v>
      </c>
      <c r="F2459" s="23">
        <v>5</v>
      </c>
      <c r="G2459" s="152" cm="1">
        <f t="array" ref="G2459">SUM(E2459/F2459)</f>
        <v>1.184</v>
      </c>
      <c r="H2459" s="15"/>
    </row>
    <row r="2460" ht="13.65" customHeight="1">
      <c r="A2460" s="21">
        <v>87</v>
      </c>
      <c r="B2460" t="s" s="22">
        <v>110</v>
      </c>
      <c r="C2460" s="23">
        <v>50</v>
      </c>
      <c r="D2460" t="s" s="24">
        <v>102</v>
      </c>
      <c r="E2460" s="25">
        <v>9</v>
      </c>
      <c r="F2460" s="23">
        <v>25</v>
      </c>
      <c r="G2460" s="152" cm="1">
        <f t="array" ref="G2460">SUM(E2460/F2460)</f>
        <v>0.36</v>
      </c>
      <c r="H2460" s="15"/>
    </row>
    <row r="2461" ht="13.65" customHeight="1">
      <c r="A2461" s="21">
        <v>55</v>
      </c>
      <c r="B2461" t="s" s="22">
        <v>111</v>
      </c>
      <c r="C2461" t="s" s="24">
        <v>112</v>
      </c>
      <c r="D2461" t="s" s="24">
        <v>461</v>
      </c>
      <c r="E2461" s="25">
        <v>2.71</v>
      </c>
      <c r="F2461" s="23">
        <v>37.5</v>
      </c>
      <c r="G2461" s="152" cm="1">
        <f t="array" ref="G2461">SUM(E2461/F2461)</f>
        <v>0.0722666666666667</v>
      </c>
      <c r="H2461" s="15"/>
    </row>
    <row r="2462" ht="13.65" customHeight="1">
      <c r="A2462" s="21">
        <v>10</v>
      </c>
      <c r="B2462" t="s" s="22">
        <v>395</v>
      </c>
      <c r="C2462" t="s" s="24">
        <v>396</v>
      </c>
      <c r="D2462" t="s" s="24">
        <v>397</v>
      </c>
      <c r="E2462" s="25">
        <v>3.92</v>
      </c>
      <c r="F2462" s="23">
        <v>50</v>
      </c>
      <c r="G2462" s="152" cm="1">
        <f t="array" ref="G2462">SUM(E2462/F2462)</f>
        <v>0.0784</v>
      </c>
      <c r="H2462" s="15"/>
    </row>
    <row r="2463" ht="13.65" customHeight="1">
      <c r="A2463" s="21">
        <v>9</v>
      </c>
      <c r="B2463" t="s" s="22">
        <v>692</v>
      </c>
      <c r="C2463" s="23">
        <v>50</v>
      </c>
      <c r="D2463" t="s" s="24">
        <v>274</v>
      </c>
      <c r="E2463" s="25">
        <v>14</v>
      </c>
      <c r="F2463" s="23">
        <v>12.5</v>
      </c>
      <c r="G2463" s="152" cm="1">
        <f t="array" ref="G2463">SUM(E2463/F2463)</f>
        <v>1.12</v>
      </c>
      <c r="H2463" s="15"/>
    </row>
    <row r="2464" ht="13.65" customHeight="1">
      <c r="A2464" s="21">
        <v>6</v>
      </c>
      <c r="B2464" t="s" s="22">
        <v>399</v>
      </c>
      <c r="C2464" s="23">
        <v>100</v>
      </c>
      <c r="D2464" t="s" s="24">
        <v>104</v>
      </c>
      <c r="E2464" s="25">
        <v>19</v>
      </c>
      <c r="F2464" s="23">
        <v>100</v>
      </c>
      <c r="G2464" s="152" cm="1">
        <f t="array" ref="G2464">SUM(E2464/F2464)</f>
        <v>0.19</v>
      </c>
      <c r="H2464" s="15"/>
    </row>
    <row r="2465" ht="13.65" customHeight="1">
      <c r="A2465" s="21">
        <v>23</v>
      </c>
      <c r="B2465" t="s" s="22">
        <v>488</v>
      </c>
      <c r="C2465" s="23">
        <v>1</v>
      </c>
      <c r="D2465" t="s" s="24">
        <v>104</v>
      </c>
      <c r="E2465" s="25">
        <v>11</v>
      </c>
      <c r="F2465" s="23">
        <v>1</v>
      </c>
      <c r="G2465" s="152" cm="1">
        <f t="array" ref="G2465">SUM(E2465/F2465)</f>
        <v>11</v>
      </c>
      <c r="H2465" s="15"/>
    </row>
    <row r="2466" ht="13.65" customHeight="1">
      <c r="A2466" s="21">
        <v>119</v>
      </c>
      <c r="B2466" t="s" s="22">
        <v>467</v>
      </c>
      <c r="C2466" s="23">
        <v>1</v>
      </c>
      <c r="D2466" t="s" s="24">
        <v>468</v>
      </c>
      <c r="E2466" s="25">
        <v>0.45</v>
      </c>
      <c r="F2466" s="23">
        <v>1</v>
      </c>
      <c r="G2466" s="152" cm="1">
        <f t="array" ref="G2466">SUM(E2466/F2466)</f>
        <v>0.45</v>
      </c>
      <c r="H2466" s="15"/>
    </row>
    <row r="2467" ht="13.65" customHeight="1">
      <c r="A2467" s="21">
        <v>122</v>
      </c>
      <c r="B2467" t="s" s="22">
        <v>489</v>
      </c>
      <c r="C2467" t="s" s="24">
        <v>490</v>
      </c>
      <c r="D2467" t="s" s="24">
        <v>648</v>
      </c>
      <c r="E2467" s="25">
        <v>1.7</v>
      </c>
      <c r="F2467" s="23">
        <v>16</v>
      </c>
      <c r="G2467" s="152" cm="1">
        <f t="array" ref="G2467">SUM(E2467/F2467)</f>
        <v>0.10625</v>
      </c>
      <c r="H2467" s="15"/>
    </row>
    <row r="2468" ht="13.65" customHeight="1">
      <c r="A2468" s="21">
        <v>56</v>
      </c>
      <c r="B2468" t="s" s="22">
        <v>471</v>
      </c>
      <c r="C2468" s="23">
        <v>1</v>
      </c>
      <c r="D2468" t="s" s="24">
        <v>104</v>
      </c>
      <c r="E2468" s="25">
        <v>3.5</v>
      </c>
      <c r="F2468" s="23">
        <v>1</v>
      </c>
      <c r="G2468" s="152" cm="1">
        <f t="array" ref="G2468">SUM(E2468/F2468)</f>
        <v>3.5</v>
      </c>
      <c r="H2468" s="15"/>
    </row>
    <row r="2469" ht="13.65" customHeight="1">
      <c r="A2469" s="21">
        <v>78</v>
      </c>
      <c r="B2469" t="s" s="22">
        <v>492</v>
      </c>
      <c r="C2469" s="23">
        <v>1</v>
      </c>
      <c r="D2469" t="s" s="24">
        <v>104</v>
      </c>
      <c r="E2469" s="25">
        <v>1</v>
      </c>
      <c r="F2469" s="23">
        <v>1</v>
      </c>
      <c r="G2469" s="152" cm="1">
        <f t="array" ref="G2469">SUM(E2469/F2469)</f>
        <v>1</v>
      </c>
      <c r="H2469" s="15"/>
    </row>
    <row r="2470" ht="13.65" customHeight="1">
      <c r="A2470" s="21">
        <v>36</v>
      </c>
      <c r="B2470" t="s" s="22">
        <v>496</v>
      </c>
      <c r="C2470" t="s" s="24">
        <v>497</v>
      </c>
      <c r="D2470" t="s" s="24">
        <v>498</v>
      </c>
      <c r="E2470" s="25">
        <v>13</v>
      </c>
      <c r="F2470" s="23">
        <v>16</v>
      </c>
      <c r="G2470" s="152" cm="1">
        <f t="array" ref="G2470">SUM(E2470/F2470)</f>
        <v>0.8125</v>
      </c>
      <c r="H2470" s="15"/>
    </row>
    <row r="2471" ht="13.65" customHeight="1">
      <c r="A2471" s="21">
        <v>16</v>
      </c>
      <c r="B2471" t="s" s="22">
        <v>693</v>
      </c>
      <c r="C2471" s="23">
        <v>6</v>
      </c>
      <c r="D2471" t="s" s="24">
        <v>694</v>
      </c>
      <c r="E2471" s="25">
        <v>41</v>
      </c>
      <c r="F2471" s="23">
        <v>10</v>
      </c>
      <c r="G2471" s="152" cm="1">
        <f t="array" ref="G2471">SUM(E2471/F2471)</f>
        <v>4.1</v>
      </c>
      <c r="H2471" s="15"/>
    </row>
    <row r="2472" ht="13.65" customHeight="1">
      <c r="A2472" s="28"/>
      <c r="B2472" s="28"/>
      <c r="C2472" s="27"/>
      <c r="D2472" s="24"/>
      <c r="E2472" s="27"/>
      <c r="F2472" t="s" s="29">
        <v>118</v>
      </c>
      <c r="G2472" s="197" cm="1">
        <f t="array" ref="G2472">SUM(G2455:G2471)</f>
        <v>28.0940817269076</v>
      </c>
      <c r="H2472" s="15"/>
    </row>
    <row r="2473" ht="13.65" customHeight="1">
      <c r="A2473" s="129"/>
      <c r="B2473" s="129"/>
      <c r="C2473" s="129"/>
      <c r="D2473" s="129"/>
      <c r="E2473" s="129"/>
      <c r="F2473" s="31"/>
      <c r="G2473" s="31"/>
      <c r="H2473" s="3"/>
    </row>
    <row r="2474" ht="11.7" customHeight="1">
      <c r="A2474" t="s" s="167">
        <v>136</v>
      </c>
      <c r="B2474" t="s" s="167">
        <v>281</v>
      </c>
      <c r="C2474" t="s" s="167">
        <v>282</v>
      </c>
      <c r="D2474" t="s" s="168">
        <v>283</v>
      </c>
      <c r="E2474" s="169"/>
      <c r="F2474" s="170"/>
      <c r="G2474" s="171"/>
      <c r="H2474" s="171"/>
    </row>
    <row r="2475" ht="13.65" customHeight="1">
      <c r="A2475" s="23">
        <v>130</v>
      </c>
      <c r="B2475" s="172" cm="1">
        <f t="array" ref="B2475">SUM(H256)</f>
        <v>2.47496540404041</v>
      </c>
      <c r="C2475" s="172" cm="1">
        <f t="array" ref="C2475">SUM(G2472)</f>
        <v>28.0940817269076</v>
      </c>
      <c r="D2475" s="199" cm="1">
        <f t="array" ref="D2475">SUM(A2475*B2475)+(C2475)</f>
        <v>349.839584252161</v>
      </c>
      <c r="E2475" s="200"/>
      <c r="F2475" s="15"/>
      <c r="G2475" s="3"/>
      <c r="H2475" s="3"/>
    </row>
    <row r="2476" ht="13.65" customHeight="1">
      <c r="A2476" s="31"/>
      <c r="B2476" s="31"/>
      <c r="C2476" s="31"/>
      <c r="D2476" s="31"/>
      <c r="E2476" s="31"/>
      <c r="F2476" s="3"/>
      <c r="G2476" s="3"/>
      <c r="H2476" s="3"/>
    </row>
    <row r="2477" ht="13.65" customHeight="1">
      <c r="A2477" s="203"/>
      <c r="B2477" s="203"/>
      <c r="C2477" s="203"/>
      <c r="D2477" s="203"/>
      <c r="E2477" s="203"/>
      <c r="F2477" s="203"/>
      <c r="G2477" s="203"/>
      <c r="H2477" s="203"/>
    </row>
    <row r="2478" ht="13.65" customHeight="1">
      <c r="A2478" t="s" s="274">
        <v>185</v>
      </c>
      <c r="B2478" s="275"/>
      <c r="C2478" s="275"/>
      <c r="D2478" s="275"/>
      <c r="E2478" s="280"/>
      <c r="F2478" s="275"/>
      <c r="G2478" s="275"/>
      <c r="H2478" s="277"/>
    </row>
    <row r="2479" ht="13.65" customHeight="1">
      <c r="A2479" s="278"/>
      <c r="B2479" s="278"/>
      <c r="C2479" s="278"/>
      <c r="D2479" s="278"/>
      <c r="E2479" s="278"/>
      <c r="F2479" s="278"/>
      <c r="G2479" s="278"/>
      <c r="H2479" s="278"/>
    </row>
    <row r="2480" ht="13.65" customHeight="1">
      <c r="A2480" s="3"/>
      <c r="B2480" s="3"/>
      <c r="C2480" s="3"/>
      <c r="D2480" s="3"/>
      <c r="E2480" s="3"/>
      <c r="F2480" s="3"/>
      <c r="G2480" s="3"/>
      <c r="H2480" s="3"/>
    </row>
    <row r="2481" ht="13.65" customHeight="1">
      <c r="A2481" t="s" s="5">
        <v>695</v>
      </c>
      <c r="B2481" s="3"/>
      <c r="C2481" s="3"/>
      <c r="D2481" s="3"/>
      <c r="E2481" s="3"/>
      <c r="F2481" s="3"/>
      <c r="G2481" s="3"/>
      <c r="H2481" s="3"/>
    </row>
    <row r="2482" ht="13.65" customHeight="1">
      <c r="A2482" s="11"/>
      <c r="B2482" s="11"/>
      <c r="C2482" s="11"/>
      <c r="D2482" s="11"/>
      <c r="E2482" s="11"/>
      <c r="F2482" s="11"/>
      <c r="G2482" s="11"/>
      <c r="H2482" s="3"/>
    </row>
    <row r="2483" ht="13.65" customHeight="1">
      <c r="A2483" s="12"/>
      <c r="B2483" s="12"/>
      <c r="C2483" s="13"/>
      <c r="D2483" s="14"/>
      <c r="E2483" s="13"/>
      <c r="F2483" s="13"/>
      <c r="G2483" t="s" s="14">
        <v>252</v>
      </c>
      <c r="H2483" s="150"/>
    </row>
    <row r="2484" ht="13.65" customHeight="1">
      <c r="A2484" t="s" s="16">
        <v>93</v>
      </c>
      <c r="B2484" t="s" s="16">
        <v>94</v>
      </c>
      <c r="C2484" t="s" s="16">
        <v>95</v>
      </c>
      <c r="D2484" t="s" s="16">
        <v>96</v>
      </c>
      <c r="E2484" t="s" s="16">
        <v>97</v>
      </c>
      <c r="F2484" t="s" s="16">
        <v>98</v>
      </c>
      <c r="G2484" t="s" s="16">
        <v>99</v>
      </c>
      <c r="H2484" s="15"/>
    </row>
    <row r="2485" ht="13.65" customHeight="1">
      <c r="A2485" s="151"/>
      <c r="B2485" s="151"/>
      <c r="C2485" s="19"/>
      <c r="D2485" s="20"/>
      <c r="E2485" s="19"/>
      <c r="F2485" s="19"/>
      <c r="G2485" t="s" s="20">
        <v>100</v>
      </c>
      <c r="H2485" s="15"/>
    </row>
    <row r="2486" ht="13.65" customHeight="1">
      <c r="A2486" s="21">
        <v>72</v>
      </c>
      <c r="B2486" t="s" s="22">
        <v>101</v>
      </c>
      <c r="C2486" s="23">
        <v>50</v>
      </c>
      <c r="D2486" t="s" s="24">
        <v>274</v>
      </c>
      <c r="E2486" s="25">
        <v>1.93</v>
      </c>
      <c r="F2486" s="23">
        <v>12.5</v>
      </c>
      <c r="G2486" s="152" cm="1">
        <f t="array" ref="G2486">SUM(E2486/F2486)</f>
        <v>0.1544</v>
      </c>
      <c r="H2486" s="15"/>
    </row>
    <row r="2487" ht="13.65" customHeight="1">
      <c r="A2487" s="21">
        <v>123</v>
      </c>
      <c r="B2487" t="s" s="22">
        <v>103</v>
      </c>
      <c r="C2487" s="23">
        <v>40</v>
      </c>
      <c r="D2487" t="s" s="24">
        <v>102</v>
      </c>
      <c r="E2487" s="25">
        <v>3.2</v>
      </c>
      <c r="F2487" s="23">
        <v>20</v>
      </c>
      <c r="G2487" s="152" cm="1">
        <f t="array" ref="G2487">SUM(E2487/F2487)</f>
        <v>0.16</v>
      </c>
      <c r="H2487" s="15"/>
    </row>
    <row r="2488" ht="13.65" customHeight="1">
      <c r="A2488" s="21">
        <v>65</v>
      </c>
      <c r="B2488" t="s" s="22">
        <v>394</v>
      </c>
      <c r="C2488" s="23">
        <v>500</v>
      </c>
      <c r="D2488" t="s" s="24">
        <v>633</v>
      </c>
      <c r="E2488" s="25">
        <v>26</v>
      </c>
      <c r="F2488" s="23">
        <v>16.6</v>
      </c>
      <c r="G2488" s="152" cm="1">
        <f t="array" ref="G2488">SUM(E2488/F2488)</f>
        <v>1.56626506024096</v>
      </c>
      <c r="H2488" s="15"/>
    </row>
    <row r="2489" ht="13.65" customHeight="1">
      <c r="A2489" s="21">
        <v>140</v>
      </c>
      <c r="B2489" t="s" s="22">
        <v>470</v>
      </c>
      <c r="C2489" t="s" s="24">
        <v>108</v>
      </c>
      <c r="D2489" t="s" s="24">
        <v>102</v>
      </c>
      <c r="E2489" s="25">
        <v>1.12</v>
      </c>
      <c r="F2489" t="s" s="24">
        <v>387</v>
      </c>
      <c r="G2489" s="152" cm="1">
        <f t="array" ref="G2489">SUM(E2489*2)</f>
        <v>2.24</v>
      </c>
      <c r="H2489" s="15"/>
    </row>
    <row r="2490" ht="13.65" customHeight="1">
      <c r="A2490" s="21">
        <v>71</v>
      </c>
      <c r="B2490" t="s" s="22">
        <v>109</v>
      </c>
      <c r="C2490" s="23">
        <v>10</v>
      </c>
      <c r="D2490" t="s" s="24">
        <v>102</v>
      </c>
      <c r="E2490" s="25">
        <v>5.92</v>
      </c>
      <c r="F2490" s="23">
        <v>5</v>
      </c>
      <c r="G2490" s="152" cm="1">
        <f t="array" ref="G2490">SUM(E2490/F2490)</f>
        <v>1.184</v>
      </c>
      <c r="H2490" s="15"/>
    </row>
    <row r="2491" ht="13.65" customHeight="1">
      <c r="A2491" s="21">
        <v>87</v>
      </c>
      <c r="B2491" t="s" s="22">
        <v>110</v>
      </c>
      <c r="C2491" s="23">
        <v>50</v>
      </c>
      <c r="D2491" t="s" s="24">
        <v>102</v>
      </c>
      <c r="E2491" s="25">
        <v>9</v>
      </c>
      <c r="F2491" s="23">
        <v>25</v>
      </c>
      <c r="G2491" s="152" cm="1">
        <f t="array" ref="G2491">SUM(E2491/F2491)</f>
        <v>0.36</v>
      </c>
      <c r="H2491" s="15"/>
    </row>
    <row r="2492" ht="13.65" customHeight="1">
      <c r="A2492" s="21">
        <v>55</v>
      </c>
      <c r="B2492" t="s" s="22">
        <v>111</v>
      </c>
      <c r="C2492" t="s" s="24">
        <v>112</v>
      </c>
      <c r="D2492" t="s" s="24">
        <v>461</v>
      </c>
      <c r="E2492" s="25">
        <v>2.71</v>
      </c>
      <c r="F2492" s="23">
        <v>37.5</v>
      </c>
      <c r="G2492" s="152" cm="1">
        <f t="array" ref="G2492">SUM(E2492/F2492)</f>
        <v>0.0722666666666667</v>
      </c>
      <c r="H2492" s="15"/>
    </row>
    <row r="2493" ht="13.65" customHeight="1">
      <c r="A2493" s="21">
        <v>10</v>
      </c>
      <c r="B2493" t="s" s="22">
        <v>395</v>
      </c>
      <c r="C2493" t="s" s="24">
        <v>396</v>
      </c>
      <c r="D2493" t="s" s="24">
        <v>397</v>
      </c>
      <c r="E2493" s="25">
        <v>3.92</v>
      </c>
      <c r="F2493" s="23">
        <v>50</v>
      </c>
      <c r="G2493" s="152" cm="1">
        <f t="array" ref="G2493">SUM(E2493/F2493)</f>
        <v>0.0784</v>
      </c>
      <c r="H2493" s="15"/>
    </row>
    <row r="2494" ht="13.65" customHeight="1">
      <c r="A2494" s="21">
        <v>9</v>
      </c>
      <c r="B2494" t="s" s="22">
        <v>692</v>
      </c>
      <c r="C2494" s="23">
        <v>50</v>
      </c>
      <c r="D2494" t="s" s="24">
        <v>274</v>
      </c>
      <c r="E2494" s="25">
        <v>14</v>
      </c>
      <c r="F2494" s="23">
        <v>12.5</v>
      </c>
      <c r="G2494" s="152" cm="1">
        <f t="array" ref="G2494">SUM(E2494/F2494)</f>
        <v>1.12</v>
      </c>
      <c r="H2494" s="15"/>
    </row>
    <row r="2495" ht="13.65" customHeight="1">
      <c r="A2495" s="21">
        <v>6</v>
      </c>
      <c r="B2495" t="s" s="22">
        <v>399</v>
      </c>
      <c r="C2495" s="23">
        <v>100</v>
      </c>
      <c r="D2495" t="s" s="24">
        <v>104</v>
      </c>
      <c r="E2495" s="25">
        <v>19</v>
      </c>
      <c r="F2495" s="23">
        <v>100</v>
      </c>
      <c r="G2495" s="152" cm="1">
        <f t="array" ref="G2495">SUM(E2495/F2495)</f>
        <v>0.19</v>
      </c>
      <c r="H2495" s="15"/>
    </row>
    <row r="2496" ht="13.65" customHeight="1">
      <c r="A2496" s="21">
        <v>23</v>
      </c>
      <c r="B2496" t="s" s="22">
        <v>488</v>
      </c>
      <c r="C2496" s="23">
        <v>1</v>
      </c>
      <c r="D2496" t="s" s="24">
        <v>104</v>
      </c>
      <c r="E2496" s="25">
        <v>11</v>
      </c>
      <c r="F2496" s="23">
        <v>1</v>
      </c>
      <c r="G2496" s="152" cm="1">
        <f t="array" ref="G2496">SUM(E2496/F2496)</f>
        <v>11</v>
      </c>
      <c r="H2496" s="15"/>
    </row>
    <row r="2497" ht="13.65" customHeight="1">
      <c r="A2497" s="21">
        <v>119</v>
      </c>
      <c r="B2497" t="s" s="22">
        <v>467</v>
      </c>
      <c r="C2497" s="23">
        <v>1</v>
      </c>
      <c r="D2497" t="s" s="24">
        <v>468</v>
      </c>
      <c r="E2497" s="25">
        <v>0.45</v>
      </c>
      <c r="F2497" s="23">
        <v>1</v>
      </c>
      <c r="G2497" s="152" cm="1">
        <f t="array" ref="G2497">SUM(E2497/F2497)</f>
        <v>0.45</v>
      </c>
      <c r="H2497" s="15"/>
    </row>
    <row r="2498" ht="13.65" customHeight="1">
      <c r="A2498" s="21">
        <v>122</v>
      </c>
      <c r="B2498" t="s" s="22">
        <v>489</v>
      </c>
      <c r="C2498" t="s" s="24">
        <v>490</v>
      </c>
      <c r="D2498" t="s" s="24">
        <v>648</v>
      </c>
      <c r="E2498" s="25">
        <v>1.7</v>
      </c>
      <c r="F2498" s="23">
        <v>16</v>
      </c>
      <c r="G2498" s="152" cm="1">
        <f t="array" ref="G2498">SUM(E2498/F2498)</f>
        <v>0.10625</v>
      </c>
      <c r="H2498" s="15"/>
    </row>
    <row r="2499" ht="13.65" customHeight="1">
      <c r="A2499" s="21">
        <v>136</v>
      </c>
      <c r="B2499" t="s" s="22">
        <v>696</v>
      </c>
      <c r="C2499" t="s" s="24">
        <v>408</v>
      </c>
      <c r="D2499" t="s" s="24">
        <v>495</v>
      </c>
      <c r="E2499" s="25">
        <v>243</v>
      </c>
      <c r="F2499" s="23">
        <v>20</v>
      </c>
      <c r="G2499" s="152" cm="1">
        <f t="array" ref="G2499">SUM(E2499/F2499)</f>
        <v>12.15</v>
      </c>
      <c r="H2499" s="15"/>
    </row>
    <row r="2500" ht="13.65" customHeight="1">
      <c r="A2500" s="21">
        <v>56</v>
      </c>
      <c r="B2500" t="s" s="22">
        <v>471</v>
      </c>
      <c r="C2500" s="23">
        <v>1</v>
      </c>
      <c r="D2500" t="s" s="24">
        <v>104</v>
      </c>
      <c r="E2500" s="25">
        <v>3.5</v>
      </c>
      <c r="F2500" s="23">
        <v>1</v>
      </c>
      <c r="G2500" s="152" cm="1">
        <f t="array" ref="G2500">SUM(E2500/F2500)</f>
        <v>3.5</v>
      </c>
      <c r="H2500" s="15"/>
    </row>
    <row r="2501" ht="13.65" customHeight="1">
      <c r="A2501" s="21">
        <v>78</v>
      </c>
      <c r="B2501" t="s" s="22">
        <v>492</v>
      </c>
      <c r="C2501" s="23">
        <v>1</v>
      </c>
      <c r="D2501" t="s" s="24">
        <v>104</v>
      </c>
      <c r="E2501" s="25">
        <v>1</v>
      </c>
      <c r="F2501" s="23">
        <v>1</v>
      </c>
      <c r="G2501" s="152" cm="1">
        <f t="array" ref="G2501">SUM(E2501/F2501)</f>
        <v>1</v>
      </c>
      <c r="H2501" s="15"/>
    </row>
    <row r="2502" ht="13.65" customHeight="1">
      <c r="A2502" s="21">
        <v>36</v>
      </c>
      <c r="B2502" t="s" s="22">
        <v>496</v>
      </c>
      <c r="C2502" t="s" s="24">
        <v>497</v>
      </c>
      <c r="D2502" t="s" s="24">
        <v>498</v>
      </c>
      <c r="E2502" s="25">
        <v>13</v>
      </c>
      <c r="F2502" s="23">
        <v>16</v>
      </c>
      <c r="G2502" s="152" cm="1">
        <f t="array" ref="G2502">SUM(E2502/F2502)</f>
        <v>0.8125</v>
      </c>
      <c r="H2502" s="15"/>
    </row>
    <row r="2503" ht="13.65" customHeight="1">
      <c r="A2503" s="21">
        <v>16</v>
      </c>
      <c r="B2503" t="s" s="22">
        <v>693</v>
      </c>
      <c r="C2503" s="23">
        <v>6</v>
      </c>
      <c r="D2503" t="s" s="24">
        <v>694</v>
      </c>
      <c r="E2503" s="25">
        <v>41</v>
      </c>
      <c r="F2503" s="23">
        <v>10</v>
      </c>
      <c r="G2503" s="152" cm="1">
        <f t="array" ref="G2503">SUM(E2503/F2503)</f>
        <v>4.1</v>
      </c>
      <c r="H2503" s="15"/>
    </row>
    <row r="2504" ht="13.65" customHeight="1">
      <c r="A2504" s="28"/>
      <c r="B2504" s="28"/>
      <c r="C2504" s="27"/>
      <c r="D2504" s="24"/>
      <c r="E2504" s="27"/>
      <c r="F2504" t="s" s="29">
        <v>118</v>
      </c>
      <c r="G2504" s="197" cm="1">
        <f t="array" ref="G2504">SUM(G2486:G2503)</f>
        <v>40.2440817269076</v>
      </c>
      <c r="H2504" s="15"/>
    </row>
    <row r="2505" ht="13.65" customHeight="1">
      <c r="A2505" s="129"/>
      <c r="B2505" s="129"/>
      <c r="C2505" s="129"/>
      <c r="D2505" s="129"/>
      <c r="E2505" s="129"/>
      <c r="F2505" s="31"/>
      <c r="G2505" s="31"/>
      <c r="H2505" s="3"/>
    </row>
    <row r="2506" ht="11.7" customHeight="1">
      <c r="A2506" t="s" s="167">
        <v>136</v>
      </c>
      <c r="B2506" t="s" s="167">
        <v>281</v>
      </c>
      <c r="C2506" t="s" s="167">
        <v>282</v>
      </c>
      <c r="D2506" t="s" s="168">
        <v>283</v>
      </c>
      <c r="E2506" s="169"/>
      <c r="F2506" s="170"/>
      <c r="G2506" s="171"/>
      <c r="H2506" s="171"/>
    </row>
    <row r="2507" ht="13.65" customHeight="1">
      <c r="A2507" s="23">
        <v>140</v>
      </c>
      <c r="B2507" s="172" cm="1">
        <f t="array" ref="B2507">SUM(H256)</f>
        <v>2.47496540404041</v>
      </c>
      <c r="C2507" s="172" cm="1">
        <f t="array" ref="C2507">SUM(G2504)</f>
        <v>40.2440817269076</v>
      </c>
      <c r="D2507" s="199" cm="1">
        <f t="array" ref="D2507">SUM(A2507*B2507)+(C2507)</f>
        <v>386.739238292565</v>
      </c>
      <c r="E2507" s="200"/>
      <c r="F2507" s="15"/>
      <c r="G2507" s="3"/>
      <c r="H2507" s="3"/>
    </row>
    <row r="2508" ht="13.65" customHeight="1">
      <c r="A2508" s="31"/>
      <c r="B2508" s="31"/>
      <c r="C2508" s="31"/>
      <c r="D2508" s="31"/>
      <c r="E2508" s="31"/>
      <c r="F2508" s="3"/>
      <c r="G2508" s="3"/>
      <c r="H2508" s="3"/>
    </row>
    <row r="2509" ht="13.65" customHeight="1">
      <c r="A2509" s="3"/>
      <c r="B2509" s="3"/>
      <c r="C2509" s="3"/>
      <c r="D2509" s="3"/>
      <c r="E2509" s="3"/>
      <c r="F2509" s="3"/>
      <c r="G2509" s="3"/>
      <c r="H2509" s="3"/>
    </row>
    <row r="2510" ht="13.65" customHeight="1">
      <c r="A2510" t="s" s="5">
        <v>697</v>
      </c>
      <c r="B2510" s="3"/>
      <c r="C2510" s="3"/>
      <c r="D2510" s="3"/>
      <c r="E2510" s="3"/>
      <c r="F2510" s="3"/>
      <c r="G2510" s="3"/>
      <c r="H2510" s="3"/>
    </row>
    <row r="2511" ht="13.65" customHeight="1">
      <c r="A2511" s="11"/>
      <c r="B2511" s="11"/>
      <c r="C2511" s="11"/>
      <c r="D2511" s="11"/>
      <c r="E2511" s="11"/>
      <c r="F2511" s="11"/>
      <c r="G2511" s="11"/>
      <c r="H2511" s="3"/>
    </row>
    <row r="2512" ht="13.65" customHeight="1">
      <c r="A2512" s="12"/>
      <c r="B2512" s="12"/>
      <c r="C2512" s="13"/>
      <c r="D2512" s="14"/>
      <c r="E2512" s="13"/>
      <c r="F2512" s="13"/>
      <c r="G2512" t="s" s="14">
        <v>252</v>
      </c>
      <c r="H2512" s="150"/>
    </row>
    <row r="2513" ht="13.65" customHeight="1">
      <c r="A2513" t="s" s="16">
        <v>93</v>
      </c>
      <c r="B2513" t="s" s="16">
        <v>94</v>
      </c>
      <c r="C2513" t="s" s="16">
        <v>95</v>
      </c>
      <c r="D2513" t="s" s="16">
        <v>96</v>
      </c>
      <c r="E2513" t="s" s="16">
        <v>97</v>
      </c>
      <c r="F2513" t="s" s="16">
        <v>98</v>
      </c>
      <c r="G2513" t="s" s="16">
        <v>99</v>
      </c>
      <c r="H2513" s="15"/>
    </row>
    <row r="2514" ht="13.65" customHeight="1">
      <c r="A2514" s="151"/>
      <c r="B2514" s="151"/>
      <c r="C2514" s="19"/>
      <c r="D2514" s="20"/>
      <c r="E2514" s="19"/>
      <c r="F2514" s="19"/>
      <c r="G2514" t="s" s="20">
        <v>100</v>
      </c>
      <c r="H2514" s="15"/>
    </row>
    <row r="2515" ht="13.65" customHeight="1">
      <c r="A2515" s="21">
        <v>72</v>
      </c>
      <c r="B2515" t="s" s="22">
        <v>101</v>
      </c>
      <c r="C2515" s="23">
        <v>50</v>
      </c>
      <c r="D2515" t="s" s="24">
        <v>274</v>
      </c>
      <c r="E2515" s="25">
        <v>1.93</v>
      </c>
      <c r="F2515" s="23">
        <v>12.5</v>
      </c>
      <c r="G2515" s="152" cm="1">
        <f t="array" ref="G2515">SUM(E2515/F2515)</f>
        <v>0.1544</v>
      </c>
      <c r="H2515" s="15"/>
    </row>
    <row r="2516" ht="13.65" customHeight="1">
      <c r="A2516" s="21">
        <v>123</v>
      </c>
      <c r="B2516" t="s" s="22">
        <v>103</v>
      </c>
      <c r="C2516" s="23">
        <v>40</v>
      </c>
      <c r="D2516" t="s" s="24">
        <v>102</v>
      </c>
      <c r="E2516" s="25">
        <v>3.2</v>
      </c>
      <c r="F2516" s="23">
        <v>20</v>
      </c>
      <c r="G2516" s="152" cm="1">
        <f t="array" ref="G2516">SUM(E2516/F2516)</f>
        <v>0.16</v>
      </c>
      <c r="H2516" s="15"/>
    </row>
    <row r="2517" ht="13.65" customHeight="1">
      <c r="A2517" s="21">
        <v>65</v>
      </c>
      <c r="B2517" t="s" s="22">
        <v>394</v>
      </c>
      <c r="C2517" s="23">
        <v>500</v>
      </c>
      <c r="D2517" t="s" s="24">
        <v>633</v>
      </c>
      <c r="E2517" s="25">
        <v>26</v>
      </c>
      <c r="F2517" s="23">
        <v>16.6</v>
      </c>
      <c r="G2517" s="152" cm="1">
        <f t="array" ref="G2517">SUM(E2517/F2517)</f>
        <v>1.56626506024096</v>
      </c>
      <c r="H2517" s="15"/>
    </row>
    <row r="2518" ht="13.65" customHeight="1">
      <c r="A2518" s="21">
        <v>140</v>
      </c>
      <c r="B2518" t="s" s="22">
        <v>470</v>
      </c>
      <c r="C2518" t="s" s="24">
        <v>108</v>
      </c>
      <c r="D2518" t="s" s="24">
        <v>102</v>
      </c>
      <c r="E2518" s="25">
        <v>1.12</v>
      </c>
      <c r="F2518" t="s" s="24">
        <v>387</v>
      </c>
      <c r="G2518" s="152" cm="1">
        <f t="array" ref="G2518">SUM(E2518*2)</f>
        <v>2.24</v>
      </c>
      <c r="H2518" s="15"/>
    </row>
    <row r="2519" ht="13.65" customHeight="1">
      <c r="A2519" s="21">
        <v>71</v>
      </c>
      <c r="B2519" t="s" s="22">
        <v>109</v>
      </c>
      <c r="C2519" s="23">
        <v>10</v>
      </c>
      <c r="D2519" t="s" s="24">
        <v>102</v>
      </c>
      <c r="E2519" s="25">
        <v>5.92</v>
      </c>
      <c r="F2519" s="23">
        <v>5</v>
      </c>
      <c r="G2519" s="152" cm="1">
        <f t="array" ref="G2519">SUM(E2519/F2519)</f>
        <v>1.184</v>
      </c>
      <c r="H2519" s="15"/>
    </row>
    <row r="2520" ht="13.65" customHeight="1">
      <c r="A2520" s="21">
        <v>87</v>
      </c>
      <c r="B2520" t="s" s="22">
        <v>110</v>
      </c>
      <c r="C2520" s="23">
        <v>50</v>
      </c>
      <c r="D2520" t="s" s="24">
        <v>102</v>
      </c>
      <c r="E2520" s="25">
        <v>9</v>
      </c>
      <c r="F2520" s="23">
        <v>25</v>
      </c>
      <c r="G2520" s="152" cm="1">
        <f t="array" ref="G2520">SUM(E2520/F2520)</f>
        <v>0.36</v>
      </c>
      <c r="H2520" s="15"/>
    </row>
    <row r="2521" ht="13.65" customHeight="1">
      <c r="A2521" s="21">
        <v>55</v>
      </c>
      <c r="B2521" t="s" s="22">
        <v>111</v>
      </c>
      <c r="C2521" t="s" s="24">
        <v>112</v>
      </c>
      <c r="D2521" t="s" s="24">
        <v>461</v>
      </c>
      <c r="E2521" s="25">
        <v>2.71</v>
      </c>
      <c r="F2521" s="23">
        <v>37.5</v>
      </c>
      <c r="G2521" s="152" cm="1">
        <f t="array" ref="G2521">SUM(E2521/F2521)</f>
        <v>0.0722666666666667</v>
      </c>
      <c r="H2521" s="15"/>
    </row>
    <row r="2522" ht="13.65" customHeight="1">
      <c r="A2522" s="21">
        <v>10</v>
      </c>
      <c r="B2522" t="s" s="22">
        <v>395</v>
      </c>
      <c r="C2522" t="s" s="24">
        <v>396</v>
      </c>
      <c r="D2522" t="s" s="24">
        <v>397</v>
      </c>
      <c r="E2522" s="25">
        <v>3.92</v>
      </c>
      <c r="F2522" s="23">
        <v>50</v>
      </c>
      <c r="G2522" s="152" cm="1">
        <f t="array" ref="G2522">SUM(E2522/F2522)</f>
        <v>0.0784</v>
      </c>
      <c r="H2522" s="15"/>
    </row>
    <row r="2523" ht="13.65" customHeight="1">
      <c r="A2523" s="21">
        <v>9</v>
      </c>
      <c r="B2523" t="s" s="22">
        <v>692</v>
      </c>
      <c r="C2523" s="23">
        <v>50</v>
      </c>
      <c r="D2523" t="s" s="24">
        <v>274</v>
      </c>
      <c r="E2523" s="25">
        <v>14</v>
      </c>
      <c r="F2523" s="23">
        <v>12.5</v>
      </c>
      <c r="G2523" s="152" cm="1">
        <f t="array" ref="G2523">SUM(E2523/F2523)</f>
        <v>1.12</v>
      </c>
      <c r="H2523" s="15"/>
    </row>
    <row r="2524" ht="13.65" customHeight="1">
      <c r="A2524" s="21">
        <v>6</v>
      </c>
      <c r="B2524" t="s" s="22">
        <v>399</v>
      </c>
      <c r="C2524" s="23">
        <v>100</v>
      </c>
      <c r="D2524" t="s" s="24">
        <v>104</v>
      </c>
      <c r="E2524" s="25">
        <v>19</v>
      </c>
      <c r="F2524" s="23">
        <v>100</v>
      </c>
      <c r="G2524" s="152" cm="1">
        <f t="array" ref="G2524">SUM(E2524/F2524)</f>
        <v>0.19</v>
      </c>
      <c r="H2524" s="15"/>
    </row>
    <row r="2525" ht="13.65" customHeight="1">
      <c r="A2525" s="21">
        <v>23</v>
      </c>
      <c r="B2525" t="s" s="22">
        <v>488</v>
      </c>
      <c r="C2525" s="23">
        <v>1</v>
      </c>
      <c r="D2525" t="s" s="24">
        <v>104</v>
      </c>
      <c r="E2525" s="25">
        <v>11</v>
      </c>
      <c r="F2525" s="23">
        <v>1</v>
      </c>
      <c r="G2525" s="152" cm="1">
        <f t="array" ref="G2525">SUM(E2525/F2525)</f>
        <v>11</v>
      </c>
      <c r="H2525" s="15"/>
    </row>
    <row r="2526" ht="13.65" customHeight="1">
      <c r="A2526" s="21">
        <v>119</v>
      </c>
      <c r="B2526" t="s" s="22">
        <v>467</v>
      </c>
      <c r="C2526" s="23">
        <v>1</v>
      </c>
      <c r="D2526" t="s" s="24">
        <v>468</v>
      </c>
      <c r="E2526" s="25">
        <v>0.45</v>
      </c>
      <c r="F2526" s="23">
        <v>1</v>
      </c>
      <c r="G2526" s="152" cm="1">
        <f t="array" ref="G2526">SUM(E2526/F2526)</f>
        <v>0.45</v>
      </c>
      <c r="H2526" s="15"/>
    </row>
    <row r="2527" ht="13.65" customHeight="1">
      <c r="A2527" s="21">
        <v>122</v>
      </c>
      <c r="B2527" t="s" s="22">
        <v>489</v>
      </c>
      <c r="C2527" t="s" s="24">
        <v>490</v>
      </c>
      <c r="D2527" t="s" s="24">
        <v>390</v>
      </c>
      <c r="E2527" s="25">
        <v>1.7</v>
      </c>
      <c r="F2527" s="23">
        <v>50</v>
      </c>
      <c r="G2527" s="152" cm="1">
        <f t="array" ref="G2527">SUM(E2527/F2527)</f>
        <v>0.034</v>
      </c>
      <c r="H2527" s="15"/>
    </row>
    <row r="2528" ht="13.65" customHeight="1">
      <c r="A2528" s="21">
        <v>56</v>
      </c>
      <c r="B2528" t="s" s="22">
        <v>471</v>
      </c>
      <c r="C2528" s="23">
        <v>1</v>
      </c>
      <c r="D2528" t="s" s="24">
        <v>104</v>
      </c>
      <c r="E2528" s="25">
        <v>3.5</v>
      </c>
      <c r="F2528" s="23">
        <v>1</v>
      </c>
      <c r="G2528" s="152" cm="1">
        <f t="array" ref="G2528">SUM(E2528/F2528)</f>
        <v>3.5</v>
      </c>
      <c r="H2528" s="15"/>
    </row>
    <row r="2529" ht="13.65" customHeight="1">
      <c r="A2529" s="21">
        <v>78</v>
      </c>
      <c r="B2529" t="s" s="22">
        <v>492</v>
      </c>
      <c r="C2529" s="23">
        <v>1</v>
      </c>
      <c r="D2529" t="s" s="24">
        <v>104</v>
      </c>
      <c r="E2529" s="25">
        <v>1</v>
      </c>
      <c r="F2529" s="23">
        <v>1</v>
      </c>
      <c r="G2529" s="152" cm="1">
        <f t="array" ref="G2529">SUM(E2529/F2529)</f>
        <v>1</v>
      </c>
      <c r="H2529" s="15"/>
    </row>
    <row r="2530" ht="13.65" customHeight="1">
      <c r="A2530" s="21">
        <v>36</v>
      </c>
      <c r="B2530" t="s" s="22">
        <v>496</v>
      </c>
      <c r="C2530" t="s" s="24">
        <v>497</v>
      </c>
      <c r="D2530" t="s" s="24">
        <v>498</v>
      </c>
      <c r="E2530" s="25">
        <v>13</v>
      </c>
      <c r="F2530" s="23">
        <v>16</v>
      </c>
      <c r="G2530" s="152" cm="1">
        <f t="array" ref="G2530">SUM(E2530/F2530)</f>
        <v>0.8125</v>
      </c>
      <c r="H2530" s="15"/>
    </row>
    <row r="2531" ht="13.65" customHeight="1">
      <c r="A2531" s="21">
        <v>16</v>
      </c>
      <c r="B2531" t="s" s="22">
        <v>693</v>
      </c>
      <c r="C2531" s="23">
        <v>6</v>
      </c>
      <c r="D2531" t="s" s="24">
        <v>694</v>
      </c>
      <c r="E2531" s="25">
        <v>41</v>
      </c>
      <c r="F2531" s="23">
        <v>10</v>
      </c>
      <c r="G2531" s="152" cm="1">
        <f t="array" ref="G2531">SUM(E2531/F2531)</f>
        <v>4.1</v>
      </c>
      <c r="H2531" s="15"/>
    </row>
    <row r="2532" ht="13.65" customHeight="1">
      <c r="A2532" s="28"/>
      <c r="B2532" s="28"/>
      <c r="C2532" s="27"/>
      <c r="D2532" s="24"/>
      <c r="E2532" s="27"/>
      <c r="F2532" t="s" s="29">
        <v>118</v>
      </c>
      <c r="G2532" s="197" cm="1">
        <f t="array" ref="G2532">SUM(G2515:G2531)</f>
        <v>28.0218317269076</v>
      </c>
      <c r="H2532" s="15"/>
    </row>
    <row r="2533" ht="13.65" customHeight="1">
      <c r="A2533" s="129"/>
      <c r="B2533" s="129"/>
      <c r="C2533" s="129"/>
      <c r="D2533" s="129"/>
      <c r="E2533" s="129"/>
      <c r="F2533" s="31"/>
      <c r="G2533" s="31"/>
      <c r="H2533" s="3"/>
    </row>
    <row r="2534" ht="11.7" customHeight="1">
      <c r="A2534" t="s" s="167">
        <v>136</v>
      </c>
      <c r="B2534" t="s" s="167">
        <v>281</v>
      </c>
      <c r="C2534" t="s" s="167">
        <v>282</v>
      </c>
      <c r="D2534" t="s" s="168">
        <v>283</v>
      </c>
      <c r="E2534" s="169"/>
      <c r="F2534" s="170"/>
      <c r="G2534" s="171"/>
      <c r="H2534" s="171"/>
    </row>
    <row r="2535" ht="13.65" customHeight="1">
      <c r="A2535" s="23">
        <v>160</v>
      </c>
      <c r="B2535" s="172" cm="1">
        <f t="array" ref="B2535">SUM(H256)</f>
        <v>2.47496540404041</v>
      </c>
      <c r="C2535" s="172" cm="1">
        <f t="array" ref="C2535">SUM(G2532)</f>
        <v>28.0218317269076</v>
      </c>
      <c r="D2535" s="199" cm="1">
        <f t="array" ref="D2535">SUM(A2535*B2535)+(C2535)</f>
        <v>424.016296373373</v>
      </c>
      <c r="E2535" s="200"/>
      <c r="F2535" s="15"/>
      <c r="G2535" s="3"/>
      <c r="H2535" s="3"/>
    </row>
    <row r="2536" ht="13.65" customHeight="1">
      <c r="A2536" s="31"/>
      <c r="B2536" s="31"/>
      <c r="C2536" s="31"/>
      <c r="D2536" s="31"/>
      <c r="E2536" s="31"/>
      <c r="F2536" s="3"/>
      <c r="G2536" s="3"/>
      <c r="H2536" s="3"/>
    </row>
    <row r="2537" ht="13.65" customHeight="1">
      <c r="A2537" s="203"/>
      <c r="B2537" s="203"/>
      <c r="C2537" s="203"/>
      <c r="D2537" s="203"/>
      <c r="E2537" s="203"/>
      <c r="F2537" s="203"/>
      <c r="G2537" s="203"/>
      <c r="H2537" s="203"/>
    </row>
    <row r="2538" ht="13.65" customHeight="1">
      <c r="A2538" t="s" s="274">
        <v>185</v>
      </c>
      <c r="B2538" s="275"/>
      <c r="C2538" s="275"/>
      <c r="D2538" s="275"/>
      <c r="E2538" s="280"/>
      <c r="F2538" s="275"/>
      <c r="G2538" s="275"/>
      <c r="H2538" s="277"/>
    </row>
    <row r="2539" ht="13.65" customHeight="1">
      <c r="A2539" s="278"/>
      <c r="B2539" s="278"/>
      <c r="C2539" s="278"/>
      <c r="D2539" s="278"/>
      <c r="E2539" s="278"/>
      <c r="F2539" s="278"/>
      <c r="G2539" s="278"/>
      <c r="H2539" s="278"/>
    </row>
    <row r="2540" ht="13.65" customHeight="1">
      <c r="A2540" s="3"/>
      <c r="B2540" s="3"/>
      <c r="C2540" s="3"/>
      <c r="D2540" s="3"/>
      <c r="E2540" s="3"/>
      <c r="F2540" s="3"/>
      <c r="G2540" s="3"/>
      <c r="H2540" s="3"/>
    </row>
    <row r="2541" ht="13.65" customHeight="1">
      <c r="A2541" t="s" s="5">
        <v>698</v>
      </c>
      <c r="B2541" s="3"/>
      <c r="C2541" s="3"/>
      <c r="D2541" s="3"/>
      <c r="E2541" s="3"/>
      <c r="F2541" s="3"/>
      <c r="G2541" s="3"/>
      <c r="H2541" s="3"/>
    </row>
    <row r="2542" ht="13.65" customHeight="1">
      <c r="A2542" s="11"/>
      <c r="B2542" s="11"/>
      <c r="C2542" s="11"/>
      <c r="D2542" s="11"/>
      <c r="E2542" s="11"/>
      <c r="F2542" s="11"/>
      <c r="G2542" s="11"/>
      <c r="H2542" s="3"/>
    </row>
    <row r="2543" ht="13.65" customHeight="1">
      <c r="A2543" s="12"/>
      <c r="B2543" s="12"/>
      <c r="C2543" s="13"/>
      <c r="D2543" s="14"/>
      <c r="E2543" s="13"/>
      <c r="F2543" s="13"/>
      <c r="G2543" t="s" s="14">
        <v>252</v>
      </c>
      <c r="H2543" s="150"/>
    </row>
    <row r="2544" ht="13.65" customHeight="1">
      <c r="A2544" t="s" s="16">
        <v>93</v>
      </c>
      <c r="B2544" t="s" s="16">
        <v>94</v>
      </c>
      <c r="C2544" t="s" s="16">
        <v>95</v>
      </c>
      <c r="D2544" t="s" s="16">
        <v>96</v>
      </c>
      <c r="E2544" t="s" s="16">
        <v>97</v>
      </c>
      <c r="F2544" t="s" s="16">
        <v>98</v>
      </c>
      <c r="G2544" t="s" s="16">
        <v>99</v>
      </c>
      <c r="H2544" s="15"/>
    </row>
    <row r="2545" ht="13.65" customHeight="1">
      <c r="A2545" s="151"/>
      <c r="B2545" s="151"/>
      <c r="C2545" s="19"/>
      <c r="D2545" s="20"/>
      <c r="E2545" s="19"/>
      <c r="F2545" s="19"/>
      <c r="G2545" t="s" s="20">
        <v>100</v>
      </c>
      <c r="H2545" s="15"/>
    </row>
    <row r="2546" ht="13.65" customHeight="1">
      <c r="A2546" s="21">
        <v>72</v>
      </c>
      <c r="B2546" t="s" s="22">
        <v>101</v>
      </c>
      <c r="C2546" s="23">
        <v>50</v>
      </c>
      <c r="D2546" t="s" s="24">
        <v>274</v>
      </c>
      <c r="E2546" s="25">
        <v>1.93</v>
      </c>
      <c r="F2546" s="23">
        <v>12.5</v>
      </c>
      <c r="G2546" s="152" cm="1">
        <f t="array" ref="G2546">SUM(E2546/F2546)</f>
        <v>0.1544</v>
      </c>
      <c r="H2546" s="15"/>
    </row>
    <row r="2547" ht="13.65" customHeight="1">
      <c r="A2547" s="21">
        <v>123</v>
      </c>
      <c r="B2547" t="s" s="22">
        <v>103</v>
      </c>
      <c r="C2547" s="23">
        <v>40</v>
      </c>
      <c r="D2547" t="s" s="24">
        <v>102</v>
      </c>
      <c r="E2547" s="25">
        <v>3.2</v>
      </c>
      <c r="F2547" s="23">
        <v>20</v>
      </c>
      <c r="G2547" s="152" cm="1">
        <f t="array" ref="G2547">SUM(E2547/F2547)</f>
        <v>0.16</v>
      </c>
      <c r="H2547" s="15"/>
    </row>
    <row r="2548" ht="13.65" customHeight="1">
      <c r="A2548" s="21">
        <v>65</v>
      </c>
      <c r="B2548" t="s" s="22">
        <v>394</v>
      </c>
      <c r="C2548" s="23">
        <v>500</v>
      </c>
      <c r="D2548" t="s" s="24">
        <v>633</v>
      </c>
      <c r="E2548" s="25">
        <v>26</v>
      </c>
      <c r="F2548" s="23">
        <v>16.6</v>
      </c>
      <c r="G2548" s="152" cm="1">
        <f t="array" ref="G2548">SUM(E2548/F2548)</f>
        <v>1.56626506024096</v>
      </c>
      <c r="H2548" s="15"/>
    </row>
    <row r="2549" ht="13.65" customHeight="1">
      <c r="A2549" s="21">
        <v>140</v>
      </c>
      <c r="B2549" t="s" s="22">
        <v>470</v>
      </c>
      <c r="C2549" t="s" s="24">
        <v>108</v>
      </c>
      <c r="D2549" t="s" s="24">
        <v>102</v>
      </c>
      <c r="E2549" s="25">
        <v>1.12</v>
      </c>
      <c r="F2549" t="s" s="24">
        <v>387</v>
      </c>
      <c r="G2549" s="152" cm="1">
        <f t="array" ref="G2549">SUM(E2549*2)</f>
        <v>2.24</v>
      </c>
      <c r="H2549" s="15"/>
    </row>
    <row r="2550" ht="13.65" customHeight="1">
      <c r="A2550" s="21">
        <v>71</v>
      </c>
      <c r="B2550" t="s" s="22">
        <v>109</v>
      </c>
      <c r="C2550" s="23">
        <v>10</v>
      </c>
      <c r="D2550" t="s" s="24">
        <v>102</v>
      </c>
      <c r="E2550" s="25">
        <v>5.92</v>
      </c>
      <c r="F2550" s="23">
        <v>5</v>
      </c>
      <c r="G2550" s="152" cm="1">
        <f t="array" ref="G2550">SUM(E2550/F2550)</f>
        <v>1.184</v>
      </c>
      <c r="H2550" s="15"/>
    </row>
    <row r="2551" ht="13.65" customHeight="1">
      <c r="A2551" s="21">
        <v>87</v>
      </c>
      <c r="B2551" t="s" s="22">
        <v>110</v>
      </c>
      <c r="C2551" s="23">
        <v>50</v>
      </c>
      <c r="D2551" t="s" s="24">
        <v>102</v>
      </c>
      <c r="E2551" s="25">
        <v>9</v>
      </c>
      <c r="F2551" s="23">
        <v>25</v>
      </c>
      <c r="G2551" s="152" cm="1">
        <f t="array" ref="G2551">SUM(E2551/F2551)</f>
        <v>0.36</v>
      </c>
      <c r="H2551" s="15"/>
    </row>
    <row r="2552" ht="13.65" customHeight="1">
      <c r="A2552" s="21">
        <v>55</v>
      </c>
      <c r="B2552" t="s" s="22">
        <v>111</v>
      </c>
      <c r="C2552" t="s" s="24">
        <v>112</v>
      </c>
      <c r="D2552" t="s" s="24">
        <v>461</v>
      </c>
      <c r="E2552" s="25">
        <v>2.71</v>
      </c>
      <c r="F2552" s="23">
        <v>37.5</v>
      </c>
      <c r="G2552" s="152" cm="1">
        <f t="array" ref="G2552">SUM(E2552/F2552)</f>
        <v>0.0722666666666667</v>
      </c>
      <c r="H2552" s="15"/>
    </row>
    <row r="2553" ht="13.65" customHeight="1">
      <c r="A2553" s="21">
        <v>10</v>
      </c>
      <c r="B2553" t="s" s="22">
        <v>395</v>
      </c>
      <c r="C2553" t="s" s="24">
        <v>396</v>
      </c>
      <c r="D2553" t="s" s="24">
        <v>397</v>
      </c>
      <c r="E2553" s="25">
        <v>3.92</v>
      </c>
      <c r="F2553" s="23">
        <v>50</v>
      </c>
      <c r="G2553" s="152" cm="1">
        <f t="array" ref="G2553">SUM(E2553/F2553)</f>
        <v>0.0784</v>
      </c>
      <c r="H2553" s="15"/>
    </row>
    <row r="2554" ht="13.65" customHeight="1">
      <c r="A2554" s="21">
        <v>9</v>
      </c>
      <c r="B2554" t="s" s="22">
        <v>692</v>
      </c>
      <c r="C2554" s="23">
        <v>50</v>
      </c>
      <c r="D2554" t="s" s="24">
        <v>274</v>
      </c>
      <c r="E2554" s="25">
        <v>14</v>
      </c>
      <c r="F2554" s="23">
        <v>12.5</v>
      </c>
      <c r="G2554" s="152" cm="1">
        <f t="array" ref="G2554">SUM(E2554/F2554)</f>
        <v>1.12</v>
      </c>
      <c r="H2554" s="15"/>
    </row>
    <row r="2555" ht="13.65" customHeight="1">
      <c r="A2555" s="21">
        <v>6</v>
      </c>
      <c r="B2555" t="s" s="22">
        <v>399</v>
      </c>
      <c r="C2555" s="23">
        <v>100</v>
      </c>
      <c r="D2555" t="s" s="24">
        <v>104</v>
      </c>
      <c r="E2555" s="25">
        <v>19</v>
      </c>
      <c r="F2555" s="23">
        <v>100</v>
      </c>
      <c r="G2555" s="152" cm="1">
        <f t="array" ref="G2555">SUM(E2555/F2555)</f>
        <v>0.19</v>
      </c>
      <c r="H2555" s="15"/>
    </row>
    <row r="2556" ht="13.65" customHeight="1">
      <c r="A2556" s="21">
        <v>23</v>
      </c>
      <c r="B2556" t="s" s="22">
        <v>488</v>
      </c>
      <c r="C2556" s="23">
        <v>1</v>
      </c>
      <c r="D2556" t="s" s="24">
        <v>104</v>
      </c>
      <c r="E2556" s="25">
        <v>11</v>
      </c>
      <c r="F2556" s="23">
        <v>1</v>
      </c>
      <c r="G2556" s="152" cm="1">
        <f t="array" ref="G2556">SUM(E2556/F2556)</f>
        <v>11</v>
      </c>
      <c r="H2556" s="15"/>
    </row>
    <row r="2557" ht="13.65" customHeight="1">
      <c r="A2557" s="21">
        <v>119</v>
      </c>
      <c r="B2557" t="s" s="22">
        <v>467</v>
      </c>
      <c r="C2557" s="23">
        <v>1</v>
      </c>
      <c r="D2557" t="s" s="24">
        <v>468</v>
      </c>
      <c r="E2557" s="25">
        <v>0.45</v>
      </c>
      <c r="F2557" s="23">
        <v>1</v>
      </c>
      <c r="G2557" s="152" cm="1">
        <f t="array" ref="G2557">SUM(E2557/F2557)</f>
        <v>0.45</v>
      </c>
      <c r="H2557" s="15"/>
    </row>
    <row r="2558" ht="13.65" customHeight="1">
      <c r="A2558" s="21">
        <v>122</v>
      </c>
      <c r="B2558" t="s" s="22">
        <v>489</v>
      </c>
      <c r="C2558" t="s" s="24">
        <v>490</v>
      </c>
      <c r="D2558" t="s" s="24">
        <v>648</v>
      </c>
      <c r="E2558" s="25">
        <v>1.7</v>
      </c>
      <c r="F2558" s="23">
        <v>16</v>
      </c>
      <c r="G2558" s="152" cm="1">
        <f t="array" ref="G2558">SUM(E2558/F2558)</f>
        <v>0.10625</v>
      </c>
      <c r="H2558" s="15"/>
    </row>
    <row r="2559" ht="13.65" customHeight="1">
      <c r="A2559" s="21">
        <v>136</v>
      </c>
      <c r="B2559" t="s" s="22">
        <v>696</v>
      </c>
      <c r="C2559" t="s" s="24">
        <v>408</v>
      </c>
      <c r="D2559" t="s" s="24">
        <v>495</v>
      </c>
      <c r="E2559" s="25">
        <v>243</v>
      </c>
      <c r="F2559" s="23">
        <v>20</v>
      </c>
      <c r="G2559" s="152" cm="1">
        <f t="array" ref="G2559">SUM(E2559/F2559)</f>
        <v>12.15</v>
      </c>
      <c r="H2559" s="15"/>
    </row>
    <row r="2560" ht="13.65" customHeight="1">
      <c r="A2560" s="21">
        <v>56</v>
      </c>
      <c r="B2560" t="s" s="22">
        <v>471</v>
      </c>
      <c r="C2560" s="23">
        <v>1</v>
      </c>
      <c r="D2560" t="s" s="24">
        <v>104</v>
      </c>
      <c r="E2560" s="25">
        <v>3.5</v>
      </c>
      <c r="F2560" s="23">
        <v>1</v>
      </c>
      <c r="G2560" s="152" cm="1">
        <f t="array" ref="G2560">SUM(E2560/F2560)</f>
        <v>3.5</v>
      </c>
      <c r="H2560" s="15"/>
    </row>
    <row r="2561" ht="13.65" customHeight="1">
      <c r="A2561" s="21">
        <v>78</v>
      </c>
      <c r="B2561" t="s" s="22">
        <v>492</v>
      </c>
      <c r="C2561" s="23">
        <v>1</v>
      </c>
      <c r="D2561" t="s" s="24">
        <v>104</v>
      </c>
      <c r="E2561" s="25">
        <v>1</v>
      </c>
      <c r="F2561" s="23">
        <v>1</v>
      </c>
      <c r="G2561" s="152" cm="1">
        <f t="array" ref="G2561">SUM(E2561/F2561)</f>
        <v>1</v>
      </c>
      <c r="H2561" s="15"/>
    </row>
    <row r="2562" ht="13.65" customHeight="1">
      <c r="A2562" s="21">
        <v>36</v>
      </c>
      <c r="B2562" t="s" s="22">
        <v>496</v>
      </c>
      <c r="C2562" t="s" s="24">
        <v>497</v>
      </c>
      <c r="D2562" t="s" s="24">
        <v>648</v>
      </c>
      <c r="E2562" s="25">
        <v>13</v>
      </c>
      <c r="F2562" s="23">
        <v>8</v>
      </c>
      <c r="G2562" s="152" cm="1">
        <f t="array" ref="G2562">SUM(E2562/F2562)</f>
        <v>1.625</v>
      </c>
      <c r="H2562" s="15"/>
    </row>
    <row r="2563" ht="13.65" customHeight="1">
      <c r="A2563" s="21">
        <v>16</v>
      </c>
      <c r="B2563" t="s" s="22">
        <v>693</v>
      </c>
      <c r="C2563" s="23">
        <v>6</v>
      </c>
      <c r="D2563" t="s" s="24">
        <v>694</v>
      </c>
      <c r="E2563" s="25">
        <v>41</v>
      </c>
      <c r="F2563" s="23">
        <v>10</v>
      </c>
      <c r="G2563" s="152" cm="1">
        <f t="array" ref="G2563">SUM(E2563/F2563)</f>
        <v>4.1</v>
      </c>
      <c r="H2563" s="15"/>
    </row>
    <row r="2564" ht="13.65" customHeight="1">
      <c r="A2564" s="28"/>
      <c r="B2564" s="28"/>
      <c r="C2564" s="27"/>
      <c r="D2564" s="24"/>
      <c r="E2564" s="27"/>
      <c r="F2564" t="s" s="29">
        <v>118</v>
      </c>
      <c r="G2564" s="197" cm="1">
        <f t="array" ref="G2564">SUM(G2546:G2563)</f>
        <v>41.0565817269076</v>
      </c>
      <c r="H2564" s="15"/>
    </row>
    <row r="2565" ht="13.65" customHeight="1">
      <c r="A2565" s="129"/>
      <c r="B2565" s="129"/>
      <c r="C2565" s="129"/>
      <c r="D2565" s="129"/>
      <c r="E2565" s="129"/>
      <c r="F2565" s="31"/>
      <c r="G2565" s="31"/>
      <c r="H2565" s="3"/>
    </row>
    <row r="2566" ht="11.7" customHeight="1">
      <c r="A2566" t="s" s="167">
        <v>136</v>
      </c>
      <c r="B2566" t="s" s="167">
        <v>281</v>
      </c>
      <c r="C2566" t="s" s="167">
        <v>282</v>
      </c>
      <c r="D2566" t="s" s="168">
        <v>283</v>
      </c>
      <c r="E2566" s="169"/>
      <c r="F2566" s="170"/>
      <c r="G2566" s="171"/>
      <c r="H2566" s="171"/>
    </row>
    <row r="2567" ht="13.65" customHeight="1">
      <c r="A2567" s="23">
        <v>170</v>
      </c>
      <c r="B2567" s="172" cm="1">
        <f t="array" ref="B2567">SUM(H256)</f>
        <v>2.47496540404041</v>
      </c>
      <c r="C2567" s="172" cm="1">
        <f t="array" ref="C2567">SUM(G2564)</f>
        <v>41.0565817269076</v>
      </c>
      <c r="D2567" s="199" cm="1">
        <f t="array" ref="D2567">SUM(A2567*B2567)+(C2567)</f>
        <v>461.800700413777</v>
      </c>
      <c r="E2567" s="200"/>
      <c r="F2567" s="15"/>
      <c r="G2567" s="3"/>
      <c r="H2567" s="3"/>
    </row>
    <row r="2568" ht="13.65" customHeight="1">
      <c r="A2568" s="31"/>
      <c r="B2568" s="31"/>
      <c r="C2568" s="31"/>
      <c r="D2568" s="31"/>
      <c r="E2568" s="31"/>
      <c r="F2568" s="3"/>
      <c r="G2568" s="3"/>
      <c r="H2568" s="3"/>
    </row>
    <row r="2569" ht="13.65" customHeight="1">
      <c r="A2569" s="3"/>
      <c r="B2569" s="3"/>
      <c r="C2569" s="3"/>
      <c r="D2569" s="3"/>
      <c r="E2569" s="3"/>
      <c r="F2569" s="3"/>
      <c r="G2569" s="3"/>
      <c r="H2569" s="3"/>
    </row>
    <row r="2570" ht="9" customHeight="1" hidden="1">
      <c r="A2570" s="3"/>
      <c r="B2570" s="3"/>
      <c r="C2570" s="3"/>
      <c r="D2570" s="3"/>
      <c r="E2570" s="3"/>
      <c r="F2570" s="3"/>
      <c r="G2570" s="3"/>
      <c r="H2570" s="3"/>
    </row>
    <row r="2571" ht="13.65" customHeight="1">
      <c r="A2571" t="s" s="5">
        <v>699</v>
      </c>
      <c r="B2571" s="3"/>
      <c r="C2571" s="3"/>
      <c r="D2571" s="3"/>
      <c r="E2571" s="3"/>
      <c r="F2571" s="3"/>
      <c r="G2571" s="3"/>
      <c r="H2571" s="3"/>
    </row>
    <row r="2572" ht="13.65" customHeight="1">
      <c r="A2572" s="11"/>
      <c r="B2572" s="11"/>
      <c r="C2572" s="11"/>
      <c r="D2572" s="11"/>
      <c r="E2572" s="11"/>
      <c r="F2572" s="11"/>
      <c r="G2572" s="11"/>
      <c r="H2572" s="3"/>
    </row>
    <row r="2573" ht="13.65" customHeight="1">
      <c r="A2573" s="12"/>
      <c r="B2573" s="12"/>
      <c r="C2573" s="13"/>
      <c r="D2573" s="14"/>
      <c r="E2573" s="13"/>
      <c r="F2573" s="13"/>
      <c r="G2573" t="s" s="14">
        <v>252</v>
      </c>
      <c r="H2573" s="150"/>
    </row>
    <row r="2574" ht="13.65" customHeight="1">
      <c r="A2574" t="s" s="16">
        <v>93</v>
      </c>
      <c r="B2574" t="s" s="16">
        <v>94</v>
      </c>
      <c r="C2574" t="s" s="16">
        <v>95</v>
      </c>
      <c r="D2574" t="s" s="16">
        <v>96</v>
      </c>
      <c r="E2574" t="s" s="16">
        <v>97</v>
      </c>
      <c r="F2574" t="s" s="16">
        <v>98</v>
      </c>
      <c r="G2574" t="s" s="16">
        <v>99</v>
      </c>
      <c r="H2574" s="15"/>
    </row>
    <row r="2575" ht="13.65" customHeight="1">
      <c r="A2575" s="151"/>
      <c r="B2575" s="151"/>
      <c r="C2575" s="19"/>
      <c r="D2575" s="20"/>
      <c r="E2575" s="19"/>
      <c r="F2575" s="19"/>
      <c r="G2575" t="s" s="20">
        <v>100</v>
      </c>
      <c r="H2575" s="15"/>
    </row>
    <row r="2576" ht="13.65" customHeight="1">
      <c r="A2576" s="21">
        <v>72</v>
      </c>
      <c r="B2576" t="s" s="22">
        <v>101</v>
      </c>
      <c r="C2576" s="23">
        <v>50</v>
      </c>
      <c r="D2576" t="s" s="24">
        <v>274</v>
      </c>
      <c r="E2576" s="25">
        <v>1.93</v>
      </c>
      <c r="F2576" s="23">
        <v>12.5</v>
      </c>
      <c r="G2576" s="152" cm="1">
        <f t="array" ref="G2576">SUM(E2576/F2576)</f>
        <v>0.1544</v>
      </c>
      <c r="H2576" s="15"/>
    </row>
    <row r="2577" ht="13.65" customHeight="1">
      <c r="A2577" s="21">
        <v>123</v>
      </c>
      <c r="B2577" t="s" s="22">
        <v>103</v>
      </c>
      <c r="C2577" s="23">
        <v>40</v>
      </c>
      <c r="D2577" t="s" s="24">
        <v>102</v>
      </c>
      <c r="E2577" s="25">
        <v>3.2</v>
      </c>
      <c r="F2577" s="23">
        <v>20</v>
      </c>
      <c r="G2577" s="152" cm="1">
        <f t="array" ref="G2577">SUM(E2577/F2577)</f>
        <v>0.16</v>
      </c>
      <c r="H2577" s="15"/>
    </row>
    <row r="2578" ht="13.65" customHeight="1">
      <c r="A2578" s="21">
        <v>65</v>
      </c>
      <c r="B2578" t="s" s="22">
        <v>394</v>
      </c>
      <c r="C2578" s="23">
        <v>500</v>
      </c>
      <c r="D2578" t="s" s="24">
        <v>633</v>
      </c>
      <c r="E2578" s="25">
        <v>26</v>
      </c>
      <c r="F2578" s="23">
        <v>16.6</v>
      </c>
      <c r="G2578" s="152" cm="1">
        <f t="array" ref="G2578">SUM(E2578/F2578)</f>
        <v>1.56626506024096</v>
      </c>
      <c r="H2578" s="15"/>
    </row>
    <row r="2579" ht="13.65" customHeight="1">
      <c r="A2579" s="21">
        <v>140</v>
      </c>
      <c r="B2579" t="s" s="22">
        <v>470</v>
      </c>
      <c r="C2579" t="s" s="24">
        <v>108</v>
      </c>
      <c r="D2579" t="s" s="24">
        <v>102</v>
      </c>
      <c r="E2579" s="25">
        <v>1.12</v>
      </c>
      <c r="F2579" t="s" s="24">
        <v>387</v>
      </c>
      <c r="G2579" s="152" cm="1">
        <f t="array" ref="G2579">SUM(E2579*2)</f>
        <v>2.24</v>
      </c>
      <c r="H2579" s="15"/>
    </row>
    <row r="2580" ht="13.65" customHeight="1">
      <c r="A2580" s="21">
        <v>71</v>
      </c>
      <c r="B2580" t="s" s="22">
        <v>109</v>
      </c>
      <c r="C2580" s="23">
        <v>10</v>
      </c>
      <c r="D2580" t="s" s="24">
        <v>102</v>
      </c>
      <c r="E2580" s="25">
        <v>5.92</v>
      </c>
      <c r="F2580" s="23">
        <v>5</v>
      </c>
      <c r="G2580" s="152" cm="1">
        <f t="array" ref="G2580">SUM(E2580/F2580)</f>
        <v>1.184</v>
      </c>
      <c r="H2580" s="15"/>
    </row>
    <row r="2581" ht="13.65" customHeight="1">
      <c r="A2581" s="21">
        <v>87</v>
      </c>
      <c r="B2581" t="s" s="22">
        <v>110</v>
      </c>
      <c r="C2581" s="23">
        <v>50</v>
      </c>
      <c r="D2581" t="s" s="24">
        <v>102</v>
      </c>
      <c r="E2581" s="25">
        <v>9</v>
      </c>
      <c r="F2581" s="23">
        <v>25</v>
      </c>
      <c r="G2581" s="152" cm="1">
        <f t="array" ref="G2581">SUM(E2581/F2581)</f>
        <v>0.36</v>
      </c>
      <c r="H2581" s="15"/>
    </row>
    <row r="2582" ht="13.65" customHeight="1">
      <c r="A2582" s="21">
        <v>55</v>
      </c>
      <c r="B2582" t="s" s="22">
        <v>111</v>
      </c>
      <c r="C2582" t="s" s="24">
        <v>112</v>
      </c>
      <c r="D2582" t="s" s="24">
        <v>461</v>
      </c>
      <c r="E2582" s="25">
        <v>2.71</v>
      </c>
      <c r="F2582" s="23">
        <v>37.5</v>
      </c>
      <c r="G2582" s="152" cm="1">
        <f t="array" ref="G2582">SUM(E2582/F2582)</f>
        <v>0.0722666666666667</v>
      </c>
      <c r="H2582" s="15"/>
    </row>
    <row r="2583" ht="13.65" customHeight="1">
      <c r="A2583" s="21">
        <v>10</v>
      </c>
      <c r="B2583" t="s" s="22">
        <v>395</v>
      </c>
      <c r="C2583" t="s" s="24">
        <v>396</v>
      </c>
      <c r="D2583" t="s" s="24">
        <v>397</v>
      </c>
      <c r="E2583" s="25">
        <v>3.92</v>
      </c>
      <c r="F2583" s="23">
        <v>50</v>
      </c>
      <c r="G2583" s="152" cm="1">
        <f t="array" ref="G2583">SUM(E2583/F2583)</f>
        <v>0.0784</v>
      </c>
      <c r="H2583" s="15"/>
    </row>
    <row r="2584" ht="13.65" customHeight="1">
      <c r="A2584" s="21">
        <v>9</v>
      </c>
      <c r="B2584" t="s" s="22">
        <v>692</v>
      </c>
      <c r="C2584" s="23">
        <v>50</v>
      </c>
      <c r="D2584" t="s" s="24">
        <v>274</v>
      </c>
      <c r="E2584" s="25">
        <v>14</v>
      </c>
      <c r="F2584" s="23">
        <v>12.5</v>
      </c>
      <c r="G2584" s="152" cm="1">
        <f t="array" ref="G2584">SUM(E2584/F2584)</f>
        <v>1.12</v>
      </c>
      <c r="H2584" s="15"/>
    </row>
    <row r="2585" ht="13.65" customHeight="1">
      <c r="A2585" s="21">
        <v>6</v>
      </c>
      <c r="B2585" t="s" s="22">
        <v>399</v>
      </c>
      <c r="C2585" s="23">
        <v>100</v>
      </c>
      <c r="D2585" t="s" s="24">
        <v>104</v>
      </c>
      <c r="E2585" s="25">
        <v>19</v>
      </c>
      <c r="F2585" s="23">
        <v>100</v>
      </c>
      <c r="G2585" s="152" cm="1">
        <f t="array" ref="G2585">SUM(E2585/F2585)</f>
        <v>0.19</v>
      </c>
      <c r="H2585" s="15"/>
    </row>
    <row r="2586" ht="13.65" customHeight="1">
      <c r="A2586" s="21">
        <v>23</v>
      </c>
      <c r="B2586" t="s" s="22">
        <v>488</v>
      </c>
      <c r="C2586" s="23">
        <v>1</v>
      </c>
      <c r="D2586" t="s" s="24">
        <v>104</v>
      </c>
      <c r="E2586" s="25">
        <v>11</v>
      </c>
      <c r="F2586" s="23">
        <v>1</v>
      </c>
      <c r="G2586" s="152" cm="1">
        <f t="array" ref="G2586">SUM(E2586/F2586)</f>
        <v>11</v>
      </c>
      <c r="H2586" s="15"/>
    </row>
    <row r="2587" ht="13.65" customHeight="1">
      <c r="A2587" s="21">
        <v>119</v>
      </c>
      <c r="B2587" t="s" s="22">
        <v>467</v>
      </c>
      <c r="C2587" s="23">
        <v>1</v>
      </c>
      <c r="D2587" t="s" s="24">
        <v>468</v>
      </c>
      <c r="E2587" s="25">
        <v>0.45</v>
      </c>
      <c r="F2587" s="23">
        <v>1</v>
      </c>
      <c r="G2587" s="152" cm="1">
        <f t="array" ref="G2587">SUM(E2587/F2587)</f>
        <v>0.45</v>
      </c>
      <c r="H2587" s="15"/>
    </row>
    <row r="2588" ht="13.65" customHeight="1">
      <c r="A2588" s="21">
        <v>122</v>
      </c>
      <c r="B2588" t="s" s="22">
        <v>489</v>
      </c>
      <c r="C2588" t="s" s="24">
        <v>490</v>
      </c>
      <c r="D2588" t="s" s="24">
        <v>390</v>
      </c>
      <c r="E2588" s="25">
        <v>1.7</v>
      </c>
      <c r="F2588" s="23">
        <v>50</v>
      </c>
      <c r="G2588" s="152" cm="1">
        <f t="array" ref="G2588">SUM(E2588/F2588)</f>
        <v>0.034</v>
      </c>
      <c r="H2588" s="15"/>
    </row>
    <row r="2589" ht="13.65" customHeight="1">
      <c r="A2589" s="21">
        <v>56</v>
      </c>
      <c r="B2589" t="s" s="22">
        <v>471</v>
      </c>
      <c r="C2589" s="23">
        <v>1</v>
      </c>
      <c r="D2589" t="s" s="24">
        <v>104</v>
      </c>
      <c r="E2589" s="25">
        <v>3.5</v>
      </c>
      <c r="F2589" s="23">
        <v>1</v>
      </c>
      <c r="G2589" s="152" cm="1">
        <f t="array" ref="G2589">SUM(E2589/F2589)</f>
        <v>3.5</v>
      </c>
      <c r="H2589" s="15"/>
    </row>
    <row r="2590" ht="13.65" customHeight="1">
      <c r="A2590" s="21">
        <v>78</v>
      </c>
      <c r="B2590" t="s" s="22">
        <v>492</v>
      </c>
      <c r="C2590" s="23">
        <v>1</v>
      </c>
      <c r="D2590" t="s" s="24">
        <v>104</v>
      </c>
      <c r="E2590" s="25">
        <v>1</v>
      </c>
      <c r="F2590" s="23">
        <v>1</v>
      </c>
      <c r="G2590" s="152" cm="1">
        <f t="array" ref="G2590">SUM(E2590/F2590)</f>
        <v>1</v>
      </c>
      <c r="H2590" s="15"/>
    </row>
    <row r="2591" ht="13.65" customHeight="1">
      <c r="A2591" s="21">
        <v>36</v>
      </c>
      <c r="B2591" t="s" s="22">
        <v>496</v>
      </c>
      <c r="C2591" t="s" s="24">
        <v>497</v>
      </c>
      <c r="D2591" t="s" s="24">
        <v>498</v>
      </c>
      <c r="E2591" s="25">
        <v>13</v>
      </c>
      <c r="F2591" s="23">
        <v>16</v>
      </c>
      <c r="G2591" s="152" cm="1">
        <f t="array" ref="G2591">SUM(E2591/F2591)</f>
        <v>0.8125</v>
      </c>
      <c r="H2591" s="15"/>
    </row>
    <row r="2592" ht="13.65" customHeight="1">
      <c r="A2592" s="21">
        <v>16</v>
      </c>
      <c r="B2592" t="s" s="22">
        <v>693</v>
      </c>
      <c r="C2592" s="23">
        <v>6</v>
      </c>
      <c r="D2592" t="s" s="24">
        <v>694</v>
      </c>
      <c r="E2592" s="25">
        <v>41</v>
      </c>
      <c r="F2592" s="23">
        <v>10</v>
      </c>
      <c r="G2592" s="152" cm="1">
        <f t="array" ref="G2592">SUM(E2592/F2592)</f>
        <v>4.1</v>
      </c>
      <c r="H2592" s="15"/>
    </row>
    <row r="2593" ht="13.65" customHeight="1">
      <c r="A2593" s="28"/>
      <c r="B2593" s="28"/>
      <c r="C2593" s="27"/>
      <c r="D2593" s="24"/>
      <c r="E2593" s="27"/>
      <c r="F2593" t="s" s="29">
        <v>118</v>
      </c>
      <c r="G2593" s="197" cm="1">
        <f t="array" ref="G2593">SUM(G2576:G2592)</f>
        <v>28.0218317269076</v>
      </c>
      <c r="H2593" s="15"/>
    </row>
    <row r="2594" ht="13.65" customHeight="1">
      <c r="A2594" s="129"/>
      <c r="B2594" s="129"/>
      <c r="C2594" s="129"/>
      <c r="D2594" s="129"/>
      <c r="E2594" s="129"/>
      <c r="F2594" s="31"/>
      <c r="G2594" s="31"/>
      <c r="H2594" s="293"/>
    </row>
    <row r="2595" ht="11.7" customHeight="1">
      <c r="A2595" t="s" s="167">
        <v>136</v>
      </c>
      <c r="B2595" t="s" s="167">
        <v>281</v>
      </c>
      <c r="C2595" t="s" s="167">
        <v>282</v>
      </c>
      <c r="D2595" t="s" s="168">
        <v>283</v>
      </c>
      <c r="E2595" s="169"/>
      <c r="F2595" s="170"/>
      <c r="G2595" s="171"/>
      <c r="H2595" s="171"/>
    </row>
    <row r="2596" ht="13.65" customHeight="1">
      <c r="A2596" s="23">
        <v>190</v>
      </c>
      <c r="B2596" s="172" cm="1">
        <f t="array" ref="B2596">SUM(H256)</f>
        <v>2.47496540404041</v>
      </c>
      <c r="C2596" s="172" cm="1">
        <f t="array" ref="C2596">SUM(G2593)</f>
        <v>28.0218317269076</v>
      </c>
      <c r="D2596" s="199" cm="1">
        <f t="array" ref="D2596">SUM(A2596*B2596)+(C2596)</f>
        <v>498.265258494586</v>
      </c>
      <c r="E2596" s="200"/>
      <c r="F2596" s="15"/>
      <c r="G2596" s="3"/>
      <c r="H2596" s="3"/>
    </row>
    <row r="2597" ht="13.65" customHeight="1">
      <c r="A2597" s="31"/>
      <c r="B2597" s="31"/>
      <c r="C2597" s="31"/>
      <c r="D2597" s="31"/>
      <c r="E2597" s="31"/>
      <c r="F2597" s="3"/>
      <c r="G2597" s="3"/>
      <c r="H2597" s="3"/>
    </row>
    <row r="2598" ht="13.65" customHeight="1">
      <c r="A2598" s="203"/>
      <c r="B2598" s="203"/>
      <c r="C2598" s="203"/>
      <c r="D2598" s="203"/>
      <c r="E2598" s="203"/>
      <c r="F2598" s="203"/>
      <c r="G2598" s="203"/>
      <c r="H2598" s="203"/>
    </row>
    <row r="2599" ht="13.65" customHeight="1">
      <c r="A2599" t="s" s="274">
        <v>185</v>
      </c>
      <c r="B2599" s="275"/>
      <c r="C2599" s="275"/>
      <c r="D2599" s="275"/>
      <c r="E2599" s="280"/>
      <c r="F2599" s="275"/>
      <c r="G2599" s="275"/>
      <c r="H2599" s="277"/>
    </row>
    <row r="2600" ht="13.65" customHeight="1">
      <c r="A2600" s="278"/>
      <c r="B2600" s="278"/>
      <c r="C2600" s="278"/>
      <c r="D2600" s="278"/>
      <c r="E2600" s="278"/>
      <c r="F2600" s="278"/>
      <c r="G2600" s="278"/>
      <c r="H2600" s="278"/>
    </row>
    <row r="2601" ht="13.65" customHeight="1">
      <c r="A2601" s="3"/>
      <c r="B2601" s="3"/>
      <c r="C2601" s="3"/>
      <c r="D2601" s="3"/>
      <c r="E2601" s="3"/>
      <c r="F2601" s="3"/>
      <c r="G2601" s="3"/>
      <c r="H2601" s="3"/>
    </row>
    <row r="2602" ht="13.65" customHeight="1">
      <c r="A2602" t="s" s="5">
        <v>700</v>
      </c>
      <c r="B2602" s="3"/>
      <c r="C2602" s="3"/>
      <c r="D2602" s="3"/>
      <c r="E2602" s="3"/>
      <c r="F2602" s="3"/>
      <c r="G2602" s="3"/>
      <c r="H2602" s="3"/>
    </row>
    <row r="2603" ht="13.65" customHeight="1">
      <c r="A2603" s="11"/>
      <c r="B2603" s="11"/>
      <c r="C2603" s="11"/>
      <c r="D2603" s="11"/>
      <c r="E2603" s="11"/>
      <c r="F2603" s="11"/>
      <c r="G2603" s="11"/>
      <c r="H2603" s="3"/>
    </row>
    <row r="2604" ht="13.65" customHeight="1">
      <c r="A2604" s="12"/>
      <c r="B2604" s="12"/>
      <c r="C2604" s="13"/>
      <c r="D2604" s="14"/>
      <c r="E2604" s="13"/>
      <c r="F2604" s="13"/>
      <c r="G2604" t="s" s="14">
        <v>252</v>
      </c>
      <c r="H2604" s="150"/>
    </row>
    <row r="2605" ht="13.65" customHeight="1">
      <c r="A2605" t="s" s="16">
        <v>93</v>
      </c>
      <c r="B2605" t="s" s="16">
        <v>94</v>
      </c>
      <c r="C2605" t="s" s="16">
        <v>95</v>
      </c>
      <c r="D2605" t="s" s="16">
        <v>96</v>
      </c>
      <c r="E2605" t="s" s="16">
        <v>97</v>
      </c>
      <c r="F2605" t="s" s="16">
        <v>98</v>
      </c>
      <c r="G2605" t="s" s="16">
        <v>99</v>
      </c>
      <c r="H2605" s="15"/>
    </row>
    <row r="2606" ht="13.65" customHeight="1">
      <c r="A2606" s="151"/>
      <c r="B2606" s="151"/>
      <c r="C2606" s="19"/>
      <c r="D2606" s="20"/>
      <c r="E2606" s="19"/>
      <c r="F2606" s="19"/>
      <c r="G2606" t="s" s="20">
        <v>100</v>
      </c>
      <c r="H2606" s="15"/>
    </row>
    <row r="2607" ht="13.65" customHeight="1">
      <c r="A2607" s="21">
        <v>72</v>
      </c>
      <c r="B2607" t="s" s="22">
        <v>101</v>
      </c>
      <c r="C2607" s="23">
        <v>50</v>
      </c>
      <c r="D2607" t="s" s="24">
        <v>274</v>
      </c>
      <c r="E2607" s="25">
        <v>1.93</v>
      </c>
      <c r="F2607" s="23">
        <v>12.5</v>
      </c>
      <c r="G2607" s="152" cm="1">
        <f t="array" ref="G2607">SUM(E2607/F2607)</f>
        <v>0.1544</v>
      </c>
      <c r="H2607" s="15"/>
    </row>
    <row r="2608" ht="13.65" customHeight="1">
      <c r="A2608" s="21">
        <v>123</v>
      </c>
      <c r="B2608" t="s" s="22">
        <v>103</v>
      </c>
      <c r="C2608" s="23">
        <v>40</v>
      </c>
      <c r="D2608" t="s" s="24">
        <v>102</v>
      </c>
      <c r="E2608" s="25">
        <v>3.2</v>
      </c>
      <c r="F2608" s="23">
        <v>20</v>
      </c>
      <c r="G2608" s="152" cm="1">
        <f t="array" ref="G2608">SUM(E2608/F2608)</f>
        <v>0.16</v>
      </c>
      <c r="H2608" s="15"/>
    </row>
    <row r="2609" ht="13.65" customHeight="1">
      <c r="A2609" s="21">
        <v>65</v>
      </c>
      <c r="B2609" t="s" s="22">
        <v>394</v>
      </c>
      <c r="C2609" s="23">
        <v>500</v>
      </c>
      <c r="D2609" t="s" s="24">
        <v>633</v>
      </c>
      <c r="E2609" s="25">
        <v>26</v>
      </c>
      <c r="F2609" s="23">
        <v>16.6</v>
      </c>
      <c r="G2609" s="152" cm="1">
        <f t="array" ref="G2609">SUM(E2609/F2609)</f>
        <v>1.56626506024096</v>
      </c>
      <c r="H2609" s="15"/>
    </row>
    <row r="2610" ht="13.65" customHeight="1">
      <c r="A2610" s="21">
        <v>140</v>
      </c>
      <c r="B2610" t="s" s="22">
        <v>470</v>
      </c>
      <c r="C2610" t="s" s="24">
        <v>108</v>
      </c>
      <c r="D2610" t="s" s="24">
        <v>102</v>
      </c>
      <c r="E2610" s="25">
        <v>1.12</v>
      </c>
      <c r="F2610" t="s" s="24">
        <v>387</v>
      </c>
      <c r="G2610" s="152" cm="1">
        <f t="array" ref="G2610">SUM(E2610*2)</f>
        <v>2.24</v>
      </c>
      <c r="H2610" s="15"/>
    </row>
    <row r="2611" ht="13.65" customHeight="1">
      <c r="A2611" s="21">
        <v>71</v>
      </c>
      <c r="B2611" t="s" s="22">
        <v>109</v>
      </c>
      <c r="C2611" s="23">
        <v>10</v>
      </c>
      <c r="D2611" t="s" s="24">
        <v>102</v>
      </c>
      <c r="E2611" s="25">
        <v>5.92</v>
      </c>
      <c r="F2611" s="23">
        <v>5</v>
      </c>
      <c r="G2611" s="152" cm="1">
        <f t="array" ref="G2611">SUM(E2611/F2611)</f>
        <v>1.184</v>
      </c>
      <c r="H2611" s="15"/>
    </row>
    <row r="2612" ht="13.65" customHeight="1">
      <c r="A2612" s="21">
        <v>87</v>
      </c>
      <c r="B2612" t="s" s="22">
        <v>110</v>
      </c>
      <c r="C2612" s="23">
        <v>50</v>
      </c>
      <c r="D2612" t="s" s="24">
        <v>102</v>
      </c>
      <c r="E2612" s="25">
        <v>9</v>
      </c>
      <c r="F2612" s="23">
        <v>25</v>
      </c>
      <c r="G2612" s="152" cm="1">
        <f t="array" ref="G2612">SUM(E2612/F2612)</f>
        <v>0.36</v>
      </c>
      <c r="H2612" s="15"/>
    </row>
    <row r="2613" ht="13.65" customHeight="1">
      <c r="A2613" s="21">
        <v>55</v>
      </c>
      <c r="B2613" t="s" s="22">
        <v>111</v>
      </c>
      <c r="C2613" t="s" s="24">
        <v>112</v>
      </c>
      <c r="D2613" t="s" s="24">
        <v>461</v>
      </c>
      <c r="E2613" s="25">
        <v>2.71</v>
      </c>
      <c r="F2613" s="23">
        <v>37.5</v>
      </c>
      <c r="G2613" s="152" cm="1">
        <f t="array" ref="G2613">SUM(E2613/F2613)</f>
        <v>0.0722666666666667</v>
      </c>
      <c r="H2613" s="15"/>
    </row>
    <row r="2614" ht="13.65" customHeight="1">
      <c r="A2614" s="21">
        <v>10</v>
      </c>
      <c r="B2614" t="s" s="22">
        <v>395</v>
      </c>
      <c r="C2614" t="s" s="24">
        <v>396</v>
      </c>
      <c r="D2614" t="s" s="24">
        <v>397</v>
      </c>
      <c r="E2614" s="25">
        <v>3.92</v>
      </c>
      <c r="F2614" s="23">
        <v>50</v>
      </c>
      <c r="G2614" s="152" cm="1">
        <f t="array" ref="G2614">SUM(E2614/F2614)</f>
        <v>0.0784</v>
      </c>
      <c r="H2614" s="15"/>
    </row>
    <row r="2615" ht="13.65" customHeight="1">
      <c r="A2615" s="21">
        <v>9</v>
      </c>
      <c r="B2615" t="s" s="22">
        <v>692</v>
      </c>
      <c r="C2615" s="23">
        <v>50</v>
      </c>
      <c r="D2615" t="s" s="24">
        <v>274</v>
      </c>
      <c r="E2615" s="25">
        <v>14</v>
      </c>
      <c r="F2615" s="23">
        <v>12.5</v>
      </c>
      <c r="G2615" s="152" cm="1">
        <f t="array" ref="G2615">SUM(E2615/F2615)</f>
        <v>1.12</v>
      </c>
      <c r="H2615" s="15"/>
    </row>
    <row r="2616" ht="13.65" customHeight="1">
      <c r="A2616" s="21">
        <v>6</v>
      </c>
      <c r="B2616" t="s" s="22">
        <v>399</v>
      </c>
      <c r="C2616" s="23">
        <v>100</v>
      </c>
      <c r="D2616" t="s" s="24">
        <v>104</v>
      </c>
      <c r="E2616" s="25">
        <v>19</v>
      </c>
      <c r="F2616" s="23">
        <v>100</v>
      </c>
      <c r="G2616" s="152" cm="1">
        <f t="array" ref="G2616">SUM(E2616/F2616)</f>
        <v>0.19</v>
      </c>
      <c r="H2616" s="15"/>
    </row>
    <row r="2617" ht="13.65" customHeight="1">
      <c r="A2617" s="21">
        <v>23</v>
      </c>
      <c r="B2617" t="s" s="22">
        <v>488</v>
      </c>
      <c r="C2617" s="23">
        <v>1</v>
      </c>
      <c r="D2617" t="s" s="24">
        <v>104</v>
      </c>
      <c r="E2617" s="25">
        <v>11</v>
      </c>
      <c r="F2617" s="23">
        <v>1</v>
      </c>
      <c r="G2617" s="152" cm="1">
        <f t="array" ref="G2617">SUM(E2617/F2617)</f>
        <v>11</v>
      </c>
      <c r="H2617" s="15"/>
    </row>
    <row r="2618" ht="13.65" customHeight="1">
      <c r="A2618" s="21">
        <v>119</v>
      </c>
      <c r="B2618" t="s" s="22">
        <v>467</v>
      </c>
      <c r="C2618" s="23">
        <v>1</v>
      </c>
      <c r="D2618" t="s" s="24">
        <v>468</v>
      </c>
      <c r="E2618" s="25">
        <v>0.45</v>
      </c>
      <c r="F2618" s="23">
        <v>1</v>
      </c>
      <c r="G2618" s="152" cm="1">
        <f t="array" ref="G2618">SUM(E2618/F2618)</f>
        <v>0.45</v>
      </c>
      <c r="H2618" s="15"/>
    </row>
    <row r="2619" ht="13.65" customHeight="1">
      <c r="A2619" s="21">
        <v>122</v>
      </c>
      <c r="B2619" t="s" s="22">
        <v>489</v>
      </c>
      <c r="C2619" t="s" s="24">
        <v>490</v>
      </c>
      <c r="D2619" t="s" s="24">
        <v>648</v>
      </c>
      <c r="E2619" s="25">
        <v>1.7</v>
      </c>
      <c r="F2619" s="23">
        <v>16</v>
      </c>
      <c r="G2619" s="152" cm="1">
        <f t="array" ref="G2619">SUM(E2619/F2619)</f>
        <v>0.10625</v>
      </c>
      <c r="H2619" s="15"/>
    </row>
    <row r="2620" ht="13.65" customHeight="1">
      <c r="A2620" s="21">
        <v>136</v>
      </c>
      <c r="B2620" t="s" s="22">
        <v>696</v>
      </c>
      <c r="C2620" t="s" s="24">
        <v>408</v>
      </c>
      <c r="D2620" t="s" s="24">
        <v>495</v>
      </c>
      <c r="E2620" s="25">
        <v>243</v>
      </c>
      <c r="F2620" s="23">
        <v>20</v>
      </c>
      <c r="G2620" s="152" cm="1">
        <f t="array" ref="G2620">SUM(E2620/F2620)</f>
        <v>12.15</v>
      </c>
      <c r="H2620" s="15"/>
    </row>
    <row r="2621" ht="13.65" customHeight="1">
      <c r="A2621" s="21">
        <v>56</v>
      </c>
      <c r="B2621" t="s" s="22">
        <v>471</v>
      </c>
      <c r="C2621" s="23">
        <v>1</v>
      </c>
      <c r="D2621" t="s" s="24">
        <v>104</v>
      </c>
      <c r="E2621" s="25">
        <v>3.5</v>
      </c>
      <c r="F2621" s="23">
        <v>1</v>
      </c>
      <c r="G2621" s="152" cm="1">
        <f t="array" ref="G2621">SUM(E2621/F2621)</f>
        <v>3.5</v>
      </c>
      <c r="H2621" s="15"/>
    </row>
    <row r="2622" ht="13.65" customHeight="1">
      <c r="A2622" s="21">
        <v>78</v>
      </c>
      <c r="B2622" t="s" s="22">
        <v>492</v>
      </c>
      <c r="C2622" s="23">
        <v>1</v>
      </c>
      <c r="D2622" t="s" s="24">
        <v>104</v>
      </c>
      <c r="E2622" s="25">
        <v>1</v>
      </c>
      <c r="F2622" s="23">
        <v>1</v>
      </c>
      <c r="G2622" s="152" cm="1">
        <f t="array" ref="G2622">SUM(E2622/F2622)</f>
        <v>1</v>
      </c>
      <c r="H2622" s="15"/>
    </row>
    <row r="2623" ht="13.65" customHeight="1">
      <c r="A2623" s="21">
        <v>36</v>
      </c>
      <c r="B2623" t="s" s="22">
        <v>496</v>
      </c>
      <c r="C2623" t="s" s="24">
        <v>497</v>
      </c>
      <c r="D2623" t="s" s="24">
        <v>648</v>
      </c>
      <c r="E2623" s="25">
        <v>13</v>
      </c>
      <c r="F2623" s="23">
        <v>8</v>
      </c>
      <c r="G2623" s="152" cm="1">
        <f t="array" ref="G2623">SUM(E2623/F2623)</f>
        <v>1.625</v>
      </c>
      <c r="H2623" s="15"/>
    </row>
    <row r="2624" ht="13.65" customHeight="1">
      <c r="A2624" s="21">
        <v>16</v>
      </c>
      <c r="B2624" t="s" s="22">
        <v>693</v>
      </c>
      <c r="C2624" s="23">
        <v>6</v>
      </c>
      <c r="D2624" t="s" s="24">
        <v>694</v>
      </c>
      <c r="E2624" s="25">
        <v>41</v>
      </c>
      <c r="F2624" s="23">
        <v>10</v>
      </c>
      <c r="G2624" s="152" cm="1">
        <f t="array" ref="G2624">SUM(E2624/F2624)</f>
        <v>4.1</v>
      </c>
      <c r="H2624" s="15"/>
    </row>
    <row r="2625" ht="13.65" customHeight="1">
      <c r="A2625" s="28"/>
      <c r="B2625" s="28"/>
      <c r="C2625" s="27"/>
      <c r="D2625" s="24"/>
      <c r="E2625" s="27"/>
      <c r="F2625" t="s" s="29">
        <v>118</v>
      </c>
      <c r="G2625" s="197" cm="1">
        <f t="array" ref="G2625">SUM(G2607:G2624)</f>
        <v>41.0565817269076</v>
      </c>
      <c r="H2625" s="15"/>
    </row>
    <row r="2626" ht="13.65" customHeight="1">
      <c r="A2626" s="129"/>
      <c r="B2626" s="129"/>
      <c r="C2626" s="129"/>
      <c r="D2626" s="129"/>
      <c r="E2626" s="129"/>
      <c r="F2626" s="31"/>
      <c r="G2626" s="31"/>
      <c r="H2626" s="3"/>
    </row>
    <row r="2627" ht="11.7" customHeight="1">
      <c r="A2627" t="s" s="167">
        <v>136</v>
      </c>
      <c r="B2627" t="s" s="167">
        <v>281</v>
      </c>
      <c r="C2627" t="s" s="167">
        <v>282</v>
      </c>
      <c r="D2627" t="s" s="168">
        <v>283</v>
      </c>
      <c r="E2627" s="169"/>
      <c r="F2627" s="170"/>
      <c r="G2627" s="171"/>
      <c r="H2627" s="171"/>
    </row>
    <row r="2628" ht="13.65" customHeight="1">
      <c r="A2628" s="23">
        <v>200</v>
      </c>
      <c r="B2628" s="172" cm="1">
        <f t="array" ref="B2628">SUM(H256)</f>
        <v>2.47496540404041</v>
      </c>
      <c r="C2628" s="172" cm="1">
        <f t="array" ref="C2628">SUM(G2625)</f>
        <v>41.0565817269076</v>
      </c>
      <c r="D2628" s="199" cm="1">
        <f t="array" ref="D2628">SUM(A2628*B2628)+(C2628)</f>
        <v>536.049662534990</v>
      </c>
      <c r="E2628" s="200"/>
      <c r="F2628" s="15"/>
      <c r="G2628" s="3"/>
      <c r="H2628" s="3"/>
    </row>
    <row r="2629" ht="13.65" customHeight="1">
      <c r="A2629" s="31"/>
      <c r="B2629" s="31"/>
      <c r="C2629" s="31"/>
      <c r="D2629" s="31"/>
      <c r="E2629" s="31"/>
      <c r="F2629" s="3"/>
      <c r="G2629" s="3"/>
      <c r="H2629" s="3"/>
    </row>
    <row r="2630" ht="13.65" customHeight="1">
      <c r="A2630" s="203"/>
      <c r="B2630" s="203"/>
      <c r="C2630" s="203"/>
      <c r="D2630" s="203"/>
      <c r="E2630" s="203"/>
      <c r="F2630" s="203"/>
      <c r="G2630" s="203"/>
      <c r="H2630" s="203"/>
    </row>
    <row r="2631" ht="13.65" customHeight="1">
      <c r="A2631" t="s" s="274">
        <v>284</v>
      </c>
      <c r="B2631" s="275"/>
      <c r="C2631" s="275"/>
      <c r="D2631" s="275"/>
      <c r="E2631" s="280"/>
      <c r="F2631" s="275"/>
      <c r="G2631" s="275"/>
      <c r="H2631" s="277"/>
    </row>
    <row r="2632" ht="13.65" customHeight="1">
      <c r="A2632" s="278"/>
      <c r="B2632" s="278"/>
      <c r="C2632" s="278"/>
      <c r="D2632" s="278"/>
      <c r="E2632" s="278"/>
      <c r="F2632" s="278"/>
      <c r="G2632" s="278"/>
      <c r="H2632" s="278"/>
    </row>
    <row r="2633" ht="13.65" customHeight="1">
      <c r="A2633" s="3"/>
      <c r="B2633" s="3"/>
      <c r="C2633" s="3"/>
      <c r="D2633" s="3"/>
      <c r="E2633" s="3"/>
      <c r="F2633" s="3"/>
      <c r="G2633" s="3"/>
      <c r="H2633" s="3"/>
    </row>
    <row r="2634" ht="13.65" customHeight="1">
      <c r="A2634" t="s" s="5">
        <v>701</v>
      </c>
      <c r="B2634" s="3"/>
      <c r="C2634" s="3"/>
      <c r="D2634" s="3"/>
      <c r="E2634" s="3"/>
      <c r="F2634" s="3"/>
      <c r="G2634" s="3"/>
      <c r="H2634" s="3"/>
    </row>
    <row r="2635" ht="13.65" customHeight="1">
      <c r="A2635" s="11"/>
      <c r="B2635" s="11"/>
      <c r="C2635" s="11"/>
      <c r="D2635" s="11"/>
      <c r="E2635" s="11"/>
      <c r="F2635" s="11"/>
      <c r="G2635" s="11"/>
      <c r="H2635" s="3"/>
    </row>
    <row r="2636" ht="13.65" customHeight="1">
      <c r="A2636" s="12"/>
      <c r="B2636" s="12"/>
      <c r="C2636" s="13"/>
      <c r="D2636" s="14"/>
      <c r="E2636" s="13"/>
      <c r="F2636" s="13"/>
      <c r="G2636" t="s" s="14">
        <v>252</v>
      </c>
      <c r="H2636" s="150"/>
    </row>
    <row r="2637" ht="13.65" customHeight="1">
      <c r="A2637" t="s" s="16">
        <v>93</v>
      </c>
      <c r="B2637" t="s" s="16">
        <v>94</v>
      </c>
      <c r="C2637" t="s" s="16">
        <v>95</v>
      </c>
      <c r="D2637" t="s" s="16">
        <v>96</v>
      </c>
      <c r="E2637" t="s" s="16">
        <v>97</v>
      </c>
      <c r="F2637" t="s" s="16">
        <v>98</v>
      </c>
      <c r="G2637" t="s" s="16">
        <v>99</v>
      </c>
      <c r="H2637" s="15"/>
    </row>
    <row r="2638" ht="13.65" customHeight="1">
      <c r="A2638" s="151"/>
      <c r="B2638" s="151"/>
      <c r="C2638" s="19"/>
      <c r="D2638" s="20"/>
      <c r="E2638" s="19"/>
      <c r="F2638" s="19"/>
      <c r="G2638" t="s" s="20">
        <v>100</v>
      </c>
      <c r="H2638" s="15"/>
    </row>
    <row r="2639" ht="13.65" customHeight="1">
      <c r="A2639" s="21">
        <v>72</v>
      </c>
      <c r="B2639" t="s" s="22">
        <v>101</v>
      </c>
      <c r="C2639" s="23">
        <v>50</v>
      </c>
      <c r="D2639" t="s" s="24">
        <v>274</v>
      </c>
      <c r="E2639" s="25">
        <v>1.93</v>
      </c>
      <c r="F2639" s="23">
        <v>12.5</v>
      </c>
      <c r="G2639" s="152" cm="1">
        <f t="array" ref="G2639">SUM(E2639/F2639)</f>
        <v>0.1544</v>
      </c>
      <c r="H2639" s="15"/>
    </row>
    <row r="2640" ht="13.65" customHeight="1">
      <c r="A2640" s="21">
        <v>123</v>
      </c>
      <c r="B2640" t="s" s="22">
        <v>103</v>
      </c>
      <c r="C2640" s="23">
        <v>40</v>
      </c>
      <c r="D2640" t="s" s="24">
        <v>102</v>
      </c>
      <c r="E2640" s="25">
        <v>3.2</v>
      </c>
      <c r="F2640" s="23">
        <v>20</v>
      </c>
      <c r="G2640" s="152" cm="1">
        <f t="array" ref="G2640">SUM(E2640/F2640)</f>
        <v>0.16</v>
      </c>
      <c r="H2640" s="15"/>
    </row>
    <row r="2641" ht="13.65" customHeight="1">
      <c r="A2641" s="21">
        <v>117</v>
      </c>
      <c r="B2641" t="s" s="22">
        <v>105</v>
      </c>
      <c r="C2641" s="23">
        <v>100</v>
      </c>
      <c r="D2641" t="s" s="24">
        <v>106</v>
      </c>
      <c r="E2641" s="25">
        <v>1.2</v>
      </c>
      <c r="F2641" s="23">
        <v>10</v>
      </c>
      <c r="G2641" s="152" cm="1">
        <f t="array" ref="G2641">SUM(E2641/F2641)</f>
        <v>0.12</v>
      </c>
      <c r="H2641" s="15"/>
    </row>
    <row r="2642" ht="13.65" customHeight="1">
      <c r="A2642" s="21">
        <v>86</v>
      </c>
      <c r="B2642" t="s" s="22">
        <v>107</v>
      </c>
      <c r="C2642" t="s" s="24">
        <v>108</v>
      </c>
      <c r="D2642" t="s" s="24">
        <v>274</v>
      </c>
      <c r="E2642" s="25">
        <v>0.32</v>
      </c>
      <c r="F2642" t="s" s="24">
        <v>301</v>
      </c>
      <c r="G2642" s="152" cm="1">
        <f t="array" ref="G2642">SUM(E2642*4)</f>
        <v>1.28</v>
      </c>
      <c r="H2642" s="15"/>
    </row>
    <row r="2643" ht="13.65" customHeight="1">
      <c r="A2643" s="21">
        <v>71</v>
      </c>
      <c r="B2643" t="s" s="22">
        <v>109</v>
      </c>
      <c r="C2643" s="23">
        <v>10</v>
      </c>
      <c r="D2643" t="s" s="24">
        <v>274</v>
      </c>
      <c r="E2643" s="25">
        <v>5.92</v>
      </c>
      <c r="F2643" s="23">
        <v>2.5</v>
      </c>
      <c r="G2643" s="152" cm="1">
        <f t="array" ref="G2643">SUM(E2643/F2643)</f>
        <v>2.368</v>
      </c>
      <c r="H2643" s="15"/>
    </row>
    <row r="2644" ht="13.65" customHeight="1">
      <c r="A2644" s="21">
        <v>87</v>
      </c>
      <c r="B2644" t="s" s="22">
        <v>110</v>
      </c>
      <c r="C2644" s="23">
        <v>50</v>
      </c>
      <c r="D2644" t="s" s="24">
        <v>274</v>
      </c>
      <c r="E2644" s="25">
        <v>9</v>
      </c>
      <c r="F2644" s="23">
        <v>12.5</v>
      </c>
      <c r="G2644" s="152" cm="1">
        <f t="array" ref="G2644">SUM(E2644/F2644)</f>
        <v>0.72</v>
      </c>
      <c r="H2644" s="15"/>
    </row>
    <row r="2645" ht="13.65" customHeight="1">
      <c r="A2645" s="21">
        <v>55</v>
      </c>
      <c r="B2645" t="s" s="22">
        <v>111</v>
      </c>
      <c r="C2645" t="s" s="24">
        <v>112</v>
      </c>
      <c r="D2645" t="s" s="24">
        <v>461</v>
      </c>
      <c r="E2645" s="25">
        <v>2.71</v>
      </c>
      <c r="F2645" s="23">
        <v>37.5</v>
      </c>
      <c r="G2645" s="152" cm="1">
        <f t="array" ref="G2645">SUM(E2645/F2645)</f>
        <v>0.0722666666666667</v>
      </c>
      <c r="H2645" s="15"/>
    </row>
    <row r="2646" ht="13.65" customHeight="1">
      <c r="A2646" s="21">
        <v>10</v>
      </c>
      <c r="B2646" t="s" s="22">
        <v>395</v>
      </c>
      <c r="C2646" t="s" s="24">
        <v>396</v>
      </c>
      <c r="D2646" t="s" s="24">
        <v>397</v>
      </c>
      <c r="E2646" s="25">
        <v>3.92</v>
      </c>
      <c r="F2646" s="23">
        <v>50</v>
      </c>
      <c r="G2646" s="152" cm="1">
        <f t="array" ref="G2646">SUM(E2646/F2646)</f>
        <v>0.0784</v>
      </c>
      <c r="H2646" s="15"/>
    </row>
    <row r="2647" ht="13.65" customHeight="1">
      <c r="A2647" s="21">
        <v>9</v>
      </c>
      <c r="B2647" t="s" s="22">
        <v>398</v>
      </c>
      <c r="C2647" t="s" s="24">
        <v>503</v>
      </c>
      <c r="D2647" t="s" s="24">
        <v>104</v>
      </c>
      <c r="E2647" s="25">
        <v>14</v>
      </c>
      <c r="F2647" s="23">
        <v>50</v>
      </c>
      <c r="G2647" s="152" cm="1">
        <f t="array" ref="G2647">SUM(E2647/F2647)</f>
        <v>0.28</v>
      </c>
      <c r="H2647" s="15"/>
    </row>
    <row r="2648" ht="13.65" customHeight="1">
      <c r="A2648" s="21">
        <v>79</v>
      </c>
      <c r="B2648" t="s" s="22">
        <v>439</v>
      </c>
      <c r="C2648" s="23">
        <v>20</v>
      </c>
      <c r="D2648" t="s" s="24">
        <v>104</v>
      </c>
      <c r="E2648" s="25">
        <v>25</v>
      </c>
      <c r="F2648" s="23">
        <v>20</v>
      </c>
      <c r="G2648" s="152" cm="1">
        <f t="array" ref="G2648">SUM(E2648/F2648)</f>
        <v>1.25</v>
      </c>
      <c r="H2648" s="15"/>
    </row>
    <row r="2649" ht="13.65" customHeight="1">
      <c r="A2649" s="21">
        <v>85</v>
      </c>
      <c r="B2649" t="s" s="22">
        <v>463</v>
      </c>
      <c r="C2649" t="s" s="24">
        <v>464</v>
      </c>
      <c r="D2649" t="s" s="24">
        <v>648</v>
      </c>
      <c r="E2649" s="25">
        <v>4.82</v>
      </c>
      <c r="F2649" s="23">
        <v>33</v>
      </c>
      <c r="G2649" s="152" cm="1">
        <f t="array" ref="G2649">SUM(E2649/F2649)</f>
        <v>0.146060606060606</v>
      </c>
      <c r="H2649" s="15"/>
    </row>
    <row r="2650" ht="13.65" customHeight="1">
      <c r="A2650" s="21">
        <v>119</v>
      </c>
      <c r="B2650" t="s" s="22">
        <v>467</v>
      </c>
      <c r="C2650" s="23">
        <v>1</v>
      </c>
      <c r="D2650" t="s" s="24">
        <v>468</v>
      </c>
      <c r="E2650" s="25">
        <v>0.45</v>
      </c>
      <c r="F2650" s="23">
        <v>1</v>
      </c>
      <c r="G2650" s="152" cm="1">
        <f t="array" ref="G2650">SUM(E2650/F2650)</f>
        <v>0.45</v>
      </c>
      <c r="H2650" s="15"/>
    </row>
    <row r="2651" ht="13.65" customHeight="1">
      <c r="A2651" s="21">
        <v>82</v>
      </c>
      <c r="B2651" t="s" s="22">
        <v>622</v>
      </c>
      <c r="C2651" s="23">
        <v>6</v>
      </c>
      <c r="D2651" t="s" s="24">
        <v>104</v>
      </c>
      <c r="E2651" s="25">
        <v>41</v>
      </c>
      <c r="F2651" s="23">
        <v>6</v>
      </c>
      <c r="G2651" s="152" cm="1">
        <f t="array" ref="G2651">SUM(E2651/F2651)</f>
        <v>6.83333333333333</v>
      </c>
      <c r="H2651" s="15"/>
    </row>
    <row r="2652" ht="13.65" customHeight="1">
      <c r="A2652" s="21">
        <v>6</v>
      </c>
      <c r="B2652" t="s" s="22">
        <v>399</v>
      </c>
      <c r="C2652" t="s" s="24">
        <v>436</v>
      </c>
      <c r="D2652" t="s" s="24">
        <v>104</v>
      </c>
      <c r="E2652" s="25">
        <v>19</v>
      </c>
      <c r="F2652" s="23">
        <v>100</v>
      </c>
      <c r="G2652" s="152" cm="1">
        <f t="array" ref="G2652">SUM(E2652/F2652)</f>
        <v>0.19</v>
      </c>
      <c r="H2652" s="15"/>
    </row>
    <row r="2653" ht="13.65" customHeight="1">
      <c r="A2653" s="21">
        <v>74</v>
      </c>
      <c r="B2653" t="s" s="22">
        <v>689</v>
      </c>
      <c r="C2653" t="s" s="24">
        <v>690</v>
      </c>
      <c r="D2653" t="s" s="24">
        <v>424</v>
      </c>
      <c r="E2653" s="25">
        <v>4.5</v>
      </c>
      <c r="F2653" s="23">
        <v>20</v>
      </c>
      <c r="G2653" s="152" cm="1">
        <f t="array" ref="G2653">SUM(E2653/F2653)</f>
        <v>0.225</v>
      </c>
      <c r="H2653" s="15"/>
    </row>
    <row r="2654" ht="13.65" customHeight="1">
      <c r="A2654" s="21">
        <v>19</v>
      </c>
      <c r="B2654" t="s" s="22">
        <v>414</v>
      </c>
      <c r="C2654" s="23">
        <v>1</v>
      </c>
      <c r="D2654" t="s" s="24">
        <v>116</v>
      </c>
      <c r="E2654" s="25">
        <v>5.2</v>
      </c>
      <c r="F2654" s="23">
        <v>10</v>
      </c>
      <c r="G2654" s="152" cm="1">
        <f t="array" ref="G2654">SUM(E2654/F2654)</f>
        <v>0.52</v>
      </c>
      <c r="H2654" s="15"/>
    </row>
    <row r="2655" ht="13.65" customHeight="1">
      <c r="A2655" s="21">
        <v>34</v>
      </c>
      <c r="B2655" t="s" s="22">
        <v>456</v>
      </c>
      <c r="C2655" t="s" s="24">
        <v>455</v>
      </c>
      <c r="D2655" t="s" s="24">
        <v>424</v>
      </c>
      <c r="E2655" s="25">
        <v>63</v>
      </c>
      <c r="F2655" s="23">
        <v>50</v>
      </c>
      <c r="G2655" s="152" cm="1">
        <f t="array" ref="G2655">SUM(E2655/F2655)</f>
        <v>1.26</v>
      </c>
      <c r="H2655" s="15"/>
    </row>
    <row r="2656" ht="13.65" customHeight="1">
      <c r="A2656" s="21">
        <v>97</v>
      </c>
      <c r="B2656" t="s" s="22">
        <v>465</v>
      </c>
      <c r="C2656" s="23">
        <v>120</v>
      </c>
      <c r="D2656" t="s" s="24">
        <v>663</v>
      </c>
      <c r="E2656" s="25">
        <v>10.5</v>
      </c>
      <c r="F2656" s="23">
        <v>3</v>
      </c>
      <c r="G2656" s="152" cm="1">
        <f t="array" ref="G2656">SUM(E2656/F2656)</f>
        <v>3.5</v>
      </c>
      <c r="H2656" s="15"/>
    </row>
    <row r="2657" ht="13.65" customHeight="1">
      <c r="A2657" s="21">
        <v>54</v>
      </c>
      <c r="B2657" t="s" s="22">
        <v>360</v>
      </c>
      <c r="C2657" s="23">
        <v>150</v>
      </c>
      <c r="D2657" t="s" s="24">
        <v>405</v>
      </c>
      <c r="E2657" s="25">
        <v>118</v>
      </c>
      <c r="F2657" s="23">
        <v>25</v>
      </c>
      <c r="G2657" s="152" cm="1">
        <f t="array" ref="G2657">SUM(E2657/F2657)</f>
        <v>4.72</v>
      </c>
      <c r="H2657" s="15"/>
    </row>
    <row r="2658" ht="13.65" customHeight="1">
      <c r="A2658" s="21">
        <v>115</v>
      </c>
      <c r="B2658" t="s" s="22">
        <v>631</v>
      </c>
      <c r="C2658" t="s" s="24">
        <v>632</v>
      </c>
      <c r="D2658" t="s" s="24">
        <v>648</v>
      </c>
      <c r="E2658" s="25">
        <v>4.5</v>
      </c>
      <c r="F2658" s="23">
        <v>15</v>
      </c>
      <c r="G2658" s="152" cm="1">
        <f t="array" ref="G2658">SUM(E2658/F2658)</f>
        <v>0.3</v>
      </c>
      <c r="H2658" s="15"/>
    </row>
    <row r="2659" ht="13.65" customHeight="1">
      <c r="A2659" s="21">
        <v>60</v>
      </c>
      <c r="B2659" t="s" s="22">
        <v>634</v>
      </c>
      <c r="C2659" t="s" s="24">
        <v>632</v>
      </c>
      <c r="D2659" t="s" s="24">
        <v>648</v>
      </c>
      <c r="E2659" s="25">
        <v>4.5</v>
      </c>
      <c r="F2659" s="23">
        <v>15</v>
      </c>
      <c r="G2659" s="152" cm="1">
        <f t="array" ref="G2659">SUM(E2659/F2659)</f>
        <v>0.3</v>
      </c>
      <c r="H2659" s="15"/>
    </row>
    <row r="2660" ht="13.65" customHeight="1">
      <c r="A2660" s="21">
        <v>45</v>
      </c>
      <c r="B2660" t="s" s="22">
        <v>625</v>
      </c>
      <c r="C2660" s="23">
        <v>100</v>
      </c>
      <c r="D2660" t="s" s="24">
        <v>106</v>
      </c>
      <c r="E2660" s="25">
        <v>18</v>
      </c>
      <c r="F2660" s="23">
        <v>10</v>
      </c>
      <c r="G2660" s="152" cm="1">
        <f t="array" ref="G2660">SUM(E2660/F2660)</f>
        <v>1.8</v>
      </c>
      <c r="H2660" s="15"/>
    </row>
    <row r="2661" ht="13.65" customHeight="1">
      <c r="A2661" s="21">
        <v>112</v>
      </c>
      <c r="B2661" t="s" s="22">
        <v>626</v>
      </c>
      <c r="C2661" t="s" s="24">
        <v>384</v>
      </c>
      <c r="D2661" t="s" s="24">
        <v>627</v>
      </c>
      <c r="E2661" s="25">
        <v>7</v>
      </c>
      <c r="F2661" s="23">
        <v>20</v>
      </c>
      <c r="G2661" s="152" cm="1">
        <f t="array" ref="G2661">SUM(E2661/F2661)</f>
        <v>0.35</v>
      </c>
      <c r="H2661" s="15"/>
    </row>
    <row r="2662" ht="13.65" customHeight="1">
      <c r="A2662" s="21">
        <v>73</v>
      </c>
      <c r="B2662" t="s" s="22">
        <v>621</v>
      </c>
      <c r="C2662" t="s" s="24">
        <v>432</v>
      </c>
      <c r="D2662" t="s" s="24">
        <v>408</v>
      </c>
      <c r="E2662" s="25">
        <v>13.5</v>
      </c>
      <c r="F2662" s="23">
        <v>14</v>
      </c>
      <c r="G2662" s="152" cm="1">
        <f t="array" ref="G2662">SUM(E2662/F2662)</f>
        <v>0.964285714285714</v>
      </c>
      <c r="H2662" s="15"/>
    </row>
    <row r="2663" ht="13.65" customHeight="1">
      <c r="A2663" s="21">
        <v>20</v>
      </c>
      <c r="B2663" t="s" s="22">
        <v>628</v>
      </c>
      <c r="C2663" s="23">
        <v>1</v>
      </c>
      <c r="D2663" t="s" s="24">
        <v>629</v>
      </c>
      <c r="E2663" s="25">
        <v>7.5</v>
      </c>
      <c r="F2663" s="23">
        <v>3</v>
      </c>
      <c r="G2663" s="152" cm="1">
        <f t="array" ref="G2663">SUM(E2663/F2663)</f>
        <v>2.5</v>
      </c>
      <c r="H2663" s="15"/>
    </row>
    <row r="2664" ht="13.65" customHeight="1">
      <c r="A2664" s="21">
        <v>14</v>
      </c>
      <c r="B2664" t="s" s="22">
        <v>647</v>
      </c>
      <c r="C2664" s="23">
        <v>6</v>
      </c>
      <c r="D2664" t="s" s="24">
        <v>279</v>
      </c>
      <c r="E2664" s="25">
        <v>14</v>
      </c>
      <c r="F2664" s="23">
        <v>6</v>
      </c>
      <c r="G2664" s="152" cm="1">
        <f t="array" ref="G2664">SUM(E2664/F2664)</f>
        <v>2.33333333333333</v>
      </c>
      <c r="H2664" s="15"/>
    </row>
    <row r="2665" ht="13.65" customHeight="1">
      <c r="A2665" s="28"/>
      <c r="B2665" s="28"/>
      <c r="C2665" s="27"/>
      <c r="D2665" s="24"/>
      <c r="E2665" s="27"/>
      <c r="F2665" t="s" s="29">
        <v>118</v>
      </c>
      <c r="G2665" s="197" cm="1">
        <f t="array" ref="G2665">SUM(G2639:G2664)</f>
        <v>32.8750796536796</v>
      </c>
      <c r="H2665" s="15"/>
    </row>
    <row r="2666" ht="13.65" customHeight="1">
      <c r="A2666" s="129"/>
      <c r="B2666" s="129"/>
      <c r="C2666" s="129"/>
      <c r="D2666" s="129"/>
      <c r="E2666" s="129"/>
      <c r="F2666" s="31"/>
      <c r="G2666" s="31"/>
      <c r="H2666" s="3"/>
    </row>
    <row r="2667" ht="11.7" customHeight="1">
      <c r="A2667" t="s" s="167">
        <v>136</v>
      </c>
      <c r="B2667" t="s" s="167">
        <v>281</v>
      </c>
      <c r="C2667" t="s" s="167">
        <v>282</v>
      </c>
      <c r="D2667" t="s" s="168">
        <v>283</v>
      </c>
      <c r="E2667" s="169"/>
      <c r="F2667" s="170"/>
      <c r="G2667" s="171"/>
      <c r="H2667" s="171"/>
    </row>
    <row r="2668" ht="13.65" customHeight="1">
      <c r="A2668" s="23">
        <v>45</v>
      </c>
      <c r="B2668" s="172" cm="1">
        <f t="array" ref="B2668">SUM(H256)</f>
        <v>2.47496540404041</v>
      </c>
      <c r="C2668" s="172" cm="1">
        <f t="array" ref="C2668">SUM(G2665)</f>
        <v>32.8750796536796</v>
      </c>
      <c r="D2668" s="199" cm="1">
        <f t="array" ref="D2668">SUM(A2668*B2668)+(C2668)</f>
        <v>144.248522835498</v>
      </c>
      <c r="E2668" s="200"/>
      <c r="F2668" s="15"/>
      <c r="G2668" s="3"/>
      <c r="H2668" s="3"/>
    </row>
    <row r="2669" ht="13.65" customHeight="1">
      <c r="A2669" s="31"/>
      <c r="B2669" s="31"/>
      <c r="C2669" s="31"/>
      <c r="D2669" s="31"/>
      <c r="E2669" s="31"/>
      <c r="F2669" s="3"/>
      <c r="G2669" s="3"/>
      <c r="H2669" s="3"/>
    </row>
    <row r="2670" ht="13.65" customHeight="1">
      <c r="A2670" s="203"/>
      <c r="B2670" s="203"/>
      <c r="C2670" s="203"/>
      <c r="D2670" s="203"/>
      <c r="E2670" s="203"/>
      <c r="F2670" s="203"/>
      <c r="G2670" s="203"/>
      <c r="H2670" s="203"/>
    </row>
    <row r="2671" ht="13.65" customHeight="1">
      <c r="A2671" t="s" s="274">
        <v>185</v>
      </c>
      <c r="B2671" s="275"/>
      <c r="C2671" s="275"/>
      <c r="D2671" s="275"/>
      <c r="E2671" s="280"/>
      <c r="F2671" s="275"/>
      <c r="G2671" s="275"/>
      <c r="H2671" s="277"/>
    </row>
    <row r="2672" ht="13.65" customHeight="1">
      <c r="A2672" s="278"/>
      <c r="B2672" s="278"/>
      <c r="C2672" s="278"/>
      <c r="D2672" s="278"/>
      <c r="E2672" s="278"/>
      <c r="F2672" s="278"/>
      <c r="G2672" s="278"/>
      <c r="H2672" s="278"/>
    </row>
    <row r="2673" ht="13.65" customHeight="1">
      <c r="A2673" s="3"/>
      <c r="B2673" s="3"/>
      <c r="C2673" s="3"/>
      <c r="D2673" s="3"/>
      <c r="E2673" s="3"/>
      <c r="F2673" s="3"/>
      <c r="G2673" s="3"/>
      <c r="H2673" s="3"/>
    </row>
    <row r="2674" ht="13.65" customHeight="1">
      <c r="A2674" t="s" s="5">
        <v>702</v>
      </c>
      <c r="B2674" s="3"/>
      <c r="C2674" s="3"/>
      <c r="D2674" s="3"/>
      <c r="E2674" s="3"/>
      <c r="F2674" s="3"/>
      <c r="G2674" s="3"/>
      <c r="H2674" s="3"/>
    </row>
    <row r="2675" ht="13.65" customHeight="1">
      <c r="A2675" s="11"/>
      <c r="B2675" s="11"/>
      <c r="C2675" s="11"/>
      <c r="D2675" s="11"/>
      <c r="E2675" s="11"/>
      <c r="F2675" s="11"/>
      <c r="G2675" s="11"/>
      <c r="H2675" s="3"/>
    </row>
    <row r="2676" ht="13.65" customHeight="1">
      <c r="A2676" s="12"/>
      <c r="B2676" s="12"/>
      <c r="C2676" s="13"/>
      <c r="D2676" s="14"/>
      <c r="E2676" s="13"/>
      <c r="F2676" s="13"/>
      <c r="G2676" t="s" s="14">
        <v>252</v>
      </c>
      <c r="H2676" s="150"/>
    </row>
    <row r="2677" ht="13.65" customHeight="1">
      <c r="A2677" t="s" s="16">
        <v>93</v>
      </c>
      <c r="B2677" t="s" s="16">
        <v>94</v>
      </c>
      <c r="C2677" t="s" s="16">
        <v>95</v>
      </c>
      <c r="D2677" t="s" s="16">
        <v>96</v>
      </c>
      <c r="E2677" t="s" s="16">
        <v>97</v>
      </c>
      <c r="F2677" t="s" s="16">
        <v>98</v>
      </c>
      <c r="G2677" t="s" s="16">
        <v>99</v>
      </c>
      <c r="H2677" s="15"/>
    </row>
    <row r="2678" ht="13.65" customHeight="1">
      <c r="A2678" s="151"/>
      <c r="B2678" s="151"/>
      <c r="C2678" s="19"/>
      <c r="D2678" s="20"/>
      <c r="E2678" s="19"/>
      <c r="F2678" s="19"/>
      <c r="G2678" t="s" s="20">
        <v>100</v>
      </c>
      <c r="H2678" s="15"/>
    </row>
    <row r="2679" ht="13.65" customHeight="1">
      <c r="A2679" s="21">
        <v>72</v>
      </c>
      <c r="B2679" t="s" s="22">
        <v>101</v>
      </c>
      <c r="C2679" s="23">
        <v>50</v>
      </c>
      <c r="D2679" t="s" s="24">
        <v>274</v>
      </c>
      <c r="E2679" s="25">
        <v>1.93</v>
      </c>
      <c r="F2679" s="23">
        <v>12.5</v>
      </c>
      <c r="G2679" s="152" cm="1">
        <f t="array" ref="G2679">SUM(E2679/F2679)</f>
        <v>0.1544</v>
      </c>
      <c r="H2679" s="15"/>
    </row>
    <row r="2680" ht="13.65" customHeight="1">
      <c r="A2680" s="21">
        <v>123</v>
      </c>
      <c r="B2680" t="s" s="22">
        <v>103</v>
      </c>
      <c r="C2680" s="23">
        <v>40</v>
      </c>
      <c r="D2680" t="s" s="24">
        <v>102</v>
      </c>
      <c r="E2680" s="25">
        <v>3.2</v>
      </c>
      <c r="F2680" s="23">
        <v>20</v>
      </c>
      <c r="G2680" s="152" cm="1">
        <f t="array" ref="G2680">SUM(E2680/F2680)</f>
        <v>0.16</v>
      </c>
      <c r="H2680" s="15"/>
    </row>
    <row r="2681" ht="13.65" customHeight="1">
      <c r="A2681" s="21">
        <v>65</v>
      </c>
      <c r="B2681" t="s" s="22">
        <v>394</v>
      </c>
      <c r="C2681" s="23">
        <v>500</v>
      </c>
      <c r="D2681" t="s" s="24">
        <v>274</v>
      </c>
      <c r="E2681" s="25">
        <v>26</v>
      </c>
      <c r="F2681" s="23">
        <v>125</v>
      </c>
      <c r="G2681" s="152" cm="1">
        <f t="array" ref="G2681">SUM(E2681/F2681)</f>
        <v>0.208</v>
      </c>
      <c r="H2681" s="15"/>
    </row>
    <row r="2682" ht="13.65" customHeight="1">
      <c r="A2682" s="21">
        <v>86</v>
      </c>
      <c r="B2682" t="s" s="22">
        <v>107</v>
      </c>
      <c r="C2682" t="s" s="24">
        <v>108</v>
      </c>
      <c r="D2682" t="s" s="24">
        <v>608</v>
      </c>
      <c r="E2682" s="25">
        <v>0.32</v>
      </c>
      <c r="F2682" t="s" s="24">
        <v>650</v>
      </c>
      <c r="G2682" s="152" cm="1">
        <f t="array" ref="G2682">SUM(E2682*8)</f>
        <v>2.56</v>
      </c>
      <c r="H2682" s="15"/>
    </row>
    <row r="2683" ht="13.65" customHeight="1">
      <c r="A2683" s="21">
        <v>71</v>
      </c>
      <c r="B2683" t="s" s="22">
        <v>109</v>
      </c>
      <c r="C2683" s="23">
        <v>10</v>
      </c>
      <c r="D2683" t="s" s="24">
        <v>608</v>
      </c>
      <c r="E2683" s="25">
        <v>5.92</v>
      </c>
      <c r="F2683" s="23">
        <v>1.25</v>
      </c>
      <c r="G2683" s="152" cm="1">
        <f t="array" ref="G2683">SUM(E2683/F2683)</f>
        <v>4.736</v>
      </c>
      <c r="H2683" s="15"/>
    </row>
    <row r="2684" ht="13.65" customHeight="1">
      <c r="A2684" s="21">
        <v>87</v>
      </c>
      <c r="B2684" t="s" s="22">
        <v>110</v>
      </c>
      <c r="C2684" s="23">
        <v>10</v>
      </c>
      <c r="D2684" t="s" s="24">
        <v>608</v>
      </c>
      <c r="E2684" s="25">
        <v>9</v>
      </c>
      <c r="F2684" s="23">
        <v>6.25</v>
      </c>
      <c r="G2684" s="152" cm="1">
        <f t="array" ref="G2684">SUM(E2684/F2684)</f>
        <v>1.44</v>
      </c>
      <c r="H2684" s="15"/>
    </row>
    <row r="2685" ht="13.65" customHeight="1">
      <c r="A2685" s="21">
        <v>55</v>
      </c>
      <c r="B2685" t="s" s="22">
        <v>111</v>
      </c>
      <c r="C2685" t="s" s="24">
        <v>112</v>
      </c>
      <c r="D2685" t="s" s="24">
        <v>663</v>
      </c>
      <c r="E2685" s="25">
        <v>2.71</v>
      </c>
      <c r="F2685" s="23">
        <v>37.5</v>
      </c>
      <c r="G2685" s="152" cm="1">
        <f t="array" ref="G2685">SUM(E2685/F2685)</f>
        <v>0.0722666666666667</v>
      </c>
      <c r="H2685" s="15"/>
    </row>
    <row r="2686" ht="13.65" customHeight="1">
      <c r="A2686" s="21">
        <v>10</v>
      </c>
      <c r="B2686" t="s" s="22">
        <v>395</v>
      </c>
      <c r="C2686" t="s" s="24">
        <v>396</v>
      </c>
      <c r="D2686" t="s" s="24">
        <v>401</v>
      </c>
      <c r="E2686" s="25">
        <v>3.92</v>
      </c>
      <c r="F2686" s="23">
        <v>30</v>
      </c>
      <c r="G2686" s="152" cm="1">
        <f t="array" ref="G2686">SUM(E2686/F2686)</f>
        <v>0.130666666666667</v>
      </c>
      <c r="H2686" s="15"/>
    </row>
    <row r="2687" ht="13.65" customHeight="1">
      <c r="A2687" s="21">
        <v>9</v>
      </c>
      <c r="B2687" t="s" s="22">
        <v>398</v>
      </c>
      <c r="C2687" s="23">
        <v>50</v>
      </c>
      <c r="D2687" t="s" s="24">
        <v>102</v>
      </c>
      <c r="E2687" s="25">
        <v>14</v>
      </c>
      <c r="F2687" s="23">
        <v>25</v>
      </c>
      <c r="G2687" s="152" cm="1">
        <f t="array" ref="G2687">SUM(E2687/F2687)</f>
        <v>0.5600000000000001</v>
      </c>
      <c r="H2687" s="15"/>
    </row>
    <row r="2688" ht="13.65" customHeight="1">
      <c r="A2688" s="21">
        <v>6</v>
      </c>
      <c r="B2688" t="s" s="22">
        <v>399</v>
      </c>
      <c r="C2688" s="23">
        <v>100</v>
      </c>
      <c r="D2688" t="s" s="24">
        <v>104</v>
      </c>
      <c r="E2688" s="25">
        <v>19</v>
      </c>
      <c r="F2688" s="23">
        <v>100</v>
      </c>
      <c r="G2688" s="152" cm="1">
        <f t="array" ref="G2688">SUM(E2688/F2688)</f>
        <v>0.19</v>
      </c>
      <c r="H2688" s="15"/>
    </row>
    <row r="2689" ht="13.65" customHeight="1">
      <c r="A2689" s="21">
        <v>79</v>
      </c>
      <c r="B2689" t="s" s="22">
        <v>439</v>
      </c>
      <c r="C2689" s="23">
        <v>20</v>
      </c>
      <c r="D2689" t="s" s="24">
        <v>102</v>
      </c>
      <c r="E2689" s="25">
        <v>25</v>
      </c>
      <c r="F2689" s="23">
        <v>10</v>
      </c>
      <c r="G2689" s="152" cm="1">
        <f t="array" ref="G2689">SUM(E2689/F2689)</f>
        <v>2.5</v>
      </c>
      <c r="H2689" s="15"/>
    </row>
    <row r="2690" ht="13.65" customHeight="1">
      <c r="A2690" s="21">
        <v>85</v>
      </c>
      <c r="B2690" t="s" s="22">
        <v>463</v>
      </c>
      <c r="C2690" t="s" s="24">
        <v>665</v>
      </c>
      <c r="D2690" t="s" s="24">
        <v>389</v>
      </c>
      <c r="E2690" s="25">
        <v>7.8</v>
      </c>
      <c r="F2690" s="23">
        <v>10</v>
      </c>
      <c r="G2690" s="152" cm="1">
        <f t="array" ref="G2690">SUM(E2690/F2690)</f>
        <v>0.78</v>
      </c>
      <c r="H2690" s="15"/>
    </row>
    <row r="2691" ht="13.65" customHeight="1">
      <c r="A2691" s="21">
        <v>97</v>
      </c>
      <c r="B2691" t="s" s="22">
        <v>465</v>
      </c>
      <c r="C2691" s="23">
        <v>120</v>
      </c>
      <c r="D2691" t="s" s="24">
        <v>460</v>
      </c>
      <c r="E2691" s="25">
        <v>10.5</v>
      </c>
      <c r="F2691" s="23">
        <v>24</v>
      </c>
      <c r="G2691" s="152" cm="1">
        <f t="array" ref="G2691">SUM(E2691/F2691)</f>
        <v>0.4375</v>
      </c>
      <c r="H2691" s="15"/>
    </row>
    <row r="2692" ht="13.65" customHeight="1">
      <c r="A2692" s="21">
        <v>73</v>
      </c>
      <c r="B2692" t="s" s="22">
        <v>621</v>
      </c>
      <c r="C2692" t="s" s="24">
        <v>432</v>
      </c>
      <c r="D2692" t="s" s="24">
        <v>424</v>
      </c>
      <c r="E2692" s="25">
        <v>13.5</v>
      </c>
      <c r="F2692" s="23">
        <v>28</v>
      </c>
      <c r="G2692" s="152" cm="1">
        <f t="array" ref="G2692">SUM(E2692/F2692)</f>
        <v>0.482142857142857</v>
      </c>
      <c r="H2692" s="15"/>
    </row>
    <row r="2693" ht="13.65" customHeight="1">
      <c r="A2693" s="21">
        <v>119</v>
      </c>
      <c r="B2693" t="s" s="22">
        <v>467</v>
      </c>
      <c r="C2693" s="23">
        <v>1</v>
      </c>
      <c r="D2693" t="s" s="24">
        <v>468</v>
      </c>
      <c r="E2693" s="25">
        <v>0.45</v>
      </c>
      <c r="F2693" t="s" s="24">
        <v>387</v>
      </c>
      <c r="G2693" s="152" cm="1">
        <f t="array" ref="G2693">SUM(E2693*2)</f>
        <v>0.9</v>
      </c>
      <c r="H2693" s="15"/>
    </row>
    <row r="2694" ht="13.65" customHeight="1">
      <c r="A2694" s="21">
        <v>19</v>
      </c>
      <c r="B2694" t="s" s="22">
        <v>414</v>
      </c>
      <c r="C2694" s="23">
        <v>1</v>
      </c>
      <c r="D2694" t="s" s="24">
        <v>116</v>
      </c>
      <c r="E2694" s="25">
        <v>5.2</v>
      </c>
      <c r="F2694" s="23">
        <v>10</v>
      </c>
      <c r="G2694" s="152" cm="1">
        <f t="array" ref="G2694">SUM(E2694/F2694)</f>
        <v>0.52</v>
      </c>
      <c r="H2694" s="15"/>
    </row>
    <row r="2695" ht="13.65" customHeight="1">
      <c r="A2695" s="21">
        <v>74</v>
      </c>
      <c r="B2695" t="s" s="22">
        <v>666</v>
      </c>
      <c r="C2695" t="s" s="24">
        <v>426</v>
      </c>
      <c r="D2695" t="s" s="24">
        <v>424</v>
      </c>
      <c r="E2695" s="25">
        <v>4.5</v>
      </c>
      <c r="F2695" s="23">
        <v>10</v>
      </c>
      <c r="G2695" s="152" cm="1">
        <f t="array" ref="G2695">SUM(E2695/F2695)</f>
        <v>0.45</v>
      </c>
      <c r="H2695" s="15"/>
    </row>
    <row r="2696" ht="13.65" customHeight="1">
      <c r="A2696" s="21">
        <v>45</v>
      </c>
      <c r="B2696" t="s" s="22">
        <v>625</v>
      </c>
      <c r="C2696" s="23">
        <v>100</v>
      </c>
      <c r="D2696" t="s" s="24">
        <v>405</v>
      </c>
      <c r="E2696" s="25">
        <v>18</v>
      </c>
      <c r="F2696" s="23">
        <v>16</v>
      </c>
      <c r="G2696" s="152" cm="1">
        <f t="array" ref="G2696">SUM(E2696/F2696)</f>
        <v>1.125</v>
      </c>
      <c r="H2696" s="15"/>
    </row>
    <row r="2697" ht="13.65" customHeight="1">
      <c r="A2697" s="21">
        <v>82</v>
      </c>
      <c r="B2697" t="s" s="22">
        <v>622</v>
      </c>
      <c r="C2697" s="23">
        <v>6</v>
      </c>
      <c r="D2697" t="s" s="24">
        <v>629</v>
      </c>
      <c r="E2697" s="25">
        <v>41</v>
      </c>
      <c r="F2697" s="23">
        <v>3</v>
      </c>
      <c r="G2697" s="152" cm="1">
        <f t="array" ref="G2697">SUM(E2697/F2697)</f>
        <v>13.6666666666667</v>
      </c>
      <c r="H2697" s="15"/>
    </row>
    <row r="2698" ht="13.65" customHeight="1">
      <c r="A2698" s="21">
        <v>34</v>
      </c>
      <c r="B2698" t="s" s="22">
        <v>667</v>
      </c>
      <c r="C2698" t="s" s="24">
        <v>668</v>
      </c>
      <c r="D2698" t="s" s="24">
        <v>495</v>
      </c>
      <c r="E2698" s="25">
        <v>290</v>
      </c>
      <c r="F2698" s="23">
        <v>20</v>
      </c>
      <c r="G2698" s="152" cm="1">
        <f t="array" ref="G2698">SUM(E2698/F2698)</f>
        <v>14.5</v>
      </c>
      <c r="H2698" s="15"/>
    </row>
    <row r="2699" ht="13.65" customHeight="1">
      <c r="A2699" s="21">
        <v>20</v>
      </c>
      <c r="B2699" t="s" s="22">
        <v>628</v>
      </c>
      <c r="C2699" s="23">
        <v>1</v>
      </c>
      <c r="D2699" t="s" s="24">
        <v>629</v>
      </c>
      <c r="E2699" s="25">
        <v>7.5</v>
      </c>
      <c r="F2699" s="23">
        <v>3</v>
      </c>
      <c r="G2699" s="152" cm="1">
        <f t="array" ref="G2699">SUM(E2699/F2699)</f>
        <v>2.5</v>
      </c>
      <c r="H2699" s="15"/>
    </row>
    <row r="2700" ht="13.65" customHeight="1">
      <c r="A2700" s="28"/>
      <c r="B2700" s="28"/>
      <c r="C2700" s="27"/>
      <c r="D2700" s="24"/>
      <c r="E2700" s="27"/>
      <c r="F2700" t="s" s="29">
        <v>118</v>
      </c>
      <c r="G2700" s="197" cm="1">
        <f t="array" ref="G2700">SUM(G2679:G2699)</f>
        <v>48.0726428571429</v>
      </c>
      <c r="H2700" s="15"/>
    </row>
    <row r="2701" ht="13.65" customHeight="1">
      <c r="A2701" s="129"/>
      <c r="B2701" s="129"/>
      <c r="C2701" s="129"/>
      <c r="D2701" s="129"/>
      <c r="E2701" s="129"/>
      <c r="F2701" s="31"/>
      <c r="G2701" s="31"/>
      <c r="H2701" s="3"/>
    </row>
    <row r="2702" ht="11.7" customHeight="1">
      <c r="A2702" t="s" s="167">
        <v>136</v>
      </c>
      <c r="B2702" t="s" s="167">
        <v>281</v>
      </c>
      <c r="C2702" t="s" s="167">
        <v>282</v>
      </c>
      <c r="D2702" t="s" s="168">
        <v>283</v>
      </c>
      <c r="E2702" s="169"/>
      <c r="F2702" s="170"/>
      <c r="G2702" s="171"/>
      <c r="H2702" s="171"/>
    </row>
    <row r="2703" ht="13.65" customHeight="1">
      <c r="A2703" s="23">
        <v>40</v>
      </c>
      <c r="B2703" s="172" cm="1">
        <f t="array" ref="B2703">SUM(H256)</f>
        <v>2.47496540404041</v>
      </c>
      <c r="C2703" s="172" cm="1">
        <f t="array" ref="C2703">SUM(G2700)</f>
        <v>48.0726428571429</v>
      </c>
      <c r="D2703" s="199" cm="1">
        <f t="array" ref="D2703">SUM(A2703*B2703)+(C2703)</f>
        <v>147.071259018759</v>
      </c>
      <c r="E2703" s="200"/>
      <c r="F2703" s="15"/>
      <c r="G2703" s="3"/>
      <c r="H2703" s="3"/>
    </row>
    <row r="2704" ht="13.65" customHeight="1">
      <c r="A2704" s="31"/>
      <c r="B2704" s="31"/>
      <c r="C2704" s="31"/>
      <c r="D2704" s="31"/>
      <c r="E2704" s="31"/>
      <c r="F2704" s="3"/>
      <c r="G2704" s="3"/>
      <c r="H2704" s="3"/>
    </row>
    <row r="2705" ht="13.65" customHeight="1">
      <c r="A2705" t="s" s="145">
        <v>703</v>
      </c>
      <c r="B2705" s="3"/>
      <c r="C2705" s="3"/>
      <c r="D2705" s="3"/>
      <c r="E2705" s="3"/>
      <c r="F2705" s="3"/>
      <c r="G2705" s="3"/>
      <c r="H2705" s="3"/>
    </row>
    <row r="2706" ht="13.65" customHeight="1">
      <c r="A2706" s="3"/>
      <c r="B2706" s="3"/>
      <c r="C2706" s="3"/>
      <c r="D2706" s="3"/>
      <c r="E2706" s="3"/>
      <c r="F2706" s="3"/>
      <c r="G2706" s="3"/>
      <c r="H2706" s="3"/>
    </row>
    <row r="2707" ht="13.65" customHeight="1">
      <c r="A2707" s="203"/>
      <c r="B2707" s="203"/>
      <c r="C2707" s="203"/>
      <c r="D2707" s="203"/>
      <c r="E2707" s="203"/>
      <c r="F2707" s="203"/>
      <c r="G2707" s="203"/>
      <c r="H2707" s="203"/>
    </row>
    <row r="2708" ht="13.65" customHeight="1">
      <c r="A2708" t="s" s="274">
        <v>185</v>
      </c>
      <c r="B2708" s="275"/>
      <c r="C2708" s="275"/>
      <c r="D2708" s="275"/>
      <c r="E2708" s="280"/>
      <c r="F2708" s="275"/>
      <c r="G2708" s="275"/>
      <c r="H2708" s="277"/>
    </row>
    <row r="2709" ht="13.65" customHeight="1">
      <c r="A2709" s="278"/>
      <c r="B2709" s="278"/>
      <c r="C2709" s="278"/>
      <c r="D2709" s="278"/>
      <c r="E2709" s="278"/>
      <c r="F2709" s="278"/>
      <c r="G2709" s="278"/>
      <c r="H2709" s="278"/>
    </row>
    <row r="2710" ht="13.65" customHeight="1">
      <c r="A2710" s="3"/>
      <c r="B2710" s="3"/>
      <c r="C2710" s="3"/>
      <c r="D2710" s="3"/>
      <c r="E2710" s="3"/>
      <c r="F2710" s="3"/>
      <c r="G2710" s="3"/>
      <c r="H2710" s="3"/>
    </row>
    <row r="2711" ht="13.65" customHeight="1">
      <c r="A2711" t="s" s="5">
        <v>704</v>
      </c>
      <c r="B2711" s="3"/>
      <c r="C2711" s="3"/>
      <c r="D2711" s="3"/>
      <c r="E2711" s="3"/>
      <c r="F2711" s="3"/>
      <c r="G2711" s="3"/>
      <c r="H2711" s="3"/>
    </row>
    <row r="2712" ht="13.65" customHeight="1">
      <c r="A2712" s="11"/>
      <c r="B2712" s="11"/>
      <c r="C2712" s="11"/>
      <c r="D2712" s="11"/>
      <c r="E2712" s="11"/>
      <c r="F2712" s="11"/>
      <c r="G2712" s="11"/>
      <c r="H2712" s="3"/>
    </row>
    <row r="2713" ht="13.65" customHeight="1">
      <c r="A2713" s="12"/>
      <c r="B2713" s="12"/>
      <c r="C2713" s="13"/>
      <c r="D2713" s="14"/>
      <c r="E2713" s="13"/>
      <c r="F2713" s="13"/>
      <c r="G2713" t="s" s="14">
        <v>252</v>
      </c>
      <c r="H2713" s="150"/>
    </row>
    <row r="2714" ht="13.65" customHeight="1">
      <c r="A2714" t="s" s="16">
        <v>93</v>
      </c>
      <c r="B2714" t="s" s="16">
        <v>94</v>
      </c>
      <c r="C2714" t="s" s="16">
        <v>95</v>
      </c>
      <c r="D2714" t="s" s="16">
        <v>96</v>
      </c>
      <c r="E2714" t="s" s="16">
        <v>97</v>
      </c>
      <c r="F2714" t="s" s="16">
        <v>98</v>
      </c>
      <c r="G2714" t="s" s="16">
        <v>99</v>
      </c>
      <c r="H2714" s="15"/>
    </row>
    <row r="2715" ht="13.65" customHeight="1">
      <c r="A2715" s="151"/>
      <c r="B2715" s="151"/>
      <c r="C2715" s="19"/>
      <c r="D2715" s="20"/>
      <c r="E2715" s="19"/>
      <c r="F2715" s="19"/>
      <c r="G2715" t="s" s="20">
        <v>100</v>
      </c>
      <c r="H2715" s="15"/>
    </row>
    <row r="2716" ht="13.65" customHeight="1">
      <c r="A2716" s="21">
        <v>72</v>
      </c>
      <c r="B2716" t="s" s="22">
        <v>101</v>
      </c>
      <c r="C2716" s="23">
        <v>50</v>
      </c>
      <c r="D2716" t="s" s="24">
        <v>102</v>
      </c>
      <c r="E2716" s="25">
        <v>1.93</v>
      </c>
      <c r="F2716" s="23">
        <v>25</v>
      </c>
      <c r="G2716" s="152" cm="1">
        <f t="array" ref="G2716">SUM(E2716/F2716)</f>
        <v>0.0772</v>
      </c>
      <c r="H2716" s="15"/>
    </row>
    <row r="2717" ht="13.65" customHeight="1">
      <c r="A2717" s="21">
        <v>123</v>
      </c>
      <c r="B2717" t="s" s="22">
        <v>103</v>
      </c>
      <c r="C2717" s="23">
        <v>40</v>
      </c>
      <c r="D2717" t="s" s="24">
        <v>104</v>
      </c>
      <c r="E2717" s="25">
        <v>3.2</v>
      </c>
      <c r="F2717" s="23">
        <v>40</v>
      </c>
      <c r="G2717" s="152" cm="1">
        <f t="array" ref="G2717">SUM(E2717/F2717)</f>
        <v>0.08</v>
      </c>
      <c r="H2717" s="15"/>
    </row>
    <row r="2718" ht="13.65" customHeight="1">
      <c r="A2718" s="21">
        <v>57</v>
      </c>
      <c r="B2718" t="s" s="22">
        <v>253</v>
      </c>
      <c r="C2718" t="s" s="24">
        <v>254</v>
      </c>
      <c r="D2718" t="s" s="24">
        <v>371</v>
      </c>
      <c r="E2718" s="25">
        <v>4.5</v>
      </c>
      <c r="F2718" s="23">
        <v>33</v>
      </c>
      <c r="G2718" s="152" cm="1">
        <f t="array" ref="G2718">SUM(E2718/F2718)</f>
        <v>0.136363636363636</v>
      </c>
      <c r="H2718" s="15"/>
    </row>
    <row r="2719" ht="13.65" customHeight="1">
      <c r="A2719" s="21">
        <v>117</v>
      </c>
      <c r="B2719" t="s" s="22">
        <v>105</v>
      </c>
      <c r="C2719" s="23">
        <v>100</v>
      </c>
      <c r="D2719" t="s" s="24">
        <v>106</v>
      </c>
      <c r="E2719" s="25">
        <v>1.2</v>
      </c>
      <c r="F2719" s="23">
        <v>10</v>
      </c>
      <c r="G2719" s="152" cm="1">
        <f t="array" ref="G2719">SUM(E2719/F2719)</f>
        <v>0.12</v>
      </c>
      <c r="H2719" s="15"/>
    </row>
    <row r="2720" ht="13.65" customHeight="1">
      <c r="A2720" s="21">
        <v>86</v>
      </c>
      <c r="B2720" t="s" s="22">
        <v>107</v>
      </c>
      <c r="C2720" s="23">
        <v>1</v>
      </c>
      <c r="D2720" t="s" s="24">
        <v>102</v>
      </c>
      <c r="E2720" s="25">
        <v>0.32</v>
      </c>
      <c r="F2720" t="s" s="24">
        <v>387</v>
      </c>
      <c r="G2720" s="152" cm="1">
        <f t="array" ref="G2720">SUM(E2720*2)</f>
        <v>0.64</v>
      </c>
      <c r="H2720" s="15"/>
    </row>
    <row r="2721" ht="13.65" customHeight="1">
      <c r="A2721" s="21">
        <v>71</v>
      </c>
      <c r="B2721" t="s" s="22">
        <v>109</v>
      </c>
      <c r="C2721" s="23">
        <v>10</v>
      </c>
      <c r="D2721" t="s" s="24">
        <v>102</v>
      </c>
      <c r="E2721" s="25">
        <v>5.92</v>
      </c>
      <c r="F2721" s="23">
        <v>5</v>
      </c>
      <c r="G2721" s="152" cm="1">
        <f t="array" ref="G2721">SUM(E2721/F2721)</f>
        <v>1.184</v>
      </c>
      <c r="H2721" s="15"/>
    </row>
    <row r="2722" ht="13.65" customHeight="1">
      <c r="A2722" s="21">
        <v>87</v>
      </c>
      <c r="B2722" t="s" s="22">
        <v>110</v>
      </c>
      <c r="C2722" s="23">
        <v>50</v>
      </c>
      <c r="D2722" t="s" s="24">
        <v>102</v>
      </c>
      <c r="E2722" s="25">
        <v>9</v>
      </c>
      <c r="F2722" s="23">
        <v>25</v>
      </c>
      <c r="G2722" s="152" cm="1">
        <f t="array" ref="G2722">SUM(E2722/F2722)</f>
        <v>0.36</v>
      </c>
      <c r="H2722" s="15"/>
    </row>
    <row r="2723" ht="13.65" customHeight="1">
      <c r="A2723" s="21">
        <v>55</v>
      </c>
      <c r="B2723" t="s" s="22">
        <v>111</v>
      </c>
      <c r="C2723" t="s" s="24">
        <v>112</v>
      </c>
      <c r="D2723" t="s" s="24">
        <v>705</v>
      </c>
      <c r="E2723" s="25">
        <v>2.71</v>
      </c>
      <c r="F2723" s="23">
        <v>75</v>
      </c>
      <c r="G2723" s="152" cm="1">
        <f t="array" ref="G2723">SUM(E2723/F2723)</f>
        <v>0.0361333333333333</v>
      </c>
      <c r="H2723" s="15"/>
    </row>
    <row r="2724" ht="13.65" customHeight="1">
      <c r="A2724" s="21">
        <v>24</v>
      </c>
      <c r="B2724" t="s" s="22">
        <v>531</v>
      </c>
      <c r="C2724" s="23">
        <v>10</v>
      </c>
      <c r="D2724" t="s" s="24">
        <v>104</v>
      </c>
      <c r="E2724" s="25">
        <v>9.6</v>
      </c>
      <c r="F2724" s="23">
        <v>10</v>
      </c>
      <c r="G2724" s="152" cm="1">
        <f t="array" ref="G2724">SUM(E2724/F2724)</f>
        <v>0.96</v>
      </c>
      <c r="H2724" s="15"/>
    </row>
    <row r="2725" ht="13.65" customHeight="1">
      <c r="A2725" s="21">
        <v>49</v>
      </c>
      <c r="B2725" t="s" s="22">
        <v>706</v>
      </c>
      <c r="C2725" s="23">
        <v>100</v>
      </c>
      <c r="D2725" t="s" s="24">
        <v>256</v>
      </c>
      <c r="E2725" s="25">
        <v>32</v>
      </c>
      <c r="F2725" s="23">
        <v>33</v>
      </c>
      <c r="G2725" s="152" cm="1">
        <f t="array" ref="G2725">SUM(E2725/F2725)</f>
        <v>0.9696969696969699</v>
      </c>
      <c r="H2725" s="15"/>
    </row>
    <row r="2726" ht="13.65" customHeight="1">
      <c r="A2726" s="21">
        <v>2</v>
      </c>
      <c r="B2726" t="s" s="22">
        <v>707</v>
      </c>
      <c r="C2726" t="s" s="24">
        <v>614</v>
      </c>
      <c r="D2726" t="s" s="24">
        <v>424</v>
      </c>
      <c r="E2726" s="25">
        <v>16.56</v>
      </c>
      <c r="F2726" s="23">
        <v>20</v>
      </c>
      <c r="G2726" s="152" cm="1">
        <f t="array" ref="G2726">SUM(E2726/F2726)</f>
        <v>0.828</v>
      </c>
      <c r="H2726" s="15"/>
    </row>
    <row r="2727" ht="13.65" customHeight="1">
      <c r="A2727" s="21">
        <v>125</v>
      </c>
      <c r="B2727" t="s" s="22">
        <v>708</v>
      </c>
      <c r="C2727" t="s" s="24">
        <v>648</v>
      </c>
      <c r="D2727" t="s" s="24">
        <v>627</v>
      </c>
      <c r="E2727" s="25">
        <v>130</v>
      </c>
      <c r="F2727" s="23">
        <v>30</v>
      </c>
      <c r="G2727" s="152" cm="1">
        <f t="array" ref="G2727">SUM(E2727/F2727)</f>
        <v>4.33333333333333</v>
      </c>
      <c r="H2727" s="15"/>
    </row>
    <row r="2728" ht="13.65" customHeight="1">
      <c r="A2728" s="21">
        <v>103</v>
      </c>
      <c r="B2728" t="s" s="22">
        <v>114</v>
      </c>
      <c r="C2728" s="23">
        <v>144</v>
      </c>
      <c r="D2728" t="s" s="24">
        <v>104</v>
      </c>
      <c r="E2728" s="25">
        <v>18</v>
      </c>
      <c r="F2728" s="23">
        <v>144</v>
      </c>
      <c r="G2728" s="152" cm="1">
        <f t="array" ref="G2728">SUM(E2728/F2728)</f>
        <v>0.125</v>
      </c>
      <c r="H2728" s="15"/>
    </row>
    <row r="2729" ht="13.65" customHeight="1">
      <c r="A2729" s="21">
        <v>102</v>
      </c>
      <c r="B2729" t="s" s="22">
        <v>709</v>
      </c>
      <c r="C2729" s="23">
        <v>1</v>
      </c>
      <c r="D2729" t="s" s="24">
        <v>397</v>
      </c>
      <c r="E2729" s="25">
        <v>2.7</v>
      </c>
      <c r="F2729" s="23">
        <v>50</v>
      </c>
      <c r="G2729" s="152" cm="1">
        <f t="array" ref="G2729">SUM(E2729/F2729)</f>
        <v>0.054</v>
      </c>
      <c r="H2729" s="15"/>
    </row>
    <row r="2730" ht="13.65" customHeight="1">
      <c r="A2730" s="21">
        <v>48</v>
      </c>
      <c r="B2730" t="s" s="22">
        <v>710</v>
      </c>
      <c r="C2730" s="23">
        <v>1</v>
      </c>
      <c r="D2730" t="s" s="24">
        <v>277</v>
      </c>
      <c r="E2730" s="25">
        <v>1</v>
      </c>
      <c r="F2730" s="23">
        <v>2</v>
      </c>
      <c r="G2730" s="152" cm="1">
        <f t="array" ref="G2730">SUM(E2730/F2730)</f>
        <v>0.5</v>
      </c>
      <c r="H2730" s="15"/>
    </row>
    <row r="2731" ht="13.65" customHeight="1">
      <c r="A2731" s="21">
        <v>101</v>
      </c>
      <c r="B2731" t="s" s="22">
        <v>407</v>
      </c>
      <c r="C2731" t="s" s="24">
        <v>380</v>
      </c>
      <c r="D2731" t="s" s="24">
        <v>408</v>
      </c>
      <c r="E2731" s="25">
        <v>7.5</v>
      </c>
      <c r="F2731" s="23">
        <v>50</v>
      </c>
      <c r="G2731" s="152" cm="1">
        <f t="array" ref="G2731">SUM(E2731/F2731)</f>
        <v>0.15</v>
      </c>
      <c r="H2731" s="15"/>
    </row>
    <row r="2732" ht="13.65" customHeight="1">
      <c r="A2732" s="28"/>
      <c r="B2732" s="28"/>
      <c r="C2732" s="27"/>
      <c r="D2732" s="24"/>
      <c r="E2732" s="27"/>
      <c r="F2732" t="s" s="29">
        <v>118</v>
      </c>
      <c r="G2732" s="197" cm="1">
        <f t="array" ref="G2732">SUM(G2716:G2731)</f>
        <v>10.5537272727273</v>
      </c>
      <c r="H2732" s="15"/>
    </row>
    <row r="2733" ht="13.65" customHeight="1">
      <c r="A2733" s="129"/>
      <c r="B2733" s="129"/>
      <c r="C2733" s="129"/>
      <c r="D2733" s="129"/>
      <c r="E2733" s="129"/>
      <c r="F2733" s="31"/>
      <c r="G2733" s="31"/>
      <c r="H2733" s="3"/>
    </row>
    <row r="2734" ht="11.7" customHeight="1">
      <c r="A2734" t="s" s="167">
        <v>136</v>
      </c>
      <c r="B2734" t="s" s="167">
        <v>281</v>
      </c>
      <c r="C2734" t="s" s="167">
        <v>282</v>
      </c>
      <c r="D2734" t="s" s="168">
        <v>283</v>
      </c>
      <c r="E2734" s="169"/>
      <c r="F2734" s="170"/>
      <c r="G2734" s="171"/>
      <c r="H2734" s="171"/>
    </row>
    <row r="2735" ht="13.65" customHeight="1">
      <c r="A2735" s="23">
        <v>20</v>
      </c>
      <c r="B2735" s="172" cm="1">
        <f t="array" ref="B2735">SUM(H256)</f>
        <v>2.47496540404041</v>
      </c>
      <c r="C2735" s="172" cm="1">
        <f t="array" ref="C2735">SUM(G2732)</f>
        <v>10.5537272727273</v>
      </c>
      <c r="D2735" s="199" cm="1">
        <f t="array" ref="D2735">SUM(A2735*B2735)+(C2735)</f>
        <v>60.0530353535355</v>
      </c>
      <c r="E2735" s="200"/>
      <c r="F2735" s="15"/>
      <c r="G2735" s="3"/>
      <c r="H2735" s="3"/>
    </row>
    <row r="2736" ht="13.65" customHeight="1">
      <c r="A2736" s="31"/>
      <c r="B2736" s="31"/>
      <c r="C2736" s="31"/>
      <c r="D2736" s="31"/>
      <c r="E2736" s="31"/>
      <c r="F2736" s="3"/>
      <c r="G2736" s="3"/>
      <c r="H2736" s="3"/>
    </row>
    <row r="2737" ht="13.65" customHeight="1">
      <c r="A2737" s="3"/>
      <c r="B2737" s="3"/>
      <c r="C2737" s="3"/>
      <c r="D2737" s="3"/>
      <c r="E2737" s="3"/>
      <c r="F2737" s="3"/>
      <c r="G2737" s="3"/>
      <c r="H2737" s="3"/>
    </row>
    <row r="2738" ht="13.65" customHeight="1">
      <c r="A2738" t="s" s="5">
        <v>711</v>
      </c>
      <c r="B2738" s="3"/>
      <c r="C2738" s="3"/>
      <c r="D2738" s="3"/>
      <c r="E2738" s="3"/>
      <c r="F2738" s="3"/>
      <c r="G2738" s="3"/>
      <c r="H2738" s="3"/>
    </row>
    <row r="2739" ht="13.65" customHeight="1">
      <c r="A2739" s="11"/>
      <c r="B2739" s="11"/>
      <c r="C2739" s="11"/>
      <c r="D2739" s="11"/>
      <c r="E2739" s="11"/>
      <c r="F2739" s="11"/>
      <c r="G2739" s="11"/>
      <c r="H2739" s="3"/>
    </row>
    <row r="2740" ht="13.65" customHeight="1">
      <c r="A2740" s="12"/>
      <c r="B2740" s="12"/>
      <c r="C2740" s="13"/>
      <c r="D2740" s="14"/>
      <c r="E2740" s="13"/>
      <c r="F2740" s="13"/>
      <c r="G2740" t="s" s="14">
        <v>252</v>
      </c>
      <c r="H2740" s="150"/>
    </row>
    <row r="2741" ht="13.65" customHeight="1">
      <c r="A2741" t="s" s="16">
        <v>93</v>
      </c>
      <c r="B2741" t="s" s="16">
        <v>94</v>
      </c>
      <c r="C2741" t="s" s="16">
        <v>95</v>
      </c>
      <c r="D2741" t="s" s="16">
        <v>96</v>
      </c>
      <c r="E2741" t="s" s="16">
        <v>97</v>
      </c>
      <c r="F2741" t="s" s="16">
        <v>98</v>
      </c>
      <c r="G2741" t="s" s="16">
        <v>99</v>
      </c>
      <c r="H2741" s="15"/>
    </row>
    <row r="2742" ht="13.65" customHeight="1">
      <c r="A2742" s="151"/>
      <c r="B2742" s="151"/>
      <c r="C2742" s="19"/>
      <c r="D2742" s="20"/>
      <c r="E2742" s="19"/>
      <c r="F2742" s="19"/>
      <c r="G2742" t="s" s="20">
        <v>100</v>
      </c>
      <c r="H2742" s="15"/>
    </row>
    <row r="2743" ht="13.65" customHeight="1">
      <c r="A2743" s="21">
        <v>72</v>
      </c>
      <c r="B2743" t="s" s="22">
        <v>101</v>
      </c>
      <c r="C2743" s="23">
        <v>50</v>
      </c>
      <c r="D2743" t="s" s="24">
        <v>274</v>
      </c>
      <c r="E2743" s="25">
        <v>1.93</v>
      </c>
      <c r="F2743" s="23">
        <v>12.5</v>
      </c>
      <c r="G2743" s="152" cm="1">
        <f t="array" ref="G2743">SUM(E2743/F2743)</f>
        <v>0.1544</v>
      </c>
      <c r="H2743" s="15"/>
    </row>
    <row r="2744" ht="13.65" customHeight="1">
      <c r="A2744" s="21">
        <v>123</v>
      </c>
      <c r="B2744" t="s" s="22">
        <v>103</v>
      </c>
      <c r="C2744" s="23">
        <v>40</v>
      </c>
      <c r="D2744" t="s" s="24">
        <v>102</v>
      </c>
      <c r="E2744" s="25">
        <v>3.2</v>
      </c>
      <c r="F2744" s="23">
        <v>20</v>
      </c>
      <c r="G2744" s="152" cm="1">
        <f t="array" ref="G2744">SUM(E2744/F2744)</f>
        <v>0.16</v>
      </c>
      <c r="H2744" s="15"/>
    </row>
    <row r="2745" ht="13.65" customHeight="1">
      <c r="A2745" s="21">
        <v>117</v>
      </c>
      <c r="B2745" t="s" s="22">
        <v>105</v>
      </c>
      <c r="C2745" s="23">
        <v>100</v>
      </c>
      <c r="D2745" t="s" s="24">
        <v>106</v>
      </c>
      <c r="E2745" s="25">
        <v>1.2</v>
      </c>
      <c r="F2745" s="23">
        <v>10</v>
      </c>
      <c r="G2745" s="152" cm="1">
        <f t="array" ref="G2745">SUM(E2745/F2745)</f>
        <v>0.12</v>
      </c>
      <c r="H2745" s="15"/>
    </row>
    <row r="2746" ht="13.65" customHeight="1">
      <c r="A2746" s="21">
        <v>86</v>
      </c>
      <c r="B2746" t="s" s="22">
        <v>107</v>
      </c>
      <c r="C2746" t="s" s="24">
        <v>108</v>
      </c>
      <c r="D2746" t="s" s="24">
        <v>274</v>
      </c>
      <c r="E2746" s="25">
        <v>0.32</v>
      </c>
      <c r="F2746" t="s" s="24">
        <v>301</v>
      </c>
      <c r="G2746" s="152" cm="1">
        <f t="array" ref="G2746">SUM(E2746*4)</f>
        <v>1.28</v>
      </c>
      <c r="H2746" s="15"/>
    </row>
    <row r="2747" ht="13.65" customHeight="1">
      <c r="A2747" s="21">
        <v>71</v>
      </c>
      <c r="B2747" t="s" s="22">
        <v>109</v>
      </c>
      <c r="C2747" s="23">
        <v>10</v>
      </c>
      <c r="D2747" t="s" s="24">
        <v>274</v>
      </c>
      <c r="E2747" s="25">
        <v>5.92</v>
      </c>
      <c r="F2747" s="23">
        <v>2.5</v>
      </c>
      <c r="G2747" s="152" cm="1">
        <f t="array" ref="G2747">SUM(E2747/F2747)</f>
        <v>2.368</v>
      </c>
      <c r="H2747" s="15"/>
    </row>
    <row r="2748" ht="13.65" customHeight="1">
      <c r="A2748" s="21">
        <v>87</v>
      </c>
      <c r="B2748" t="s" s="22">
        <v>110</v>
      </c>
      <c r="C2748" s="23">
        <v>50</v>
      </c>
      <c r="D2748" t="s" s="24">
        <v>274</v>
      </c>
      <c r="E2748" s="25">
        <v>9</v>
      </c>
      <c r="F2748" s="23">
        <v>12.5</v>
      </c>
      <c r="G2748" s="152" cm="1">
        <f t="array" ref="G2748">SUM(E2748/F2748)</f>
        <v>0.72</v>
      </c>
      <c r="H2748" s="15"/>
    </row>
    <row r="2749" ht="13.65" customHeight="1">
      <c r="A2749" s="21">
        <v>55</v>
      </c>
      <c r="B2749" t="s" s="22">
        <v>111</v>
      </c>
      <c r="C2749" t="s" s="24">
        <v>112</v>
      </c>
      <c r="D2749" t="s" s="24">
        <v>461</v>
      </c>
      <c r="E2749" s="25">
        <v>2.71</v>
      </c>
      <c r="F2749" s="23">
        <v>37.5</v>
      </c>
      <c r="G2749" s="152" cm="1">
        <f t="array" ref="G2749">SUM(E2749/F2749)</f>
        <v>0.0722666666666667</v>
      </c>
      <c r="H2749" s="15"/>
    </row>
    <row r="2750" ht="13.65" customHeight="1">
      <c r="A2750" s="21">
        <v>24</v>
      </c>
      <c r="B2750" t="s" s="22">
        <v>502</v>
      </c>
      <c r="C2750" s="23">
        <v>10</v>
      </c>
      <c r="D2750" t="s" s="24">
        <v>104</v>
      </c>
      <c r="E2750" s="25">
        <v>9.6</v>
      </c>
      <c r="F2750" s="23">
        <v>10</v>
      </c>
      <c r="G2750" s="152" cm="1">
        <f t="array" ref="G2750">SUM(E2750/F2750)</f>
        <v>0.96</v>
      </c>
      <c r="H2750" s="15"/>
    </row>
    <row r="2751" ht="13.65" customHeight="1">
      <c r="A2751" s="21">
        <v>10</v>
      </c>
      <c r="B2751" t="s" s="22">
        <v>395</v>
      </c>
      <c r="C2751" t="s" s="24">
        <v>396</v>
      </c>
      <c r="D2751" t="s" s="24">
        <v>397</v>
      </c>
      <c r="E2751" s="25">
        <v>3.92</v>
      </c>
      <c r="F2751" s="23">
        <v>50</v>
      </c>
      <c r="G2751" s="152" cm="1">
        <f t="array" ref="G2751">SUM(E2751/F2751)</f>
        <v>0.0784</v>
      </c>
      <c r="H2751" s="15"/>
    </row>
    <row r="2752" ht="13.65" customHeight="1">
      <c r="A2752" s="21">
        <v>9</v>
      </c>
      <c r="B2752" t="s" s="22">
        <v>398</v>
      </c>
      <c r="C2752" t="s" s="24">
        <v>503</v>
      </c>
      <c r="D2752" t="s" s="24">
        <v>104</v>
      </c>
      <c r="E2752" s="25">
        <v>14</v>
      </c>
      <c r="F2752" s="23">
        <v>50</v>
      </c>
      <c r="G2752" s="152" cm="1">
        <f t="array" ref="G2752">SUM(E2752/F2752)</f>
        <v>0.28</v>
      </c>
      <c r="H2752" s="15"/>
    </row>
    <row r="2753" ht="13.65" customHeight="1">
      <c r="A2753" s="21">
        <v>6</v>
      </c>
      <c r="B2753" t="s" s="22">
        <v>399</v>
      </c>
      <c r="C2753" t="s" s="24">
        <v>436</v>
      </c>
      <c r="D2753" t="s" s="24">
        <v>104</v>
      </c>
      <c r="E2753" s="25">
        <v>19</v>
      </c>
      <c r="F2753" s="23">
        <v>100</v>
      </c>
      <c r="G2753" s="152" cm="1">
        <f t="array" ref="G2753">SUM(E2753/F2753)</f>
        <v>0.19</v>
      </c>
      <c r="H2753" s="15"/>
    </row>
    <row r="2754" ht="13.65" customHeight="1">
      <c r="A2754" s="21">
        <v>11</v>
      </c>
      <c r="B2754" t="s" s="22">
        <v>440</v>
      </c>
      <c r="C2754" t="s" s="24">
        <v>441</v>
      </c>
      <c r="D2754" t="s" s="24">
        <v>442</v>
      </c>
      <c r="E2754" s="25">
        <v>49</v>
      </c>
      <c r="F2754" s="23">
        <v>44</v>
      </c>
      <c r="G2754" s="152" cm="1">
        <f t="array" ref="G2754">SUM(E2754/F2754)</f>
        <v>1.11363636363636</v>
      </c>
      <c r="H2754" s="15"/>
    </row>
    <row r="2755" ht="13.65" customHeight="1">
      <c r="A2755" s="21">
        <v>19</v>
      </c>
      <c r="B2755" t="s" s="22">
        <v>414</v>
      </c>
      <c r="C2755" s="23">
        <v>1</v>
      </c>
      <c r="D2755" t="s" s="24">
        <v>116</v>
      </c>
      <c r="E2755" s="25">
        <v>5.2</v>
      </c>
      <c r="F2755" s="23">
        <v>10</v>
      </c>
      <c r="G2755" s="152" cm="1">
        <f t="array" ref="G2755">SUM(E2755/F2755)</f>
        <v>0.52</v>
      </c>
      <c r="H2755" s="15"/>
    </row>
    <row r="2756" ht="13.65" customHeight="1">
      <c r="A2756" s="21">
        <v>34</v>
      </c>
      <c r="B2756" t="s" s="22">
        <v>456</v>
      </c>
      <c r="C2756" t="s" s="24">
        <v>432</v>
      </c>
      <c r="D2756" t="s" s="24">
        <v>408</v>
      </c>
      <c r="E2756" s="25">
        <v>31</v>
      </c>
      <c r="F2756" s="23">
        <v>14</v>
      </c>
      <c r="G2756" s="152" cm="1">
        <f t="array" ref="G2756">SUM(E2756/F2756)</f>
        <v>2.21428571428571</v>
      </c>
      <c r="H2756" s="15"/>
    </row>
    <row r="2757" ht="13.65" customHeight="1">
      <c r="A2757" s="28"/>
      <c r="B2757" s="28"/>
      <c r="C2757" t="s" s="24">
        <v>390</v>
      </c>
      <c r="D2757" t="s" s="24">
        <v>457</v>
      </c>
      <c r="E2757" s="25">
        <v>14</v>
      </c>
      <c r="F2757" s="23">
        <v>20</v>
      </c>
      <c r="G2757" s="152" cm="1">
        <f t="array" ref="G2757">SUM(E2757/F2757)</f>
        <v>0.7</v>
      </c>
      <c r="H2757" s="15"/>
    </row>
    <row r="2758" ht="13.65" customHeight="1">
      <c r="A2758" s="28"/>
      <c r="B2758" s="28"/>
      <c r="C2758" s="27"/>
      <c r="D2758" s="24"/>
      <c r="E2758" s="27"/>
      <c r="F2758" t="s" s="29">
        <v>118</v>
      </c>
      <c r="G2758" s="197" cm="1">
        <f t="array" ref="G2758">SUM(G2743:G2755)</f>
        <v>8.016703030303031</v>
      </c>
      <c r="H2758" s="15"/>
    </row>
    <row r="2759" ht="13.65" customHeight="1">
      <c r="A2759" s="129"/>
      <c r="B2759" s="129"/>
      <c r="C2759" s="129"/>
      <c r="D2759" s="129"/>
      <c r="E2759" s="129"/>
      <c r="F2759" s="31"/>
      <c r="G2759" s="31"/>
      <c r="H2759" s="3"/>
    </row>
    <row r="2760" ht="11.7" customHeight="1">
      <c r="A2760" t="s" s="167">
        <v>136</v>
      </c>
      <c r="B2760" t="s" s="167">
        <v>281</v>
      </c>
      <c r="C2760" t="s" s="167">
        <v>282</v>
      </c>
      <c r="D2760" t="s" s="168">
        <v>283</v>
      </c>
      <c r="E2760" s="169"/>
      <c r="F2760" s="170"/>
      <c r="G2760" s="171"/>
      <c r="H2760" s="171"/>
    </row>
    <row r="2761" ht="13.65" customHeight="1">
      <c r="A2761" s="23">
        <v>30</v>
      </c>
      <c r="B2761" s="172" cm="1">
        <f t="array" ref="B2761">SUM(H256)</f>
        <v>2.47496540404041</v>
      </c>
      <c r="C2761" s="172" cm="1">
        <f t="array" ref="C2761">SUM(G2758)</f>
        <v>8.016703030303031</v>
      </c>
      <c r="D2761" s="199" cm="1">
        <f t="array" ref="D2761">SUM(A2761*B2761)+(C2761)</f>
        <v>82.26566515151529</v>
      </c>
      <c r="E2761" s="200"/>
      <c r="F2761" s="15"/>
      <c r="G2761" s="3"/>
      <c r="H2761" s="3"/>
    </row>
    <row r="2762" ht="13.65" customHeight="1">
      <c r="A2762" s="31"/>
      <c r="B2762" s="31"/>
      <c r="C2762" s="31"/>
      <c r="D2762" s="31"/>
      <c r="E2762" s="31"/>
      <c r="F2762" s="3"/>
      <c r="G2762" s="3"/>
      <c r="H2762" s="3"/>
    </row>
    <row r="2763" ht="13.65" customHeight="1">
      <c r="A2763" s="203"/>
      <c r="B2763" s="203"/>
      <c r="C2763" s="203"/>
      <c r="D2763" s="203"/>
      <c r="E2763" s="203"/>
      <c r="F2763" s="203"/>
      <c r="G2763" s="203"/>
      <c r="H2763" s="203"/>
    </row>
    <row r="2764" ht="13.65" customHeight="1">
      <c r="A2764" t="s" s="274">
        <v>185</v>
      </c>
      <c r="B2764" s="275"/>
      <c r="C2764" s="275"/>
      <c r="D2764" s="275"/>
      <c r="E2764" s="280"/>
      <c r="F2764" s="275"/>
      <c r="G2764" s="275"/>
      <c r="H2764" s="277"/>
    </row>
    <row r="2765" ht="13.65" customHeight="1">
      <c r="A2765" s="278"/>
      <c r="B2765" s="278"/>
      <c r="C2765" s="278"/>
      <c r="D2765" s="278"/>
      <c r="E2765" s="278"/>
      <c r="F2765" s="278"/>
      <c r="G2765" s="278"/>
      <c r="H2765" s="278"/>
    </row>
    <row r="2766" ht="13.65" customHeight="1">
      <c r="A2766" s="3"/>
      <c r="B2766" s="3"/>
      <c r="C2766" s="3"/>
      <c r="D2766" s="3"/>
      <c r="E2766" s="3"/>
      <c r="F2766" s="3"/>
      <c r="G2766" s="3"/>
      <c r="H2766" s="3"/>
    </row>
    <row r="2767" ht="13.65" customHeight="1">
      <c r="A2767" t="s" s="5">
        <v>712</v>
      </c>
      <c r="B2767" s="3"/>
      <c r="C2767" s="3"/>
      <c r="D2767" s="3"/>
      <c r="E2767" s="3"/>
      <c r="F2767" s="3"/>
      <c r="G2767" s="3"/>
      <c r="H2767" s="3"/>
    </row>
    <row r="2768" ht="13.65" customHeight="1">
      <c r="A2768" s="3"/>
      <c r="B2768" s="3"/>
      <c r="C2768" s="3"/>
      <c r="D2768" s="3"/>
      <c r="E2768" s="3"/>
      <c r="F2768" s="3"/>
      <c r="G2768" s="3"/>
      <c r="H2768" s="3"/>
    </row>
    <row r="2769" ht="13.65" customHeight="1">
      <c r="A2769" t="s" s="5">
        <v>713</v>
      </c>
      <c r="B2769" s="3"/>
      <c r="C2769" s="3"/>
      <c r="D2769" s="3"/>
      <c r="E2769" s="3"/>
      <c r="F2769" s="3"/>
      <c r="G2769" s="3"/>
      <c r="H2769" s="3"/>
    </row>
    <row r="2770" ht="13.65" customHeight="1">
      <c r="A2770" s="11"/>
      <c r="B2770" s="11"/>
      <c r="C2770" s="11"/>
      <c r="D2770" s="11"/>
      <c r="E2770" s="11"/>
      <c r="F2770" s="11"/>
      <c r="G2770" s="11"/>
      <c r="H2770" s="3"/>
    </row>
    <row r="2771" ht="13.65" customHeight="1">
      <c r="A2771" s="12"/>
      <c r="B2771" s="12"/>
      <c r="C2771" s="13"/>
      <c r="D2771" s="14"/>
      <c r="E2771" s="13"/>
      <c r="F2771" s="13"/>
      <c r="G2771" t="s" s="14">
        <v>252</v>
      </c>
      <c r="H2771" s="150"/>
    </row>
    <row r="2772" ht="13.65" customHeight="1">
      <c r="A2772" t="s" s="16">
        <v>93</v>
      </c>
      <c r="B2772" t="s" s="16">
        <v>94</v>
      </c>
      <c r="C2772" t="s" s="16">
        <v>95</v>
      </c>
      <c r="D2772" t="s" s="16">
        <v>96</v>
      </c>
      <c r="E2772" t="s" s="16">
        <v>97</v>
      </c>
      <c r="F2772" t="s" s="16">
        <v>98</v>
      </c>
      <c r="G2772" t="s" s="16">
        <v>99</v>
      </c>
      <c r="H2772" s="15"/>
    </row>
    <row r="2773" ht="13.65" customHeight="1">
      <c r="A2773" s="151"/>
      <c r="B2773" s="151"/>
      <c r="C2773" s="19"/>
      <c r="D2773" s="20"/>
      <c r="E2773" s="19"/>
      <c r="F2773" s="19"/>
      <c r="G2773" t="s" s="20">
        <v>100</v>
      </c>
      <c r="H2773" s="15"/>
    </row>
    <row r="2774" ht="13.65" customHeight="1">
      <c r="A2774" s="21">
        <v>72</v>
      </c>
      <c r="B2774" t="s" s="22">
        <v>101</v>
      </c>
      <c r="C2774" s="23">
        <v>50</v>
      </c>
      <c r="D2774" t="s" s="24">
        <v>102</v>
      </c>
      <c r="E2774" s="25">
        <v>1.93</v>
      </c>
      <c r="F2774" s="23">
        <v>25</v>
      </c>
      <c r="G2774" s="152" cm="1">
        <f t="array" ref="G2774">SUM(E2774/F2774)</f>
        <v>0.0772</v>
      </c>
      <c r="H2774" s="15"/>
    </row>
    <row r="2775" ht="13.65" customHeight="1">
      <c r="A2775" s="21">
        <v>123</v>
      </c>
      <c r="B2775" t="s" s="22">
        <v>103</v>
      </c>
      <c r="C2775" s="23">
        <v>40</v>
      </c>
      <c r="D2775" t="s" s="24">
        <v>104</v>
      </c>
      <c r="E2775" s="25">
        <v>3.2</v>
      </c>
      <c r="F2775" s="23">
        <v>40</v>
      </c>
      <c r="G2775" s="152" cm="1">
        <f t="array" ref="G2775">SUM(E2775/F2775)</f>
        <v>0.08</v>
      </c>
      <c r="H2775" s="15"/>
    </row>
    <row r="2776" ht="13.65" customHeight="1">
      <c r="A2776" s="21">
        <v>57</v>
      </c>
      <c r="B2776" t="s" s="22">
        <v>253</v>
      </c>
      <c r="C2776" t="s" s="24">
        <v>254</v>
      </c>
      <c r="D2776" t="s" s="24">
        <v>371</v>
      </c>
      <c r="E2776" s="25">
        <v>4.5</v>
      </c>
      <c r="F2776" s="23">
        <v>33</v>
      </c>
      <c r="G2776" s="152" cm="1">
        <f t="array" ref="G2776">SUM(E2776/F2776)</f>
        <v>0.136363636363636</v>
      </c>
      <c r="H2776" s="15"/>
    </row>
    <row r="2777" ht="13.65" customHeight="1">
      <c r="A2777" s="21">
        <v>65</v>
      </c>
      <c r="B2777" t="s" s="22">
        <v>394</v>
      </c>
      <c r="C2777" s="23">
        <v>500</v>
      </c>
      <c r="D2777" t="s" s="24">
        <v>106</v>
      </c>
      <c r="E2777" s="25">
        <v>26</v>
      </c>
      <c r="F2777" s="23">
        <v>50</v>
      </c>
      <c r="G2777" s="152" cm="1">
        <f t="array" ref="G2777">SUM(E2777/F2777)</f>
        <v>0.52</v>
      </c>
      <c r="H2777" s="15"/>
    </row>
    <row r="2778" ht="13.65" customHeight="1">
      <c r="A2778" s="21">
        <v>86</v>
      </c>
      <c r="B2778" t="s" s="22">
        <v>107</v>
      </c>
      <c r="C2778" s="23">
        <v>1</v>
      </c>
      <c r="D2778" t="s" s="24">
        <v>102</v>
      </c>
      <c r="E2778" s="25">
        <v>0.32</v>
      </c>
      <c r="F2778" t="s" s="24">
        <v>387</v>
      </c>
      <c r="G2778" s="152" cm="1">
        <f t="array" ref="G2778">SUM(E2778*2)</f>
        <v>0.64</v>
      </c>
      <c r="H2778" s="15"/>
    </row>
    <row r="2779" ht="13.65" customHeight="1">
      <c r="A2779" s="21">
        <v>71</v>
      </c>
      <c r="B2779" t="s" s="22">
        <v>109</v>
      </c>
      <c r="C2779" s="23">
        <v>10</v>
      </c>
      <c r="D2779" t="s" s="24">
        <v>102</v>
      </c>
      <c r="E2779" s="25">
        <v>5.92</v>
      </c>
      <c r="F2779" s="23">
        <v>5</v>
      </c>
      <c r="G2779" s="152" cm="1">
        <f t="array" ref="G2779">SUM(E2779/F2779)</f>
        <v>1.184</v>
      </c>
      <c r="H2779" s="15"/>
    </row>
    <row r="2780" ht="13.65" customHeight="1">
      <c r="A2780" s="21">
        <v>87</v>
      </c>
      <c r="B2780" t="s" s="22">
        <v>110</v>
      </c>
      <c r="C2780" s="23">
        <v>50</v>
      </c>
      <c r="D2780" t="s" s="24">
        <v>102</v>
      </c>
      <c r="E2780" s="25">
        <v>9</v>
      </c>
      <c r="F2780" s="23">
        <v>25</v>
      </c>
      <c r="G2780" s="152" cm="1">
        <f t="array" ref="G2780">SUM(E2780/F2780)</f>
        <v>0.36</v>
      </c>
      <c r="H2780" s="15"/>
    </row>
    <row r="2781" ht="13.65" customHeight="1">
      <c r="A2781" s="21">
        <v>55</v>
      </c>
      <c r="B2781" t="s" s="22">
        <v>111</v>
      </c>
      <c r="C2781" t="s" s="24">
        <v>112</v>
      </c>
      <c r="D2781" t="s" s="24">
        <v>113</v>
      </c>
      <c r="E2781" s="25">
        <v>2.71</v>
      </c>
      <c r="F2781" s="23">
        <v>75</v>
      </c>
      <c r="G2781" s="152" cm="1">
        <f t="array" ref="G2781">SUM(E2781/F2781)</f>
        <v>0.0361333333333333</v>
      </c>
      <c r="H2781" s="15"/>
    </row>
    <row r="2782" ht="13.65" customHeight="1">
      <c r="A2782" s="21">
        <v>10</v>
      </c>
      <c r="B2782" t="s" s="22">
        <v>395</v>
      </c>
      <c r="C2782" t="s" s="24">
        <v>396</v>
      </c>
      <c r="D2782" t="s" s="24">
        <v>714</v>
      </c>
      <c r="E2782" s="25">
        <v>3.92</v>
      </c>
      <c r="F2782" s="23">
        <v>50</v>
      </c>
      <c r="G2782" s="152" cm="1">
        <f t="array" ref="G2782">SUM(E2782/F2782)</f>
        <v>0.0784</v>
      </c>
      <c r="H2782" s="15"/>
    </row>
    <row r="2783" ht="13.65" customHeight="1">
      <c r="A2783" s="21">
        <v>9</v>
      </c>
      <c r="B2783" t="s" s="22">
        <v>398</v>
      </c>
      <c r="C2783" s="23">
        <v>50</v>
      </c>
      <c r="D2783" t="s" s="24">
        <v>256</v>
      </c>
      <c r="E2783" s="25">
        <v>14</v>
      </c>
      <c r="F2783" s="23">
        <v>16</v>
      </c>
      <c r="G2783" s="152" cm="1">
        <f t="array" ref="G2783">SUM(E2783/F2783)</f>
        <v>0.875</v>
      </c>
      <c r="H2783" s="15"/>
    </row>
    <row r="2784" ht="13.65" customHeight="1">
      <c r="A2784" s="21">
        <v>6</v>
      </c>
      <c r="B2784" t="s" s="22">
        <v>399</v>
      </c>
      <c r="C2784" s="23">
        <v>100</v>
      </c>
      <c r="D2784" t="s" s="24">
        <v>104</v>
      </c>
      <c r="E2784" s="25">
        <v>19</v>
      </c>
      <c r="F2784" s="23">
        <v>100</v>
      </c>
      <c r="G2784" s="152" cm="1">
        <f t="array" ref="G2784">SUM(E2784/F2784)</f>
        <v>0.19</v>
      </c>
      <c r="H2784" s="15"/>
    </row>
    <row r="2785" ht="13.65" customHeight="1">
      <c r="A2785" s="21">
        <v>23</v>
      </c>
      <c r="B2785" t="s" s="22">
        <v>488</v>
      </c>
      <c r="C2785" s="23">
        <v>1</v>
      </c>
      <c r="D2785" t="s" s="24">
        <v>104</v>
      </c>
      <c r="E2785" s="25">
        <v>11</v>
      </c>
      <c r="F2785" s="23">
        <v>1</v>
      </c>
      <c r="G2785" s="152" cm="1">
        <f t="array" ref="G2785">SUM(E2785/F2785)</f>
        <v>11</v>
      </c>
      <c r="H2785" s="15"/>
    </row>
    <row r="2786" ht="13.65" customHeight="1">
      <c r="A2786" s="21">
        <v>44</v>
      </c>
      <c r="B2786" t="s" s="22">
        <v>400</v>
      </c>
      <c r="C2786" s="23">
        <v>1</v>
      </c>
      <c r="D2786" t="s" s="24">
        <v>401</v>
      </c>
      <c r="E2786" s="25">
        <v>74</v>
      </c>
      <c r="F2786" s="23">
        <v>30</v>
      </c>
      <c r="G2786" s="152" cm="1">
        <f t="array" ref="G2786">SUM(E2786/F2786)</f>
        <v>2.46666666666667</v>
      </c>
      <c r="H2786" s="15"/>
    </row>
    <row r="2787" ht="13.65" customHeight="1">
      <c r="A2787" s="21">
        <v>119</v>
      </c>
      <c r="B2787" t="s" s="22">
        <v>467</v>
      </c>
      <c r="C2787" s="23">
        <v>1</v>
      </c>
      <c r="D2787" t="s" s="24">
        <v>468</v>
      </c>
      <c r="E2787" s="25">
        <v>0.45</v>
      </c>
      <c r="F2787" s="23">
        <v>1</v>
      </c>
      <c r="G2787" s="152" cm="1">
        <f t="array" ref="G2787">SUM(E2787/F2787)</f>
        <v>0.45</v>
      </c>
      <c r="H2787" s="15"/>
    </row>
    <row r="2788" ht="13.65" customHeight="1">
      <c r="A2788" s="21">
        <v>122</v>
      </c>
      <c r="B2788" t="s" s="22">
        <v>489</v>
      </c>
      <c r="C2788" t="s" s="24">
        <v>490</v>
      </c>
      <c r="D2788" t="s" s="24">
        <v>491</v>
      </c>
      <c r="E2788" s="25">
        <v>1.7</v>
      </c>
      <c r="F2788" s="23">
        <v>10</v>
      </c>
      <c r="G2788" s="152" cm="1">
        <f t="array" ref="G2788">SUM(E2788/F2788)</f>
        <v>0.17</v>
      </c>
      <c r="H2788" s="15"/>
    </row>
    <row r="2789" ht="13.65" customHeight="1">
      <c r="A2789" s="21">
        <v>36</v>
      </c>
      <c r="B2789" t="s" s="22">
        <v>496</v>
      </c>
      <c r="C2789" t="s" s="24">
        <v>497</v>
      </c>
      <c r="D2789" t="s" s="24">
        <v>498</v>
      </c>
      <c r="E2789" s="25">
        <v>13</v>
      </c>
      <c r="F2789" s="23">
        <v>16</v>
      </c>
      <c r="G2789" s="152" cm="1">
        <f t="array" ref="G2789">SUM(E2789/F2789)</f>
        <v>0.8125</v>
      </c>
      <c r="H2789" s="15"/>
    </row>
    <row r="2790" ht="13.65" customHeight="1">
      <c r="A2790" s="28"/>
      <c r="B2790" s="28"/>
      <c r="C2790" s="27"/>
      <c r="D2790" s="24"/>
      <c r="E2790" s="27"/>
      <c r="F2790" t="s" s="29">
        <v>118</v>
      </c>
      <c r="G2790" s="197" cm="1">
        <f t="array" ref="G2790">SUM(G2774:G2789)</f>
        <v>19.0762636363636</v>
      </c>
      <c r="H2790" s="15"/>
    </row>
    <row r="2791" ht="13.65" customHeight="1">
      <c r="A2791" s="129"/>
      <c r="B2791" s="129"/>
      <c r="C2791" s="129"/>
      <c r="D2791" s="129"/>
      <c r="E2791" s="129"/>
      <c r="F2791" s="31"/>
      <c r="G2791" s="31"/>
      <c r="H2791" s="3"/>
    </row>
    <row r="2792" ht="11.7" customHeight="1">
      <c r="A2792" t="s" s="167">
        <v>136</v>
      </c>
      <c r="B2792" t="s" s="167">
        <v>281</v>
      </c>
      <c r="C2792" t="s" s="167">
        <v>282</v>
      </c>
      <c r="D2792" t="s" s="168">
        <v>283</v>
      </c>
      <c r="E2792" s="169"/>
      <c r="F2792" s="170"/>
      <c r="G2792" s="171"/>
      <c r="H2792" s="171"/>
    </row>
    <row r="2793" ht="13.65" customHeight="1">
      <c r="A2793" s="23">
        <v>60</v>
      </c>
      <c r="B2793" s="172" cm="1">
        <f t="array" ref="B2793">SUM(H256)</f>
        <v>2.47496540404041</v>
      </c>
      <c r="C2793" s="172" cm="1">
        <f t="array" ref="C2793">SUM(G2790)</f>
        <v>19.0762636363636</v>
      </c>
      <c r="D2793" s="199" cm="1">
        <f t="array" ref="D2793">SUM(A2793*B2793)+(C2793)</f>
        <v>167.574187878788</v>
      </c>
      <c r="E2793" s="200"/>
      <c r="F2793" s="15"/>
      <c r="G2793" s="3"/>
      <c r="H2793" s="3"/>
    </row>
    <row r="2794" ht="13.65" customHeight="1">
      <c r="A2794" s="31"/>
      <c r="B2794" s="31"/>
      <c r="C2794" s="31"/>
      <c r="D2794" s="31"/>
      <c r="E2794" s="31"/>
      <c r="F2794" s="3"/>
      <c r="G2794" s="3"/>
      <c r="H2794" s="3"/>
    </row>
    <row r="2795" ht="13.65" customHeight="1">
      <c r="A2795" t="s" s="145">
        <v>715</v>
      </c>
      <c r="B2795" s="3"/>
      <c r="C2795" s="3"/>
      <c r="D2795" s="3"/>
      <c r="E2795" s="3"/>
      <c r="F2795" s="3"/>
      <c r="G2795" s="3"/>
      <c r="H2795" s="3"/>
    </row>
    <row r="2796" ht="13.65" customHeight="1">
      <c r="A2796" s="3"/>
      <c r="B2796" s="3"/>
      <c r="C2796" s="3"/>
      <c r="D2796" s="3"/>
      <c r="E2796" s="3"/>
      <c r="F2796" s="3"/>
      <c r="G2796" s="3"/>
      <c r="H2796" s="3"/>
    </row>
    <row r="2797" ht="13.65" customHeight="1">
      <c r="A2797" s="3"/>
      <c r="B2797" s="3"/>
      <c r="C2797" s="3"/>
      <c r="D2797" s="3"/>
      <c r="E2797" s="3"/>
      <c r="F2797" s="3"/>
      <c r="G2797" s="3"/>
      <c r="H2797" s="3"/>
    </row>
    <row r="2798" ht="13.65" customHeight="1">
      <c r="A2798" t="s" s="5">
        <v>716</v>
      </c>
      <c r="B2798" s="3"/>
      <c r="C2798" s="3"/>
      <c r="D2798" s="3"/>
      <c r="E2798" s="3"/>
      <c r="F2798" s="3"/>
      <c r="G2798" s="3"/>
      <c r="H2798" s="3"/>
    </row>
    <row r="2799" ht="13.65" customHeight="1">
      <c r="A2799" s="11"/>
      <c r="B2799" s="11"/>
      <c r="C2799" s="11"/>
      <c r="D2799" s="11"/>
      <c r="E2799" s="11"/>
      <c r="F2799" s="11"/>
      <c r="G2799" s="11"/>
      <c r="H2799" s="3"/>
    </row>
    <row r="2800" ht="13.65" customHeight="1">
      <c r="A2800" s="12"/>
      <c r="B2800" s="12"/>
      <c r="C2800" s="13"/>
      <c r="D2800" s="14"/>
      <c r="E2800" s="13"/>
      <c r="F2800" s="13"/>
      <c r="G2800" t="s" s="14">
        <v>252</v>
      </c>
      <c r="H2800" s="150"/>
    </row>
    <row r="2801" ht="13.65" customHeight="1">
      <c r="A2801" t="s" s="16">
        <v>93</v>
      </c>
      <c r="B2801" t="s" s="16">
        <v>94</v>
      </c>
      <c r="C2801" t="s" s="16">
        <v>95</v>
      </c>
      <c r="D2801" t="s" s="16">
        <v>96</v>
      </c>
      <c r="E2801" t="s" s="16">
        <v>97</v>
      </c>
      <c r="F2801" t="s" s="16">
        <v>98</v>
      </c>
      <c r="G2801" t="s" s="16">
        <v>99</v>
      </c>
      <c r="H2801" s="15"/>
    </row>
    <row r="2802" ht="13.65" customHeight="1">
      <c r="A2802" s="151"/>
      <c r="B2802" s="151"/>
      <c r="C2802" s="19"/>
      <c r="D2802" s="20"/>
      <c r="E2802" s="19"/>
      <c r="F2802" s="19"/>
      <c r="G2802" t="s" s="20">
        <v>100</v>
      </c>
      <c r="H2802" s="15"/>
    </row>
    <row r="2803" ht="13.65" customHeight="1">
      <c r="A2803" s="21">
        <v>72</v>
      </c>
      <c r="B2803" t="s" s="22">
        <v>101</v>
      </c>
      <c r="C2803" s="23">
        <v>50</v>
      </c>
      <c r="D2803" t="s" s="24">
        <v>102</v>
      </c>
      <c r="E2803" s="25">
        <v>1.93</v>
      </c>
      <c r="F2803" s="23">
        <v>25</v>
      </c>
      <c r="G2803" s="152" cm="1">
        <f t="array" ref="G2803">SUM(E2803/F2803)</f>
        <v>0.0772</v>
      </c>
      <c r="H2803" s="15"/>
    </row>
    <row r="2804" ht="13.65" customHeight="1">
      <c r="A2804" s="21">
        <v>123</v>
      </c>
      <c r="B2804" t="s" s="22">
        <v>103</v>
      </c>
      <c r="C2804" s="23">
        <v>40</v>
      </c>
      <c r="D2804" t="s" s="24">
        <v>104</v>
      </c>
      <c r="E2804" s="25">
        <v>3.2</v>
      </c>
      <c r="F2804" s="23">
        <v>40</v>
      </c>
      <c r="G2804" s="152" cm="1">
        <f t="array" ref="G2804">SUM(E2804/F2804)</f>
        <v>0.08</v>
      </c>
      <c r="H2804" s="15"/>
    </row>
    <row r="2805" ht="13.65" customHeight="1">
      <c r="A2805" s="21">
        <v>57</v>
      </c>
      <c r="B2805" t="s" s="22">
        <v>253</v>
      </c>
      <c r="C2805" t="s" s="24">
        <v>254</v>
      </c>
      <c r="D2805" t="s" s="24">
        <v>371</v>
      </c>
      <c r="E2805" s="25">
        <v>4.5</v>
      </c>
      <c r="F2805" s="23">
        <v>33</v>
      </c>
      <c r="G2805" s="152" cm="1">
        <f t="array" ref="G2805">SUM(E2805/F2805)</f>
        <v>0.136363636363636</v>
      </c>
      <c r="H2805" s="15"/>
    </row>
    <row r="2806" ht="13.65" customHeight="1">
      <c r="A2806" s="21">
        <v>65</v>
      </c>
      <c r="B2806" t="s" s="22">
        <v>394</v>
      </c>
      <c r="C2806" s="23">
        <v>500</v>
      </c>
      <c r="D2806" t="s" s="24">
        <v>106</v>
      </c>
      <c r="E2806" s="25">
        <v>26</v>
      </c>
      <c r="F2806" s="23">
        <v>50</v>
      </c>
      <c r="G2806" s="152" cm="1">
        <f t="array" ref="G2806">SUM(E2806/F2806)</f>
        <v>0.52</v>
      </c>
      <c r="H2806" s="15"/>
    </row>
    <row r="2807" ht="13.65" customHeight="1">
      <c r="A2807" s="21">
        <v>86</v>
      </c>
      <c r="B2807" t="s" s="22">
        <v>107</v>
      </c>
      <c r="C2807" s="23">
        <v>1</v>
      </c>
      <c r="D2807" t="s" s="24">
        <v>102</v>
      </c>
      <c r="E2807" s="25">
        <v>0.32</v>
      </c>
      <c r="F2807" t="s" s="24">
        <v>387</v>
      </c>
      <c r="G2807" s="152" cm="1">
        <f t="array" ref="G2807">SUM(E2807*2)</f>
        <v>0.64</v>
      </c>
      <c r="H2807" s="15"/>
    </row>
    <row r="2808" ht="13.65" customHeight="1">
      <c r="A2808" s="21">
        <v>71</v>
      </c>
      <c r="B2808" t="s" s="22">
        <v>109</v>
      </c>
      <c r="C2808" s="23">
        <v>10</v>
      </c>
      <c r="D2808" t="s" s="24">
        <v>102</v>
      </c>
      <c r="E2808" s="25">
        <v>5.92</v>
      </c>
      <c r="F2808" s="23">
        <v>5</v>
      </c>
      <c r="G2808" s="152" cm="1">
        <f t="array" ref="G2808">SUM(E2808/F2808)</f>
        <v>1.184</v>
      </c>
      <c r="H2808" s="15"/>
    </row>
    <row r="2809" ht="13.65" customHeight="1">
      <c r="A2809" s="21">
        <v>87</v>
      </c>
      <c r="B2809" t="s" s="22">
        <v>110</v>
      </c>
      <c r="C2809" s="23">
        <v>50</v>
      </c>
      <c r="D2809" t="s" s="24">
        <v>102</v>
      </c>
      <c r="E2809" s="25">
        <v>9</v>
      </c>
      <c r="F2809" s="23">
        <v>25</v>
      </c>
      <c r="G2809" s="152" cm="1">
        <f t="array" ref="G2809">SUM(E2809/F2809)</f>
        <v>0.36</v>
      </c>
      <c r="H2809" s="15"/>
    </row>
    <row r="2810" ht="13.65" customHeight="1">
      <c r="A2810" s="21">
        <v>55</v>
      </c>
      <c r="B2810" t="s" s="22">
        <v>111</v>
      </c>
      <c r="C2810" t="s" s="24">
        <v>112</v>
      </c>
      <c r="D2810" t="s" s="24">
        <v>113</v>
      </c>
      <c r="E2810" s="25">
        <v>2.71</v>
      </c>
      <c r="F2810" s="23">
        <v>75</v>
      </c>
      <c r="G2810" s="152" cm="1">
        <f t="array" ref="G2810">SUM(E2810/F2810)</f>
        <v>0.0361333333333333</v>
      </c>
      <c r="H2810" s="15"/>
    </row>
    <row r="2811" ht="13.65" customHeight="1">
      <c r="A2811" s="21">
        <v>10</v>
      </c>
      <c r="B2811" t="s" s="22">
        <v>395</v>
      </c>
      <c r="C2811" t="s" s="24">
        <v>396</v>
      </c>
      <c r="D2811" t="s" s="24">
        <v>714</v>
      </c>
      <c r="E2811" s="25">
        <v>3.92</v>
      </c>
      <c r="F2811" s="23">
        <v>50</v>
      </c>
      <c r="G2811" s="152" cm="1">
        <f t="array" ref="G2811">SUM(E2811/F2811)</f>
        <v>0.0784</v>
      </c>
      <c r="H2811" s="15"/>
    </row>
    <row r="2812" ht="13.65" customHeight="1">
      <c r="A2812" s="21">
        <v>9</v>
      </c>
      <c r="B2812" t="s" s="22">
        <v>398</v>
      </c>
      <c r="C2812" s="23">
        <v>50</v>
      </c>
      <c r="D2812" t="s" s="24">
        <v>256</v>
      </c>
      <c r="E2812" s="25">
        <v>14</v>
      </c>
      <c r="F2812" s="23">
        <v>16</v>
      </c>
      <c r="G2812" s="152" cm="1">
        <f t="array" ref="G2812">SUM(E2812/F2812)</f>
        <v>0.875</v>
      </c>
      <c r="H2812" s="15"/>
    </row>
    <row r="2813" ht="13.65" customHeight="1">
      <c r="A2813" s="21">
        <v>6</v>
      </c>
      <c r="B2813" t="s" s="22">
        <v>399</v>
      </c>
      <c r="C2813" s="23">
        <v>100</v>
      </c>
      <c r="D2813" t="s" s="24">
        <v>104</v>
      </c>
      <c r="E2813" s="25">
        <v>19</v>
      </c>
      <c r="F2813" s="23">
        <v>100</v>
      </c>
      <c r="G2813" s="152" cm="1">
        <f t="array" ref="G2813">SUM(E2813/F2813)</f>
        <v>0.19</v>
      </c>
      <c r="H2813" s="15"/>
    </row>
    <row r="2814" ht="13.65" customHeight="1">
      <c r="A2814" s="21">
        <v>23</v>
      </c>
      <c r="B2814" t="s" s="22">
        <v>488</v>
      </c>
      <c r="C2814" s="23">
        <v>1</v>
      </c>
      <c r="D2814" t="s" s="24">
        <v>104</v>
      </c>
      <c r="E2814" s="25">
        <v>11</v>
      </c>
      <c r="F2814" s="23">
        <v>1</v>
      </c>
      <c r="G2814" s="152" cm="1">
        <f t="array" ref="G2814">SUM(E2814/F2814)</f>
        <v>11</v>
      </c>
      <c r="H2814" s="15"/>
    </row>
    <row r="2815" ht="13.65" customHeight="1">
      <c r="A2815" s="21">
        <v>44</v>
      </c>
      <c r="B2815" t="s" s="22">
        <v>400</v>
      </c>
      <c r="C2815" s="23">
        <v>1</v>
      </c>
      <c r="D2815" t="s" s="24">
        <v>401</v>
      </c>
      <c r="E2815" s="25">
        <v>74</v>
      </c>
      <c r="F2815" s="23">
        <v>30</v>
      </c>
      <c r="G2815" s="152" cm="1">
        <f t="array" ref="G2815">SUM(E2815/F2815)</f>
        <v>2.46666666666667</v>
      </c>
      <c r="H2815" s="15"/>
    </row>
    <row r="2816" ht="13.65" customHeight="1">
      <c r="A2816" s="21">
        <v>119</v>
      </c>
      <c r="B2816" t="s" s="22">
        <v>467</v>
      </c>
      <c r="C2816" s="23">
        <v>1</v>
      </c>
      <c r="D2816" t="s" s="24">
        <v>468</v>
      </c>
      <c r="E2816" s="25">
        <v>0.45</v>
      </c>
      <c r="F2816" s="23">
        <v>1</v>
      </c>
      <c r="G2816" s="152" cm="1">
        <f t="array" ref="G2816">SUM(E2816/F2816)</f>
        <v>0.45</v>
      </c>
      <c r="H2816" s="15"/>
    </row>
    <row r="2817" ht="13.65" customHeight="1">
      <c r="A2817" s="21">
        <v>122</v>
      </c>
      <c r="B2817" t="s" s="22">
        <v>489</v>
      </c>
      <c r="C2817" t="s" s="24">
        <v>490</v>
      </c>
      <c r="D2817" t="s" s="24">
        <v>491</v>
      </c>
      <c r="E2817" s="25">
        <v>1.7</v>
      </c>
      <c r="F2817" s="23">
        <v>10</v>
      </c>
      <c r="G2817" s="152" cm="1">
        <f t="array" ref="G2817">SUM(E2817/F2817)</f>
        <v>0.17</v>
      </c>
      <c r="H2817" s="15"/>
    </row>
    <row r="2818" ht="13.65" customHeight="1">
      <c r="A2818" s="21">
        <v>36</v>
      </c>
      <c r="B2818" t="s" s="22">
        <v>496</v>
      </c>
      <c r="C2818" t="s" s="24">
        <v>497</v>
      </c>
      <c r="D2818" t="s" s="24">
        <v>498</v>
      </c>
      <c r="E2818" s="25">
        <v>13</v>
      </c>
      <c r="F2818" s="23">
        <v>16</v>
      </c>
      <c r="G2818" s="152" cm="1">
        <f t="array" ref="G2818">SUM(E2818/F2818)</f>
        <v>0.8125</v>
      </c>
      <c r="H2818" s="15"/>
    </row>
    <row r="2819" ht="13.65" customHeight="1">
      <c r="A2819" s="28"/>
      <c r="B2819" s="28"/>
      <c r="C2819" s="27"/>
      <c r="D2819" s="24"/>
      <c r="E2819" s="27"/>
      <c r="F2819" t="s" s="29">
        <v>118</v>
      </c>
      <c r="G2819" s="197" cm="1">
        <f t="array" ref="G2819">SUM(G2803:G2818)</f>
        <v>19.0762636363636</v>
      </c>
      <c r="H2819" s="15"/>
    </row>
    <row r="2820" ht="13.65" customHeight="1">
      <c r="A2820" s="129"/>
      <c r="B2820" s="129"/>
      <c r="C2820" s="129"/>
      <c r="D2820" s="129"/>
      <c r="E2820" s="129"/>
      <c r="F2820" s="31"/>
      <c r="G2820" s="31"/>
      <c r="H2820" s="3"/>
    </row>
    <row r="2821" ht="11.7" customHeight="1">
      <c r="A2821" t="s" s="167">
        <v>136</v>
      </c>
      <c r="B2821" t="s" s="167">
        <v>281</v>
      </c>
      <c r="C2821" t="s" s="167">
        <v>282</v>
      </c>
      <c r="D2821" t="s" s="168">
        <v>283</v>
      </c>
      <c r="E2821" s="169"/>
      <c r="F2821" s="170"/>
      <c r="G2821" s="171"/>
      <c r="H2821" s="171"/>
    </row>
    <row r="2822" ht="13.65" customHeight="1">
      <c r="A2822" s="23">
        <v>50</v>
      </c>
      <c r="B2822" s="172" cm="1">
        <f t="array" ref="B2822">SUM(H256)</f>
        <v>2.47496540404041</v>
      </c>
      <c r="C2822" s="172" cm="1">
        <f t="array" ref="C2822">SUM(G2819)</f>
        <v>19.0762636363636</v>
      </c>
      <c r="D2822" s="199" cm="1">
        <f t="array" ref="D2822">SUM(A2822*B2822)+(C2822)</f>
        <v>142.824533838384</v>
      </c>
      <c r="E2822" s="200"/>
      <c r="F2822" s="15"/>
      <c r="G2822" s="3"/>
      <c r="H2822" s="3"/>
    </row>
    <row r="2823" ht="13.65" customHeight="1">
      <c r="A2823" t="s" s="300">
        <v>717</v>
      </c>
      <c r="B2823" s="289"/>
      <c r="C2823" s="289"/>
      <c r="D2823" s="289"/>
      <c r="E2823" s="289"/>
      <c r="F2823" s="203"/>
      <c r="G2823" s="203"/>
      <c r="H2823" s="203"/>
    </row>
    <row r="2824" ht="13.65" customHeight="1">
      <c r="A2824" t="s" s="274">
        <v>185</v>
      </c>
      <c r="B2824" s="275"/>
      <c r="C2824" s="275"/>
      <c r="D2824" s="275"/>
      <c r="E2824" s="280"/>
      <c r="F2824" s="275"/>
      <c r="G2824" s="275"/>
      <c r="H2824" s="277"/>
    </row>
    <row r="2825" ht="13.65" customHeight="1">
      <c r="A2825" s="278"/>
      <c r="B2825" s="278"/>
      <c r="C2825" s="278"/>
      <c r="D2825" s="278"/>
      <c r="E2825" s="278"/>
      <c r="F2825" s="278"/>
      <c r="G2825" s="278"/>
      <c r="H2825" s="278"/>
    </row>
    <row r="2826" ht="13.65" customHeight="1">
      <c r="A2826" s="3"/>
      <c r="B2826" s="3"/>
      <c r="C2826" s="3"/>
      <c r="D2826" s="3"/>
      <c r="E2826" s="3"/>
      <c r="F2826" s="3"/>
      <c r="G2826" s="3"/>
      <c r="H2826" s="3"/>
    </row>
    <row r="2827" ht="13.65" customHeight="1">
      <c r="A2827" t="s" s="5">
        <v>718</v>
      </c>
      <c r="B2827" s="3"/>
      <c r="C2827" s="3"/>
      <c r="D2827" s="3"/>
      <c r="E2827" s="3"/>
      <c r="F2827" s="3"/>
      <c r="G2827" s="3"/>
      <c r="H2827" s="3"/>
    </row>
    <row r="2828" ht="13.65" customHeight="1">
      <c r="A2828" s="11"/>
      <c r="B2828" s="11"/>
      <c r="C2828" s="11"/>
      <c r="D2828" s="11"/>
      <c r="E2828" s="11"/>
      <c r="F2828" s="11"/>
      <c r="G2828" s="11"/>
      <c r="H2828" s="3"/>
    </row>
    <row r="2829" ht="13.65" customHeight="1">
      <c r="A2829" s="12"/>
      <c r="B2829" s="12"/>
      <c r="C2829" s="13"/>
      <c r="D2829" s="14"/>
      <c r="E2829" s="13"/>
      <c r="F2829" s="13"/>
      <c r="G2829" t="s" s="14">
        <v>252</v>
      </c>
      <c r="H2829" s="150"/>
    </row>
    <row r="2830" ht="13.65" customHeight="1">
      <c r="A2830" t="s" s="16">
        <v>93</v>
      </c>
      <c r="B2830" t="s" s="16">
        <v>94</v>
      </c>
      <c r="C2830" t="s" s="16">
        <v>95</v>
      </c>
      <c r="D2830" t="s" s="16">
        <v>96</v>
      </c>
      <c r="E2830" t="s" s="16">
        <v>97</v>
      </c>
      <c r="F2830" t="s" s="16">
        <v>98</v>
      </c>
      <c r="G2830" t="s" s="16">
        <v>99</v>
      </c>
      <c r="H2830" s="15"/>
    </row>
    <row r="2831" ht="13.65" customHeight="1">
      <c r="A2831" s="151"/>
      <c r="B2831" s="151"/>
      <c r="C2831" s="19"/>
      <c r="D2831" s="20"/>
      <c r="E2831" s="19"/>
      <c r="F2831" s="19"/>
      <c r="G2831" t="s" s="20">
        <v>100</v>
      </c>
      <c r="H2831" s="15"/>
    </row>
    <row r="2832" ht="13.65" customHeight="1">
      <c r="A2832" s="21">
        <v>72</v>
      </c>
      <c r="B2832" t="s" s="22">
        <v>101</v>
      </c>
      <c r="C2832" s="23">
        <v>50</v>
      </c>
      <c r="D2832" t="s" s="24">
        <v>102</v>
      </c>
      <c r="E2832" s="25">
        <v>1.93</v>
      </c>
      <c r="F2832" s="23">
        <v>25</v>
      </c>
      <c r="G2832" s="152" cm="1">
        <f t="array" ref="G2832">SUM(E2832/F2832)</f>
        <v>0.0772</v>
      </c>
      <c r="H2832" s="15"/>
    </row>
    <row r="2833" ht="13.65" customHeight="1">
      <c r="A2833" s="21">
        <v>123</v>
      </c>
      <c r="B2833" t="s" s="22">
        <v>103</v>
      </c>
      <c r="C2833" s="23">
        <v>40</v>
      </c>
      <c r="D2833" t="s" s="24">
        <v>104</v>
      </c>
      <c r="E2833" s="25">
        <v>3.2</v>
      </c>
      <c r="F2833" s="23">
        <v>40</v>
      </c>
      <c r="G2833" s="152" cm="1">
        <f t="array" ref="G2833">SUM(E2833/F2833)</f>
        <v>0.08</v>
      </c>
      <c r="H2833" s="15"/>
    </row>
    <row r="2834" ht="13.65" customHeight="1">
      <c r="A2834" s="21">
        <v>57</v>
      </c>
      <c r="B2834" t="s" s="22">
        <v>253</v>
      </c>
      <c r="C2834" t="s" s="24">
        <v>254</v>
      </c>
      <c r="D2834" t="s" s="24">
        <v>371</v>
      </c>
      <c r="E2834" s="25">
        <v>4.5</v>
      </c>
      <c r="F2834" s="23">
        <v>33</v>
      </c>
      <c r="G2834" s="152" cm="1">
        <f t="array" ref="G2834">SUM(E2834/F2834)</f>
        <v>0.136363636363636</v>
      </c>
      <c r="H2834" s="15"/>
    </row>
    <row r="2835" ht="13.65" customHeight="1">
      <c r="A2835" s="21">
        <v>65</v>
      </c>
      <c r="B2835" t="s" s="22">
        <v>394</v>
      </c>
      <c r="C2835" t="s" s="24">
        <v>490</v>
      </c>
      <c r="D2835" t="s" s="24">
        <v>261</v>
      </c>
      <c r="E2835" s="25">
        <v>26</v>
      </c>
      <c r="F2835" s="23">
        <v>25</v>
      </c>
      <c r="G2835" s="152" cm="1">
        <f t="array" ref="G2835">SUM(E2835/F2835)</f>
        <v>1.04</v>
      </c>
      <c r="H2835" s="15"/>
    </row>
    <row r="2836" ht="13.65" customHeight="1">
      <c r="A2836" s="21">
        <v>86</v>
      </c>
      <c r="B2836" t="s" s="22">
        <v>107</v>
      </c>
      <c r="C2836" s="23">
        <v>1</v>
      </c>
      <c r="D2836" t="s" s="24">
        <v>102</v>
      </c>
      <c r="E2836" s="25">
        <v>0.32</v>
      </c>
      <c r="F2836" t="s" s="24">
        <v>387</v>
      </c>
      <c r="G2836" s="152" cm="1">
        <f t="array" ref="G2836">SUM(E2836*2)</f>
        <v>0.64</v>
      </c>
      <c r="H2836" s="15"/>
    </row>
    <row r="2837" ht="13.65" customHeight="1">
      <c r="A2837" s="21">
        <v>71</v>
      </c>
      <c r="B2837" t="s" s="22">
        <v>109</v>
      </c>
      <c r="C2837" s="23">
        <v>10</v>
      </c>
      <c r="D2837" t="s" s="24">
        <v>102</v>
      </c>
      <c r="E2837" s="25">
        <v>5.92</v>
      </c>
      <c r="F2837" s="23">
        <v>5</v>
      </c>
      <c r="G2837" s="152" cm="1">
        <f t="array" ref="G2837">SUM(E2837/F2837)</f>
        <v>1.184</v>
      </c>
      <c r="H2837" s="15"/>
    </row>
    <row r="2838" ht="13.65" customHeight="1">
      <c r="A2838" s="21">
        <v>87</v>
      </c>
      <c r="B2838" t="s" s="22">
        <v>110</v>
      </c>
      <c r="C2838" s="23">
        <v>50</v>
      </c>
      <c r="D2838" t="s" s="24">
        <v>102</v>
      </c>
      <c r="E2838" s="25">
        <v>9</v>
      </c>
      <c r="F2838" s="23">
        <v>25</v>
      </c>
      <c r="G2838" s="152" cm="1">
        <f t="array" ref="G2838">SUM(E2838/F2838)</f>
        <v>0.36</v>
      </c>
      <c r="H2838" s="15"/>
    </row>
    <row r="2839" ht="13.65" customHeight="1">
      <c r="A2839" s="21">
        <v>55</v>
      </c>
      <c r="B2839" t="s" s="22">
        <v>111</v>
      </c>
      <c r="C2839" t="s" s="24">
        <v>112</v>
      </c>
      <c r="D2839" t="s" s="24">
        <v>113</v>
      </c>
      <c r="E2839" s="25">
        <v>2.71</v>
      </c>
      <c r="F2839" s="23">
        <v>75</v>
      </c>
      <c r="G2839" s="152" cm="1">
        <f t="array" ref="G2839">SUM(E2839/F2839)</f>
        <v>0.0361333333333333</v>
      </c>
      <c r="H2839" s="15"/>
    </row>
    <row r="2840" ht="13.65" customHeight="1">
      <c r="A2840" s="21">
        <v>10</v>
      </c>
      <c r="B2840" t="s" s="22">
        <v>395</v>
      </c>
      <c r="C2840" t="s" s="24">
        <v>396</v>
      </c>
      <c r="D2840" t="s" s="24">
        <v>397</v>
      </c>
      <c r="E2840" s="25">
        <v>3.92</v>
      </c>
      <c r="F2840" s="23">
        <v>50</v>
      </c>
      <c r="G2840" s="152" cm="1">
        <f t="array" ref="G2840">SUM(E2840/F2840)</f>
        <v>0.0784</v>
      </c>
      <c r="H2840" s="15"/>
    </row>
    <row r="2841" ht="13.65" customHeight="1">
      <c r="A2841" s="21">
        <v>9</v>
      </c>
      <c r="B2841" t="s" s="22">
        <v>398</v>
      </c>
      <c r="C2841" s="23">
        <v>50</v>
      </c>
      <c r="D2841" t="s" s="24">
        <v>256</v>
      </c>
      <c r="E2841" s="25">
        <v>14</v>
      </c>
      <c r="F2841" s="23">
        <v>16</v>
      </c>
      <c r="G2841" s="152" cm="1">
        <f t="array" ref="G2841">SUM(E2841/F2841)</f>
        <v>0.875</v>
      </c>
      <c r="H2841" s="15"/>
    </row>
    <row r="2842" ht="13.65" customHeight="1">
      <c r="A2842" s="21">
        <v>6</v>
      </c>
      <c r="B2842" t="s" s="22">
        <v>399</v>
      </c>
      <c r="C2842" s="23">
        <v>100</v>
      </c>
      <c r="D2842" t="s" s="24">
        <v>104</v>
      </c>
      <c r="E2842" s="25">
        <v>19</v>
      </c>
      <c r="F2842" s="23">
        <v>100</v>
      </c>
      <c r="G2842" s="152" cm="1">
        <f t="array" ref="G2842">SUM(E2842/F2842)</f>
        <v>0.19</v>
      </c>
      <c r="H2842" s="15"/>
    </row>
    <row r="2843" ht="13.65" customHeight="1">
      <c r="A2843" s="21">
        <v>23</v>
      </c>
      <c r="B2843" t="s" s="22">
        <v>488</v>
      </c>
      <c r="C2843" s="23">
        <v>1</v>
      </c>
      <c r="D2843" t="s" s="24">
        <v>104</v>
      </c>
      <c r="E2843" s="25">
        <v>11</v>
      </c>
      <c r="F2843" s="23">
        <v>1</v>
      </c>
      <c r="G2843" s="152" cm="1">
        <f t="array" ref="G2843">SUM(E2843/F2843)</f>
        <v>11</v>
      </c>
      <c r="H2843" s="15"/>
    </row>
    <row r="2844" ht="13.65" customHeight="1">
      <c r="A2844" s="21">
        <v>44</v>
      </c>
      <c r="B2844" t="s" s="22">
        <v>400</v>
      </c>
      <c r="C2844" s="23">
        <v>1</v>
      </c>
      <c r="D2844" t="s" s="24">
        <v>401</v>
      </c>
      <c r="E2844" s="25">
        <v>74</v>
      </c>
      <c r="F2844" s="23">
        <v>30</v>
      </c>
      <c r="G2844" s="152" cm="1">
        <f t="array" ref="G2844">SUM(E2844/F2844)</f>
        <v>2.46666666666667</v>
      </c>
      <c r="H2844" s="15"/>
    </row>
    <row r="2845" ht="13.65" customHeight="1">
      <c r="A2845" s="21">
        <v>119</v>
      </c>
      <c r="B2845" t="s" s="22">
        <v>467</v>
      </c>
      <c r="C2845" s="23">
        <v>1</v>
      </c>
      <c r="D2845" t="s" s="24">
        <v>468</v>
      </c>
      <c r="E2845" s="25">
        <v>0.45</v>
      </c>
      <c r="F2845" s="23">
        <v>1</v>
      </c>
      <c r="G2845" s="152" cm="1">
        <f t="array" ref="G2845">SUM(E2845/F2845)</f>
        <v>0.45</v>
      </c>
      <c r="H2845" s="15"/>
    </row>
    <row r="2846" ht="13.65" customHeight="1">
      <c r="A2846" s="21">
        <v>122</v>
      </c>
      <c r="B2846" t="s" s="22">
        <v>489</v>
      </c>
      <c r="C2846" t="s" s="24">
        <v>490</v>
      </c>
      <c r="D2846" t="s" s="24">
        <v>491</v>
      </c>
      <c r="E2846" s="25">
        <v>1.7</v>
      </c>
      <c r="F2846" s="23">
        <v>10</v>
      </c>
      <c r="G2846" s="152" cm="1">
        <f t="array" ref="G2846">SUM(E2846/F2846)</f>
        <v>0.17</v>
      </c>
      <c r="H2846" s="15"/>
    </row>
    <row r="2847" ht="13.65" customHeight="1">
      <c r="A2847" s="21">
        <v>36</v>
      </c>
      <c r="B2847" t="s" s="22">
        <v>496</v>
      </c>
      <c r="C2847" t="s" s="24">
        <v>643</v>
      </c>
      <c r="D2847" t="s" s="24">
        <v>648</v>
      </c>
      <c r="E2847" s="25">
        <v>13</v>
      </c>
      <c r="F2847" s="23">
        <v>8</v>
      </c>
      <c r="G2847" s="152" cm="1">
        <f t="array" ref="G2847">SUM(E2847/F2847)</f>
        <v>1.625</v>
      </c>
      <c r="H2847" s="15"/>
    </row>
    <row r="2848" ht="13.65" customHeight="1">
      <c r="A2848" s="28"/>
      <c r="B2848" s="28"/>
      <c r="C2848" s="27"/>
      <c r="D2848" s="24"/>
      <c r="E2848" s="27"/>
      <c r="F2848" t="s" s="29">
        <v>118</v>
      </c>
      <c r="G2848" s="197" cm="1">
        <f t="array" ref="G2848">SUM(G2832:G2847)</f>
        <v>20.4087636363636</v>
      </c>
      <c r="H2848" s="15"/>
    </row>
    <row r="2849" ht="13.65" customHeight="1">
      <c r="A2849" s="129"/>
      <c r="B2849" s="129"/>
      <c r="C2849" s="129"/>
      <c r="D2849" s="129"/>
      <c r="E2849" s="129"/>
      <c r="F2849" s="31"/>
      <c r="G2849" s="31"/>
      <c r="H2849" s="3"/>
    </row>
    <row r="2850" ht="11.7" customHeight="1">
      <c r="A2850" t="s" s="167">
        <v>136</v>
      </c>
      <c r="B2850" t="s" s="167">
        <v>281</v>
      </c>
      <c r="C2850" t="s" s="167">
        <v>282</v>
      </c>
      <c r="D2850" t="s" s="168">
        <v>283</v>
      </c>
      <c r="E2850" s="169"/>
      <c r="F2850" s="170"/>
      <c r="G2850" s="171"/>
      <c r="H2850" s="171"/>
    </row>
    <row r="2851" ht="13.65" customHeight="1">
      <c r="A2851" s="23">
        <v>60</v>
      </c>
      <c r="B2851" s="172" cm="1">
        <f t="array" ref="B2851">SUM(H256)</f>
        <v>2.47496540404041</v>
      </c>
      <c r="C2851" s="172" cm="1">
        <f t="array" ref="C2851">SUM(G2848)</f>
        <v>20.4087636363636</v>
      </c>
      <c r="D2851" s="199" cm="1">
        <f t="array" ref="D2851">SUM(A2851*B2851)+(C2851)</f>
        <v>168.906687878788</v>
      </c>
      <c r="E2851" s="200"/>
      <c r="F2851" s="15"/>
      <c r="G2851" s="3"/>
      <c r="H2851" s="3"/>
    </row>
    <row r="2852" ht="13.65" customHeight="1">
      <c r="A2852" s="31"/>
      <c r="B2852" s="31"/>
      <c r="C2852" s="31"/>
      <c r="D2852" s="31"/>
      <c r="E2852" s="31"/>
      <c r="F2852" s="3"/>
      <c r="G2852" s="3"/>
      <c r="H2852" s="3"/>
    </row>
    <row r="2853" ht="13.65" customHeight="1">
      <c r="A2853" t="s" s="145">
        <v>719</v>
      </c>
      <c r="B2853" s="3"/>
      <c r="C2853" s="3"/>
      <c r="D2853" s="3"/>
      <c r="E2853" s="3"/>
      <c r="F2853" s="3"/>
      <c r="G2853" s="3"/>
      <c r="H2853" s="3"/>
    </row>
    <row r="2854" ht="13.65" customHeight="1">
      <c r="A2854" s="3"/>
      <c r="B2854" s="3"/>
      <c r="C2854" s="3"/>
      <c r="D2854" s="3"/>
      <c r="E2854" s="3"/>
      <c r="F2854" s="3"/>
      <c r="G2854" s="3"/>
      <c r="H2854" s="3"/>
    </row>
    <row r="2855" ht="13.65" customHeight="1">
      <c r="A2855" s="3"/>
      <c r="B2855" s="3"/>
      <c r="C2855" s="3"/>
      <c r="D2855" s="3"/>
      <c r="E2855" s="3"/>
      <c r="F2855" s="3"/>
      <c r="G2855" s="3"/>
      <c r="H2855" s="3"/>
    </row>
    <row r="2856" ht="13.65" customHeight="1">
      <c r="A2856" t="s" s="5">
        <v>720</v>
      </c>
      <c r="B2856" s="3"/>
      <c r="C2856" s="3"/>
      <c r="D2856" s="3"/>
      <c r="E2856" s="3"/>
      <c r="F2856" s="3"/>
      <c r="G2856" s="3"/>
      <c r="H2856" s="3"/>
    </row>
    <row r="2857" ht="13.65" customHeight="1">
      <c r="A2857" s="11"/>
      <c r="B2857" s="11"/>
      <c r="C2857" s="11"/>
      <c r="D2857" s="11"/>
      <c r="E2857" s="11"/>
      <c r="F2857" s="11"/>
      <c r="G2857" s="11"/>
      <c r="H2857" s="3"/>
    </row>
    <row r="2858" ht="13.65" customHeight="1">
      <c r="A2858" s="12"/>
      <c r="B2858" s="12"/>
      <c r="C2858" s="13"/>
      <c r="D2858" s="14"/>
      <c r="E2858" s="13"/>
      <c r="F2858" s="13"/>
      <c r="G2858" t="s" s="14">
        <v>252</v>
      </c>
      <c r="H2858" s="150"/>
    </row>
    <row r="2859" ht="13.65" customHeight="1">
      <c r="A2859" t="s" s="16">
        <v>93</v>
      </c>
      <c r="B2859" t="s" s="16">
        <v>94</v>
      </c>
      <c r="C2859" t="s" s="16">
        <v>95</v>
      </c>
      <c r="D2859" t="s" s="16">
        <v>96</v>
      </c>
      <c r="E2859" t="s" s="16">
        <v>97</v>
      </c>
      <c r="F2859" t="s" s="16">
        <v>98</v>
      </c>
      <c r="G2859" t="s" s="16">
        <v>99</v>
      </c>
      <c r="H2859" s="15"/>
    </row>
    <row r="2860" ht="13.65" customHeight="1">
      <c r="A2860" s="151"/>
      <c r="B2860" s="151"/>
      <c r="C2860" s="19"/>
      <c r="D2860" s="20"/>
      <c r="E2860" s="19"/>
      <c r="F2860" s="19"/>
      <c r="G2860" t="s" s="20">
        <v>100</v>
      </c>
      <c r="H2860" s="15"/>
    </row>
    <row r="2861" ht="13.65" customHeight="1">
      <c r="A2861" s="21">
        <v>72</v>
      </c>
      <c r="B2861" t="s" s="22">
        <v>101</v>
      </c>
      <c r="C2861" s="23">
        <v>50</v>
      </c>
      <c r="D2861" t="s" s="24">
        <v>274</v>
      </c>
      <c r="E2861" s="25">
        <v>1.93</v>
      </c>
      <c r="F2861" s="23">
        <v>12.5</v>
      </c>
      <c r="G2861" s="152" cm="1">
        <f t="array" ref="G2861">SUM(E2861/F2861)</f>
        <v>0.1544</v>
      </c>
      <c r="H2861" s="15"/>
    </row>
    <row r="2862" ht="13.65" customHeight="1">
      <c r="A2862" s="21">
        <v>123</v>
      </c>
      <c r="B2862" t="s" s="22">
        <v>103</v>
      </c>
      <c r="C2862" s="23">
        <v>40</v>
      </c>
      <c r="D2862" t="s" s="24">
        <v>102</v>
      </c>
      <c r="E2862" s="25">
        <v>3.2</v>
      </c>
      <c r="F2862" s="23">
        <v>20</v>
      </c>
      <c r="G2862" s="152" cm="1">
        <f t="array" ref="G2862">SUM(E2862/F2862)</f>
        <v>0.16</v>
      </c>
      <c r="H2862" s="15"/>
    </row>
    <row r="2863" ht="13.65" customHeight="1">
      <c r="A2863" s="21">
        <v>65</v>
      </c>
      <c r="B2863" t="s" s="22">
        <v>394</v>
      </c>
      <c r="C2863" s="23">
        <v>500</v>
      </c>
      <c r="D2863" t="s" s="24">
        <v>460</v>
      </c>
      <c r="E2863" s="25">
        <v>26</v>
      </c>
      <c r="F2863" s="23">
        <v>100</v>
      </c>
      <c r="G2863" s="152" cm="1">
        <f t="array" ref="G2863">SUM(E2863/F2863)</f>
        <v>0.26</v>
      </c>
      <c r="H2863" s="15"/>
    </row>
    <row r="2864" ht="13.65" customHeight="1">
      <c r="A2864" s="21">
        <v>86</v>
      </c>
      <c r="B2864" t="s" s="22">
        <v>107</v>
      </c>
      <c r="C2864" s="23">
        <v>1</v>
      </c>
      <c r="D2864" t="s" s="24">
        <v>274</v>
      </c>
      <c r="E2864" s="25">
        <v>0.32</v>
      </c>
      <c r="F2864" t="s" s="24">
        <v>301</v>
      </c>
      <c r="G2864" s="152" cm="1">
        <f t="array" ref="G2864">SUM(E2864*4)</f>
        <v>1.28</v>
      </c>
      <c r="H2864" s="15"/>
    </row>
    <row r="2865" ht="13.65" customHeight="1">
      <c r="A2865" s="21">
        <v>71</v>
      </c>
      <c r="B2865" t="s" s="22">
        <v>109</v>
      </c>
      <c r="C2865" s="23">
        <v>10</v>
      </c>
      <c r="D2865" t="s" s="24">
        <v>274</v>
      </c>
      <c r="E2865" s="25">
        <v>5.92</v>
      </c>
      <c r="F2865" s="23">
        <v>2.5</v>
      </c>
      <c r="G2865" s="152" cm="1">
        <f t="array" ref="G2865">SUM(E2865/F2865)</f>
        <v>2.368</v>
      </c>
      <c r="H2865" s="15"/>
    </row>
    <row r="2866" ht="13.65" customHeight="1">
      <c r="A2866" s="21">
        <v>87</v>
      </c>
      <c r="B2866" t="s" s="22">
        <v>110</v>
      </c>
      <c r="C2866" s="23">
        <v>50</v>
      </c>
      <c r="D2866" t="s" s="24">
        <v>274</v>
      </c>
      <c r="E2866" s="25">
        <v>9</v>
      </c>
      <c r="F2866" s="23">
        <v>12.5</v>
      </c>
      <c r="G2866" s="152" cm="1">
        <f t="array" ref="G2866">SUM(E2866/F2866)</f>
        <v>0.72</v>
      </c>
      <c r="H2866" s="15"/>
    </row>
    <row r="2867" ht="13.65" customHeight="1">
      <c r="A2867" s="21">
        <v>55</v>
      </c>
      <c r="B2867" t="s" s="22">
        <v>111</v>
      </c>
      <c r="C2867" t="s" s="24">
        <v>112</v>
      </c>
      <c r="D2867" t="s" s="24">
        <v>113</v>
      </c>
      <c r="E2867" s="25">
        <v>2.71</v>
      </c>
      <c r="F2867" s="23">
        <v>75</v>
      </c>
      <c r="G2867" s="152" cm="1">
        <f t="array" ref="G2867">SUM(E2867/F2867)</f>
        <v>0.0361333333333333</v>
      </c>
      <c r="H2867" s="15"/>
    </row>
    <row r="2868" ht="13.65" customHeight="1">
      <c r="A2868" s="21">
        <v>10</v>
      </c>
      <c r="B2868" t="s" s="22">
        <v>395</v>
      </c>
      <c r="C2868" t="s" s="24">
        <v>396</v>
      </c>
      <c r="D2868" t="s" s="24">
        <v>397</v>
      </c>
      <c r="E2868" s="25">
        <v>3.92</v>
      </c>
      <c r="F2868" s="23">
        <v>50</v>
      </c>
      <c r="G2868" s="152" cm="1">
        <f t="array" ref="G2868">SUM(E2868/F2868)</f>
        <v>0.0784</v>
      </c>
      <c r="H2868" s="15"/>
    </row>
    <row r="2869" ht="13.65" customHeight="1">
      <c r="A2869" s="21">
        <v>9</v>
      </c>
      <c r="B2869" t="s" s="22">
        <v>692</v>
      </c>
      <c r="C2869" s="23">
        <v>50</v>
      </c>
      <c r="D2869" t="s" s="24">
        <v>274</v>
      </c>
      <c r="E2869" s="25">
        <v>14</v>
      </c>
      <c r="F2869" s="23">
        <v>12.5</v>
      </c>
      <c r="G2869" s="152" cm="1">
        <f t="array" ref="G2869">SUM(E2869/F2869)</f>
        <v>1.12</v>
      </c>
      <c r="H2869" s="15"/>
    </row>
    <row r="2870" ht="13.65" customHeight="1">
      <c r="A2870" s="21">
        <v>6</v>
      </c>
      <c r="B2870" t="s" s="22">
        <v>399</v>
      </c>
      <c r="C2870" s="23">
        <v>100</v>
      </c>
      <c r="D2870" t="s" s="24">
        <v>104</v>
      </c>
      <c r="E2870" s="25">
        <v>19</v>
      </c>
      <c r="F2870" s="23">
        <v>100</v>
      </c>
      <c r="G2870" s="152" cm="1">
        <f t="array" ref="G2870">SUM(E2870/F2870)</f>
        <v>0.19</v>
      </c>
      <c r="H2870" s="15"/>
    </row>
    <row r="2871" ht="13.65" customHeight="1">
      <c r="A2871" s="21">
        <v>23</v>
      </c>
      <c r="B2871" t="s" s="22">
        <v>488</v>
      </c>
      <c r="C2871" s="23">
        <v>1</v>
      </c>
      <c r="D2871" t="s" s="24">
        <v>104</v>
      </c>
      <c r="E2871" s="25">
        <v>11</v>
      </c>
      <c r="F2871" s="23">
        <v>1</v>
      </c>
      <c r="G2871" s="152" cm="1">
        <f t="array" ref="G2871">SUM(E2871/F2871)</f>
        <v>11</v>
      </c>
      <c r="H2871" s="15"/>
    </row>
    <row r="2872" ht="13.65" customHeight="1">
      <c r="A2872" s="21">
        <v>44</v>
      </c>
      <c r="B2872" t="s" s="22">
        <v>400</v>
      </c>
      <c r="C2872" s="23">
        <v>1</v>
      </c>
      <c r="D2872" t="s" s="24">
        <v>401</v>
      </c>
      <c r="E2872" s="25">
        <v>74</v>
      </c>
      <c r="F2872" s="23">
        <v>30</v>
      </c>
      <c r="G2872" s="152" cm="1">
        <f t="array" ref="G2872">SUM(E2872/F2872)</f>
        <v>2.46666666666667</v>
      </c>
      <c r="H2872" s="15"/>
    </row>
    <row r="2873" ht="13.65" customHeight="1">
      <c r="A2873" s="21">
        <v>119</v>
      </c>
      <c r="B2873" t="s" s="22">
        <v>467</v>
      </c>
      <c r="C2873" s="23">
        <v>1</v>
      </c>
      <c r="D2873" t="s" s="24">
        <v>468</v>
      </c>
      <c r="E2873" s="25">
        <v>0.45</v>
      </c>
      <c r="F2873" s="23">
        <v>1</v>
      </c>
      <c r="G2873" s="152" cm="1">
        <f t="array" ref="G2873">SUM(E2873/F2873)</f>
        <v>0.45</v>
      </c>
      <c r="H2873" s="15"/>
    </row>
    <row r="2874" ht="13.65" customHeight="1">
      <c r="A2874" s="21">
        <v>122</v>
      </c>
      <c r="B2874" t="s" s="22">
        <v>489</v>
      </c>
      <c r="C2874" t="s" s="24">
        <v>490</v>
      </c>
      <c r="D2874" t="s" s="24">
        <v>491</v>
      </c>
      <c r="E2874" s="25">
        <v>1.7</v>
      </c>
      <c r="F2874" s="23">
        <v>10</v>
      </c>
      <c r="G2874" s="152" cm="1">
        <f t="array" ref="G2874">SUM(E2874/F2874)</f>
        <v>0.17</v>
      </c>
      <c r="H2874" s="15"/>
    </row>
    <row r="2875" ht="13.65" customHeight="1">
      <c r="A2875" s="21">
        <v>36</v>
      </c>
      <c r="B2875" t="s" s="22">
        <v>496</v>
      </c>
      <c r="C2875" t="s" s="24">
        <v>497</v>
      </c>
      <c r="D2875" t="s" s="24">
        <v>498</v>
      </c>
      <c r="E2875" s="25">
        <v>13</v>
      </c>
      <c r="F2875" s="23">
        <v>16</v>
      </c>
      <c r="G2875" s="152" cm="1">
        <f t="array" ref="G2875">SUM(E2875/F2875)</f>
        <v>0.8125</v>
      </c>
      <c r="H2875" s="15"/>
    </row>
    <row r="2876" ht="13.65" customHeight="1">
      <c r="A2876" s="21">
        <v>78</v>
      </c>
      <c r="B2876" t="s" s="22">
        <v>492</v>
      </c>
      <c r="C2876" s="23">
        <v>1</v>
      </c>
      <c r="D2876" t="s" s="24">
        <v>104</v>
      </c>
      <c r="E2876" s="25">
        <v>1</v>
      </c>
      <c r="F2876" s="23">
        <v>1</v>
      </c>
      <c r="G2876" s="152" cm="1">
        <f t="array" ref="G2876">SUM(E2876/F2876)</f>
        <v>1</v>
      </c>
      <c r="H2876" s="15"/>
    </row>
    <row r="2877" ht="13.65" customHeight="1">
      <c r="A2877" s="21">
        <v>116</v>
      </c>
      <c r="B2877" t="s" s="22">
        <v>721</v>
      </c>
      <c r="C2877" t="s" s="24">
        <v>384</v>
      </c>
      <c r="D2877" t="s" s="24">
        <v>640</v>
      </c>
      <c r="E2877" s="25">
        <v>12</v>
      </c>
      <c r="F2877" s="23">
        <v>4</v>
      </c>
      <c r="G2877" s="152" cm="1">
        <f t="array" ref="G2877">SUM(E2877/F2877)</f>
        <v>3</v>
      </c>
      <c r="H2877" s="15"/>
    </row>
    <row r="2878" ht="13.65" customHeight="1">
      <c r="A2878" s="28"/>
      <c r="B2878" s="28"/>
      <c r="C2878" s="27"/>
      <c r="D2878" s="24"/>
      <c r="E2878" s="27"/>
      <c r="F2878" t="s" s="29">
        <v>118</v>
      </c>
      <c r="G2878" s="197" cm="1">
        <f t="array" ref="G2878">SUM(G2861:G2877)</f>
        <v>25.2661</v>
      </c>
      <c r="H2878" s="15"/>
    </row>
    <row r="2879" ht="13.65" customHeight="1">
      <c r="A2879" s="129"/>
      <c r="B2879" s="129"/>
      <c r="C2879" s="129"/>
      <c r="D2879" s="129"/>
      <c r="E2879" s="129"/>
      <c r="F2879" s="31"/>
      <c r="G2879" s="31"/>
      <c r="H2879" s="3"/>
    </row>
    <row r="2880" ht="11.7" customHeight="1">
      <c r="A2880" t="s" s="167">
        <v>136</v>
      </c>
      <c r="B2880" t="s" s="167">
        <v>281</v>
      </c>
      <c r="C2880" t="s" s="167">
        <v>282</v>
      </c>
      <c r="D2880" t="s" s="168">
        <v>283</v>
      </c>
      <c r="E2880" s="169"/>
      <c r="F2880" s="170"/>
      <c r="G2880" s="171"/>
      <c r="H2880" s="171"/>
    </row>
    <row r="2881" ht="13.65" customHeight="1">
      <c r="A2881" s="23">
        <v>45</v>
      </c>
      <c r="B2881" s="172" cm="1">
        <f t="array" ref="B2881">SUM(H256)</f>
        <v>2.47496540404041</v>
      </c>
      <c r="C2881" s="172" cm="1">
        <f t="array" ref="C2881">SUM(G2878)</f>
        <v>25.2661</v>
      </c>
      <c r="D2881" s="199" cm="1">
        <f t="array" ref="D2881">SUM(A2881*B2881)+(C2881)</f>
        <v>136.639543181818</v>
      </c>
      <c r="E2881" s="200"/>
      <c r="F2881" s="15"/>
      <c r="G2881" s="3"/>
      <c r="H2881" s="3"/>
    </row>
    <row r="2882" ht="13.65" customHeight="1">
      <c r="A2882" s="31"/>
      <c r="B2882" s="31"/>
      <c r="C2882" s="31"/>
      <c r="D2882" s="31"/>
      <c r="E2882" s="31"/>
      <c r="F2882" s="3"/>
      <c r="G2882" s="3"/>
      <c r="H2882" s="3"/>
    </row>
    <row r="2883" ht="13.65" customHeight="1">
      <c r="A2883" s="203"/>
      <c r="B2883" s="203"/>
      <c r="C2883" s="203"/>
      <c r="D2883" s="203"/>
      <c r="E2883" s="203"/>
      <c r="F2883" s="203"/>
      <c r="G2883" s="203"/>
      <c r="H2883" s="203"/>
    </row>
    <row r="2884" ht="13.65" customHeight="1">
      <c r="A2884" t="s" s="274">
        <v>284</v>
      </c>
      <c r="B2884" s="275"/>
      <c r="C2884" s="275"/>
      <c r="D2884" s="275"/>
      <c r="E2884" s="280"/>
      <c r="F2884" s="275"/>
      <c r="G2884" s="275"/>
      <c r="H2884" s="277"/>
    </row>
    <row r="2885" ht="13.65" customHeight="1">
      <c r="A2885" s="278"/>
      <c r="B2885" s="278"/>
      <c r="C2885" s="278"/>
      <c r="D2885" s="278"/>
      <c r="E2885" s="278"/>
      <c r="F2885" s="278"/>
      <c r="G2885" s="278"/>
      <c r="H2885" s="278"/>
    </row>
    <row r="2886" ht="13.65" customHeight="1">
      <c r="A2886" s="3"/>
      <c r="B2886" s="3"/>
      <c r="C2886" s="3"/>
      <c r="D2886" s="3"/>
      <c r="E2886" s="3"/>
      <c r="F2886" s="3"/>
      <c r="G2886" s="3"/>
      <c r="H2886" s="3"/>
    </row>
    <row r="2887" ht="13.65" customHeight="1">
      <c r="A2887" t="s" s="5">
        <v>722</v>
      </c>
      <c r="B2887" s="3"/>
      <c r="C2887" s="3"/>
      <c r="D2887" s="3"/>
      <c r="E2887" s="3"/>
      <c r="F2887" s="3"/>
      <c r="G2887" s="3"/>
      <c r="H2887" s="3"/>
    </row>
    <row r="2888" ht="13.65" customHeight="1">
      <c r="A2888" s="11"/>
      <c r="B2888" s="11"/>
      <c r="C2888" s="11"/>
      <c r="D2888" s="11"/>
      <c r="E2888" s="11"/>
      <c r="F2888" s="11"/>
      <c r="G2888" s="11"/>
      <c r="H2888" s="3"/>
    </row>
    <row r="2889" ht="13.65" customHeight="1">
      <c r="A2889" s="12"/>
      <c r="B2889" s="12"/>
      <c r="C2889" s="13"/>
      <c r="D2889" s="14"/>
      <c r="E2889" s="13"/>
      <c r="F2889" s="13"/>
      <c r="G2889" t="s" s="14">
        <v>252</v>
      </c>
      <c r="H2889" s="150"/>
    </row>
    <row r="2890" ht="13.65" customHeight="1">
      <c r="A2890" t="s" s="16">
        <v>93</v>
      </c>
      <c r="B2890" t="s" s="16">
        <v>94</v>
      </c>
      <c r="C2890" t="s" s="16">
        <v>95</v>
      </c>
      <c r="D2890" t="s" s="16">
        <v>96</v>
      </c>
      <c r="E2890" t="s" s="16">
        <v>97</v>
      </c>
      <c r="F2890" t="s" s="16">
        <v>98</v>
      </c>
      <c r="G2890" t="s" s="16">
        <v>99</v>
      </c>
      <c r="H2890" s="15"/>
    </row>
    <row r="2891" ht="13.65" customHeight="1">
      <c r="A2891" s="151"/>
      <c r="B2891" s="151"/>
      <c r="C2891" s="19"/>
      <c r="D2891" s="20"/>
      <c r="E2891" s="19"/>
      <c r="F2891" s="19"/>
      <c r="G2891" t="s" s="20">
        <v>100</v>
      </c>
      <c r="H2891" s="15"/>
    </row>
    <row r="2892" ht="13.65" customHeight="1">
      <c r="A2892" s="21">
        <v>72</v>
      </c>
      <c r="B2892" t="s" s="22">
        <v>101</v>
      </c>
      <c r="C2892" s="23">
        <v>50</v>
      </c>
      <c r="D2892" t="s" s="24">
        <v>102</v>
      </c>
      <c r="E2892" s="25">
        <v>1.93</v>
      </c>
      <c r="F2892" s="23">
        <v>25</v>
      </c>
      <c r="G2892" s="152" cm="1">
        <f t="array" ref="G2892">SUM(E2892/F2892)</f>
        <v>0.0772</v>
      </c>
      <c r="H2892" s="15"/>
    </row>
    <row r="2893" ht="13.65" customHeight="1">
      <c r="A2893" s="21">
        <v>123</v>
      </c>
      <c r="B2893" t="s" s="22">
        <v>103</v>
      </c>
      <c r="C2893" s="23">
        <v>40</v>
      </c>
      <c r="D2893" t="s" s="24">
        <v>104</v>
      </c>
      <c r="E2893" s="25">
        <v>3.2</v>
      </c>
      <c r="F2893" s="23">
        <v>40</v>
      </c>
      <c r="G2893" s="152" cm="1">
        <f t="array" ref="G2893">SUM(E2893/F2893)</f>
        <v>0.08</v>
      </c>
      <c r="H2893" s="15"/>
    </row>
    <row r="2894" ht="13.65" customHeight="1">
      <c r="A2894" s="21">
        <v>57</v>
      </c>
      <c r="B2894" t="s" s="22">
        <v>253</v>
      </c>
      <c r="C2894" t="s" s="24">
        <v>254</v>
      </c>
      <c r="D2894" t="s" s="24">
        <v>371</v>
      </c>
      <c r="E2894" s="25">
        <v>4.5</v>
      </c>
      <c r="F2894" s="23">
        <v>33</v>
      </c>
      <c r="G2894" s="152" cm="1">
        <f t="array" ref="G2894">SUM(E2894/F2894)</f>
        <v>0.136363636363636</v>
      </c>
      <c r="H2894" s="15"/>
    </row>
    <row r="2895" ht="13.65" customHeight="1">
      <c r="A2895" s="21">
        <v>86</v>
      </c>
      <c r="B2895" t="s" s="22">
        <v>107</v>
      </c>
      <c r="C2895" s="23">
        <v>1</v>
      </c>
      <c r="D2895" t="s" s="24">
        <v>102</v>
      </c>
      <c r="E2895" s="25">
        <v>0.32</v>
      </c>
      <c r="F2895" t="s" s="24">
        <v>387</v>
      </c>
      <c r="G2895" s="152" cm="1">
        <f t="array" ref="G2895">SUM(E2895*2)</f>
        <v>0.64</v>
      </c>
      <c r="H2895" s="15"/>
    </row>
    <row r="2896" ht="13.65" customHeight="1">
      <c r="A2896" s="21">
        <v>71</v>
      </c>
      <c r="B2896" t="s" s="22">
        <v>109</v>
      </c>
      <c r="C2896" s="23">
        <v>10</v>
      </c>
      <c r="D2896" t="s" s="24">
        <v>102</v>
      </c>
      <c r="E2896" s="25">
        <v>5.92</v>
      </c>
      <c r="F2896" s="23">
        <v>5</v>
      </c>
      <c r="G2896" s="152" cm="1">
        <f t="array" ref="G2896">SUM(E2896/F2896)</f>
        <v>1.184</v>
      </c>
      <c r="H2896" s="15"/>
    </row>
    <row r="2897" ht="13.65" customHeight="1">
      <c r="A2897" s="21">
        <v>87</v>
      </c>
      <c r="B2897" t="s" s="22">
        <v>110</v>
      </c>
      <c r="C2897" s="23">
        <v>50</v>
      </c>
      <c r="D2897" t="s" s="24">
        <v>102</v>
      </c>
      <c r="E2897" s="25">
        <v>9</v>
      </c>
      <c r="F2897" s="23">
        <v>25</v>
      </c>
      <c r="G2897" s="152" cm="1">
        <f t="array" ref="G2897">SUM(E2897/F2897)</f>
        <v>0.36</v>
      </c>
      <c r="H2897" s="15"/>
    </row>
    <row r="2898" ht="13.65" customHeight="1">
      <c r="A2898" s="21">
        <v>55</v>
      </c>
      <c r="B2898" t="s" s="22">
        <v>111</v>
      </c>
      <c r="C2898" t="s" s="24">
        <v>112</v>
      </c>
      <c r="D2898" t="s" s="24">
        <v>113</v>
      </c>
      <c r="E2898" s="25">
        <v>2.71</v>
      </c>
      <c r="F2898" s="23">
        <v>75</v>
      </c>
      <c r="G2898" s="152" cm="1">
        <f t="array" ref="G2898">SUM(E2898/F2898)</f>
        <v>0.0361333333333333</v>
      </c>
      <c r="H2898" s="15"/>
    </row>
    <row r="2899" ht="13.65" customHeight="1">
      <c r="A2899" s="21">
        <v>51</v>
      </c>
      <c r="B2899" t="s" s="22">
        <v>374</v>
      </c>
      <c r="C2899" s="23">
        <v>1</v>
      </c>
      <c r="D2899" t="s" s="24">
        <v>277</v>
      </c>
      <c r="E2899" s="25">
        <v>1.28</v>
      </c>
      <c r="F2899" s="23">
        <v>2</v>
      </c>
      <c r="G2899" s="152" cm="1">
        <f t="array" ref="G2899">SUM(E2899/F2899)</f>
        <v>0.64</v>
      </c>
      <c r="H2899" s="15"/>
    </row>
    <row r="2900" ht="13.65" customHeight="1">
      <c r="A2900" s="21">
        <v>100</v>
      </c>
      <c r="B2900" t="s" s="22">
        <v>376</v>
      </c>
      <c r="C2900" t="s" s="24">
        <v>377</v>
      </c>
      <c r="D2900" t="s" s="24">
        <v>378</v>
      </c>
      <c r="E2900" s="25">
        <v>4.5</v>
      </c>
      <c r="F2900" s="23">
        <v>40</v>
      </c>
      <c r="G2900" s="152" cm="1">
        <f t="array" ref="G2900">SUM(E2900/F2900)</f>
        <v>0.1125</v>
      </c>
      <c r="H2900" s="15"/>
    </row>
    <row r="2901" ht="13.65" customHeight="1">
      <c r="A2901" s="21">
        <v>53</v>
      </c>
      <c r="B2901" t="s" s="22">
        <v>383</v>
      </c>
      <c r="C2901" t="s" s="24">
        <v>384</v>
      </c>
      <c r="D2901" t="s" s="24">
        <v>385</v>
      </c>
      <c r="E2901" s="25">
        <v>6.41</v>
      </c>
      <c r="F2901" s="23">
        <v>10</v>
      </c>
      <c r="G2901" s="152" cm="1">
        <f t="array" ref="G2901">SUM(E2901/F2901)</f>
        <v>0.641</v>
      </c>
      <c r="H2901" s="15"/>
    </row>
    <row r="2902" ht="13.65" customHeight="1">
      <c r="A2902" s="28"/>
      <c r="B2902" s="28"/>
      <c r="C2902" s="27"/>
      <c r="D2902" s="24"/>
      <c r="E2902" s="27"/>
      <c r="F2902" t="s" s="29">
        <v>118</v>
      </c>
      <c r="G2902" s="197" cm="1">
        <f t="array" ref="G2902">SUM(G2892:G2901)</f>
        <v>3.90719696969697</v>
      </c>
      <c r="H2902" s="15"/>
    </row>
    <row r="2903" ht="13.65" customHeight="1">
      <c r="A2903" s="31"/>
      <c r="B2903" s="31"/>
      <c r="C2903" s="31"/>
      <c r="D2903" s="31"/>
      <c r="E2903" s="31"/>
      <c r="F2903" s="31"/>
      <c r="G2903" s="31"/>
      <c r="H2903" s="3"/>
    </row>
    <row r="2904" ht="13.65" customHeight="1">
      <c r="A2904" s="11"/>
      <c r="B2904" s="11"/>
      <c r="C2904" s="11"/>
      <c r="D2904" s="11"/>
      <c r="E2904" s="11"/>
      <c r="F2904" s="3"/>
      <c r="G2904" s="3"/>
      <c r="H2904" s="3"/>
    </row>
    <row r="2905" ht="11.7" customHeight="1">
      <c r="A2905" t="s" s="167">
        <v>136</v>
      </c>
      <c r="B2905" t="s" s="167">
        <v>281</v>
      </c>
      <c r="C2905" t="s" s="167">
        <v>282</v>
      </c>
      <c r="D2905" t="s" s="168">
        <v>283</v>
      </c>
      <c r="E2905" s="169"/>
      <c r="F2905" s="170"/>
      <c r="G2905" s="171"/>
      <c r="H2905" s="171"/>
    </row>
    <row r="2906" ht="13.65" customHeight="1">
      <c r="A2906" s="23">
        <v>25</v>
      </c>
      <c r="B2906" s="172" cm="1">
        <f t="array" ref="B2906">SUM(H256)</f>
        <v>2.47496540404041</v>
      </c>
      <c r="C2906" s="172" cm="1">
        <f t="array" ref="C2906">SUM(G2902)</f>
        <v>3.90719696969697</v>
      </c>
      <c r="D2906" s="199" cm="1">
        <f t="array" ref="D2906">SUM(A2906*B2906)+(C2906)</f>
        <v>65.78133207070719</v>
      </c>
      <c r="E2906" s="200"/>
      <c r="F2906" s="15"/>
      <c r="G2906" s="3"/>
      <c r="H2906" s="3"/>
    </row>
    <row r="2907" ht="13.65" customHeight="1">
      <c r="A2907" s="31"/>
      <c r="B2907" s="31"/>
      <c r="C2907" s="31"/>
      <c r="D2907" s="31"/>
      <c r="E2907" s="31"/>
      <c r="F2907" s="3"/>
      <c r="G2907" s="3"/>
      <c r="H2907" s="3"/>
    </row>
    <row r="2908" ht="13.65" customHeight="1">
      <c r="A2908" s="3"/>
      <c r="B2908" s="3"/>
      <c r="C2908" s="3"/>
      <c r="D2908" s="3"/>
      <c r="E2908" s="3"/>
      <c r="F2908" s="3"/>
      <c r="G2908" s="3"/>
      <c r="H2908" s="3"/>
    </row>
    <row r="2909" ht="13.65" customHeight="1">
      <c r="A2909" t="s" s="5">
        <v>723</v>
      </c>
      <c r="B2909" s="3"/>
      <c r="C2909" s="3"/>
      <c r="D2909" s="3"/>
      <c r="E2909" s="3"/>
      <c r="F2909" s="3"/>
      <c r="G2909" s="3"/>
      <c r="H2909" s="3"/>
    </row>
    <row r="2910" ht="13.65" customHeight="1">
      <c r="A2910" s="11"/>
      <c r="B2910" s="11"/>
      <c r="C2910" s="11"/>
      <c r="D2910" s="11"/>
      <c r="E2910" s="11"/>
      <c r="F2910" s="11"/>
      <c r="G2910" s="11"/>
      <c r="H2910" s="3"/>
    </row>
    <row r="2911" ht="13.65" customHeight="1">
      <c r="A2911" s="12"/>
      <c r="B2911" s="12"/>
      <c r="C2911" s="13"/>
      <c r="D2911" s="14"/>
      <c r="E2911" s="13"/>
      <c r="F2911" s="13"/>
      <c r="G2911" t="s" s="14">
        <v>252</v>
      </c>
      <c r="H2911" s="150"/>
    </row>
    <row r="2912" ht="13.65" customHeight="1">
      <c r="A2912" t="s" s="16">
        <v>93</v>
      </c>
      <c r="B2912" t="s" s="16">
        <v>94</v>
      </c>
      <c r="C2912" t="s" s="16">
        <v>95</v>
      </c>
      <c r="D2912" t="s" s="16">
        <v>96</v>
      </c>
      <c r="E2912" t="s" s="16">
        <v>97</v>
      </c>
      <c r="F2912" t="s" s="16">
        <v>98</v>
      </c>
      <c r="G2912" t="s" s="16">
        <v>99</v>
      </c>
      <c r="H2912" s="15"/>
    </row>
    <row r="2913" ht="13.65" customHeight="1">
      <c r="A2913" s="151"/>
      <c r="B2913" s="151"/>
      <c r="C2913" s="19"/>
      <c r="D2913" s="20"/>
      <c r="E2913" s="19"/>
      <c r="F2913" s="19"/>
      <c r="G2913" t="s" s="20">
        <v>100</v>
      </c>
      <c r="H2913" s="15"/>
    </row>
    <row r="2914" ht="13.65" customHeight="1">
      <c r="A2914" s="21">
        <v>72</v>
      </c>
      <c r="B2914" t="s" s="22">
        <v>101</v>
      </c>
      <c r="C2914" s="23">
        <v>50</v>
      </c>
      <c r="D2914" t="s" s="24">
        <v>102</v>
      </c>
      <c r="E2914" s="25">
        <v>1.93</v>
      </c>
      <c r="F2914" s="23">
        <v>25</v>
      </c>
      <c r="G2914" s="152" cm="1">
        <f t="array" ref="G2914">SUM(E2914/F2914)</f>
        <v>0.0772</v>
      </c>
      <c r="H2914" s="15"/>
    </row>
    <row r="2915" ht="13.65" customHeight="1">
      <c r="A2915" s="21">
        <v>123</v>
      </c>
      <c r="B2915" t="s" s="22">
        <v>103</v>
      </c>
      <c r="C2915" s="23">
        <v>40</v>
      </c>
      <c r="D2915" t="s" s="24">
        <v>104</v>
      </c>
      <c r="E2915" s="25">
        <v>3.2</v>
      </c>
      <c r="F2915" s="23">
        <v>40</v>
      </c>
      <c r="G2915" s="152" cm="1">
        <f t="array" ref="G2915">SUM(E2915/F2915)</f>
        <v>0.08</v>
      </c>
      <c r="H2915" s="15"/>
    </row>
    <row r="2916" ht="13.65" customHeight="1">
      <c r="A2916" s="21">
        <v>57</v>
      </c>
      <c r="B2916" t="s" s="22">
        <v>253</v>
      </c>
      <c r="C2916" t="s" s="24">
        <v>389</v>
      </c>
      <c r="D2916" t="s" s="24">
        <v>371</v>
      </c>
      <c r="E2916" s="25">
        <v>4.5</v>
      </c>
      <c r="F2916" s="23">
        <v>33</v>
      </c>
      <c r="G2916" s="152" cm="1">
        <f t="array" ref="G2916">SUM(E2916/F2916)</f>
        <v>0.136363636363636</v>
      </c>
      <c r="H2916" s="15"/>
    </row>
    <row r="2917" ht="13.65" customHeight="1">
      <c r="A2917" s="21">
        <v>65</v>
      </c>
      <c r="B2917" t="s" s="22">
        <v>394</v>
      </c>
      <c r="C2917" s="23">
        <v>500</v>
      </c>
      <c r="D2917" t="s" s="24">
        <v>102</v>
      </c>
      <c r="E2917" s="25">
        <v>26</v>
      </c>
      <c r="F2917" s="23">
        <v>250</v>
      </c>
      <c r="G2917" s="152" cm="1">
        <f t="array" ref="G2917">SUM(E2917/F2917)</f>
        <v>0.104</v>
      </c>
      <c r="H2917" s="15"/>
    </row>
    <row r="2918" ht="13.65" customHeight="1">
      <c r="A2918" s="21">
        <v>86</v>
      </c>
      <c r="B2918" t="s" s="22">
        <v>107</v>
      </c>
      <c r="C2918" s="23">
        <v>1</v>
      </c>
      <c r="D2918" t="s" s="24">
        <v>102</v>
      </c>
      <c r="E2918" s="25">
        <v>0.32</v>
      </c>
      <c r="F2918" t="s" s="24">
        <v>387</v>
      </c>
      <c r="G2918" s="152" cm="1">
        <f t="array" ref="G2918">SUM(E2918*2)</f>
        <v>0.64</v>
      </c>
      <c r="H2918" s="15"/>
    </row>
    <row r="2919" ht="13.65" customHeight="1">
      <c r="A2919" s="21">
        <v>71</v>
      </c>
      <c r="B2919" t="s" s="22">
        <v>109</v>
      </c>
      <c r="C2919" s="23">
        <v>10</v>
      </c>
      <c r="D2919" t="s" s="24">
        <v>102</v>
      </c>
      <c r="E2919" s="25">
        <v>5.92</v>
      </c>
      <c r="F2919" s="23">
        <v>5</v>
      </c>
      <c r="G2919" s="152" cm="1">
        <f t="array" ref="G2919">SUM(E2919/F2919)</f>
        <v>1.184</v>
      </c>
      <c r="H2919" s="15"/>
    </row>
    <row r="2920" ht="13.65" customHeight="1">
      <c r="A2920" s="21">
        <v>87</v>
      </c>
      <c r="B2920" t="s" s="22">
        <v>110</v>
      </c>
      <c r="C2920" s="23">
        <v>50</v>
      </c>
      <c r="D2920" t="s" s="24">
        <v>102</v>
      </c>
      <c r="E2920" s="25">
        <v>9</v>
      </c>
      <c r="F2920" s="23">
        <v>25</v>
      </c>
      <c r="G2920" s="152" cm="1">
        <f t="array" ref="G2920">SUM(E2920/F2920)</f>
        <v>0.36</v>
      </c>
      <c r="H2920" s="15"/>
    </row>
    <row r="2921" ht="13.65" customHeight="1">
      <c r="A2921" s="21">
        <v>55</v>
      </c>
      <c r="B2921" t="s" s="22">
        <v>111</v>
      </c>
      <c r="C2921" t="s" s="24">
        <v>112</v>
      </c>
      <c r="D2921" t="s" s="24">
        <v>113</v>
      </c>
      <c r="E2921" s="25">
        <v>2.71</v>
      </c>
      <c r="F2921" s="23">
        <v>75</v>
      </c>
      <c r="G2921" s="152" cm="1">
        <f t="array" ref="G2921">SUM(E2921/F2921)</f>
        <v>0.0361333333333333</v>
      </c>
      <c r="H2921" s="15"/>
    </row>
    <row r="2922" ht="13.65" customHeight="1">
      <c r="A2922" s="21">
        <v>10</v>
      </c>
      <c r="B2922" t="s" s="22">
        <v>395</v>
      </c>
      <c r="C2922" t="s" s="24">
        <v>396</v>
      </c>
      <c r="D2922" t="s" s="24">
        <v>397</v>
      </c>
      <c r="E2922" s="25">
        <v>3.92</v>
      </c>
      <c r="F2922" s="23">
        <v>50</v>
      </c>
      <c r="G2922" s="152" cm="1">
        <f t="array" ref="G2922">SUM(E2922/F2922)</f>
        <v>0.0784</v>
      </c>
      <c r="H2922" s="15"/>
    </row>
    <row r="2923" ht="13.65" customHeight="1">
      <c r="A2923" s="21">
        <v>9</v>
      </c>
      <c r="B2923" t="s" s="22">
        <v>398</v>
      </c>
      <c r="C2923" s="23">
        <v>50</v>
      </c>
      <c r="D2923" t="s" s="24">
        <v>104</v>
      </c>
      <c r="E2923" s="25">
        <v>14</v>
      </c>
      <c r="F2923" s="23">
        <v>50</v>
      </c>
      <c r="G2923" s="152" cm="1">
        <f t="array" ref="G2923">SUM(E2923/F2923)</f>
        <v>0.28</v>
      </c>
      <c r="H2923" s="15"/>
    </row>
    <row r="2924" ht="13.65" customHeight="1">
      <c r="A2924" s="21">
        <v>6</v>
      </c>
      <c r="B2924" t="s" s="22">
        <v>399</v>
      </c>
      <c r="C2924" s="23">
        <v>100</v>
      </c>
      <c r="D2924" t="s" s="24">
        <v>104</v>
      </c>
      <c r="E2924" s="25">
        <v>19</v>
      </c>
      <c r="F2924" s="23">
        <v>100</v>
      </c>
      <c r="G2924" s="152" cm="1">
        <f t="array" ref="G2924">SUM(E2924/F2924)</f>
        <v>0.19</v>
      </c>
      <c r="H2924" s="15"/>
    </row>
    <row r="2925" ht="13.65" customHeight="1">
      <c r="A2925" s="21">
        <v>96</v>
      </c>
      <c r="B2925" t="s" s="22">
        <v>724</v>
      </c>
      <c r="C2925" t="s" s="24">
        <v>676</v>
      </c>
      <c r="D2925" t="s" s="24">
        <v>457</v>
      </c>
      <c r="E2925" s="25">
        <v>18.4</v>
      </c>
      <c r="F2925" s="23">
        <v>6</v>
      </c>
      <c r="G2925" s="152" cm="1">
        <f t="array" ref="G2925">SUM(E2925/F2925)</f>
        <v>3.06666666666667</v>
      </c>
      <c r="H2925" s="15"/>
    </row>
    <row r="2926" ht="13.65" customHeight="1">
      <c r="A2926" s="21">
        <v>100</v>
      </c>
      <c r="B2926" t="s" s="22">
        <v>376</v>
      </c>
      <c r="C2926" t="s" s="24">
        <v>377</v>
      </c>
      <c r="D2926" t="s" s="24">
        <v>378</v>
      </c>
      <c r="E2926" s="25">
        <v>4.5</v>
      </c>
      <c r="F2926" s="23">
        <v>40</v>
      </c>
      <c r="G2926" s="152" cm="1">
        <f t="array" ref="G2926">SUM(E2926/F2926)</f>
        <v>0.1125</v>
      </c>
      <c r="H2926" s="15"/>
    </row>
    <row r="2927" ht="13.65" customHeight="1">
      <c r="A2927" s="21">
        <v>124</v>
      </c>
      <c r="B2927" t="s" s="22">
        <v>372</v>
      </c>
      <c r="C2927" s="23">
        <v>1</v>
      </c>
      <c r="D2927" t="s" s="24">
        <v>725</v>
      </c>
      <c r="E2927" s="25">
        <v>2.2</v>
      </c>
      <c r="F2927" s="23">
        <v>15</v>
      </c>
      <c r="G2927" s="152" cm="1">
        <f t="array" ref="G2927">SUM(E2927/F2927)</f>
        <v>0.146666666666667</v>
      </c>
      <c r="H2927" s="15"/>
    </row>
    <row r="2928" ht="13.65" customHeight="1">
      <c r="A2928" s="28"/>
      <c r="B2928" s="28"/>
      <c r="C2928" s="27"/>
      <c r="D2928" s="24"/>
      <c r="E2928" s="27"/>
      <c r="F2928" t="s" s="29">
        <v>118</v>
      </c>
      <c r="G2928" s="197" cm="1">
        <f t="array" ref="G2928">SUM(G2914:G2927)</f>
        <v>6.49193030303031</v>
      </c>
      <c r="H2928" s="15"/>
    </row>
    <row r="2929" ht="13.65" customHeight="1">
      <c r="A2929" s="129"/>
      <c r="B2929" s="129"/>
      <c r="C2929" s="129"/>
      <c r="D2929" s="129"/>
      <c r="E2929" s="129"/>
      <c r="F2929" s="31"/>
      <c r="G2929" s="31"/>
      <c r="H2929" s="3"/>
    </row>
    <row r="2930" ht="11.7" customHeight="1">
      <c r="A2930" t="s" s="167">
        <v>136</v>
      </c>
      <c r="B2930" t="s" s="167">
        <v>281</v>
      </c>
      <c r="C2930" t="s" s="167">
        <v>282</v>
      </c>
      <c r="D2930" t="s" s="168">
        <v>283</v>
      </c>
      <c r="E2930" s="169"/>
      <c r="F2930" s="170"/>
      <c r="G2930" s="171"/>
      <c r="H2930" s="171"/>
    </row>
    <row r="2931" ht="13.65" customHeight="1">
      <c r="A2931" s="23">
        <v>30</v>
      </c>
      <c r="B2931" s="172" cm="1">
        <f t="array" ref="B2931">SUM(H256)</f>
        <v>2.47496540404041</v>
      </c>
      <c r="C2931" s="172" cm="1">
        <f t="array" ref="C2931">SUM(G2928)</f>
        <v>6.49193030303031</v>
      </c>
      <c r="D2931" s="199" cm="1">
        <f t="array" ref="D2931">SUM(A2931*B2931)+(C2931)</f>
        <v>80.7408924242426</v>
      </c>
      <c r="E2931" s="200"/>
      <c r="F2931" s="15"/>
      <c r="G2931" s="3"/>
      <c r="H2931" s="3"/>
    </row>
    <row r="2932" ht="13.65" customHeight="1">
      <c r="A2932" s="31"/>
      <c r="B2932" s="31"/>
      <c r="C2932" s="31"/>
      <c r="D2932" s="31"/>
      <c r="E2932" s="31"/>
      <c r="F2932" s="3"/>
      <c r="G2932" s="3"/>
      <c r="H2932" s="3"/>
    </row>
    <row r="2933" ht="13.65" customHeight="1">
      <c r="A2933" s="203"/>
      <c r="B2933" s="203"/>
      <c r="C2933" s="203"/>
      <c r="D2933" s="203"/>
      <c r="E2933" s="203"/>
      <c r="F2933" s="203"/>
      <c r="G2933" s="203"/>
      <c r="H2933" s="203"/>
    </row>
    <row r="2934" ht="13.65" customHeight="1">
      <c r="A2934" t="s" s="274">
        <v>185</v>
      </c>
      <c r="B2934" s="275"/>
      <c r="C2934" s="275"/>
      <c r="D2934" s="275"/>
      <c r="E2934" s="280"/>
      <c r="F2934" s="275"/>
      <c r="G2934" s="275"/>
      <c r="H2934" s="277"/>
    </row>
    <row r="2935" ht="13.65" customHeight="1">
      <c r="A2935" s="278"/>
      <c r="B2935" s="278"/>
      <c r="C2935" s="278"/>
      <c r="D2935" s="278"/>
      <c r="E2935" s="278"/>
      <c r="F2935" s="278"/>
      <c r="G2935" s="278"/>
      <c r="H2935" s="278"/>
    </row>
    <row r="2936" ht="13.65" customHeight="1">
      <c r="A2936" s="3"/>
      <c r="B2936" s="3"/>
      <c r="C2936" s="3"/>
      <c r="D2936" s="3"/>
      <c r="E2936" s="3"/>
      <c r="F2936" s="3"/>
      <c r="G2936" s="3"/>
      <c r="H2936" s="3"/>
    </row>
    <row r="2937" ht="13.65" customHeight="1">
      <c r="A2937" t="s" s="5">
        <v>726</v>
      </c>
      <c r="B2937" s="3"/>
      <c r="C2937" s="3"/>
      <c r="D2937" s="3"/>
      <c r="E2937" s="3"/>
      <c r="F2937" s="3"/>
      <c r="G2937" s="3"/>
      <c r="H2937" s="3"/>
    </row>
    <row r="2938" ht="13.65" customHeight="1">
      <c r="A2938" s="11"/>
      <c r="B2938" s="11"/>
      <c r="C2938" s="11"/>
      <c r="D2938" s="11"/>
      <c r="E2938" s="11"/>
      <c r="F2938" s="11"/>
      <c r="G2938" s="11"/>
      <c r="H2938" s="3"/>
    </row>
    <row r="2939" ht="13.65" customHeight="1">
      <c r="A2939" s="12"/>
      <c r="B2939" s="12"/>
      <c r="C2939" s="13"/>
      <c r="D2939" s="14"/>
      <c r="E2939" s="13"/>
      <c r="F2939" s="13"/>
      <c r="G2939" t="s" s="14">
        <v>252</v>
      </c>
      <c r="H2939" s="150"/>
    </row>
    <row r="2940" ht="13.65" customHeight="1">
      <c r="A2940" t="s" s="16">
        <v>93</v>
      </c>
      <c r="B2940" t="s" s="16">
        <v>94</v>
      </c>
      <c r="C2940" t="s" s="16">
        <v>95</v>
      </c>
      <c r="D2940" t="s" s="16">
        <v>96</v>
      </c>
      <c r="E2940" t="s" s="16">
        <v>97</v>
      </c>
      <c r="F2940" t="s" s="16">
        <v>98</v>
      </c>
      <c r="G2940" t="s" s="16">
        <v>99</v>
      </c>
      <c r="H2940" s="15"/>
    </row>
    <row r="2941" ht="13.65" customHeight="1">
      <c r="A2941" s="151"/>
      <c r="B2941" s="151"/>
      <c r="C2941" s="19"/>
      <c r="D2941" s="20"/>
      <c r="E2941" s="19"/>
      <c r="F2941" s="19"/>
      <c r="G2941" t="s" s="20">
        <v>100</v>
      </c>
      <c r="H2941" s="15"/>
    </row>
    <row r="2942" ht="13.65" customHeight="1">
      <c r="A2942" s="21">
        <v>72</v>
      </c>
      <c r="B2942" t="s" s="22">
        <v>101</v>
      </c>
      <c r="C2942" s="23">
        <v>50</v>
      </c>
      <c r="D2942" t="s" s="24">
        <v>102</v>
      </c>
      <c r="E2942" s="25">
        <v>1.93</v>
      </c>
      <c r="F2942" s="23">
        <v>25</v>
      </c>
      <c r="G2942" s="152" cm="1">
        <f t="array" ref="G2942">SUM(E2942/F2942)</f>
        <v>0.0772</v>
      </c>
      <c r="H2942" s="15"/>
    </row>
    <row r="2943" ht="13.65" customHeight="1">
      <c r="A2943" s="21">
        <v>123</v>
      </c>
      <c r="B2943" t="s" s="22">
        <v>103</v>
      </c>
      <c r="C2943" s="23">
        <v>40</v>
      </c>
      <c r="D2943" t="s" s="24">
        <v>104</v>
      </c>
      <c r="E2943" s="25">
        <v>3.2</v>
      </c>
      <c r="F2943" s="23">
        <v>40</v>
      </c>
      <c r="G2943" s="152" cm="1">
        <f t="array" ref="G2943">SUM(E2943/F2943)</f>
        <v>0.08</v>
      </c>
      <c r="H2943" s="15"/>
    </row>
    <row r="2944" ht="13.65" customHeight="1">
      <c r="A2944" s="21">
        <v>57</v>
      </c>
      <c r="B2944" t="s" s="22">
        <v>253</v>
      </c>
      <c r="C2944" t="s" s="24">
        <v>389</v>
      </c>
      <c r="D2944" t="s" s="24">
        <v>371</v>
      </c>
      <c r="E2944" s="25">
        <v>4.5</v>
      </c>
      <c r="F2944" s="23">
        <v>33</v>
      </c>
      <c r="G2944" s="152" cm="1">
        <f t="array" ref="G2944">SUM(E2944/F2944)</f>
        <v>0.136363636363636</v>
      </c>
      <c r="H2944" s="15"/>
    </row>
    <row r="2945" ht="13.65" customHeight="1">
      <c r="A2945" s="21">
        <v>86</v>
      </c>
      <c r="B2945" t="s" s="22">
        <v>107</v>
      </c>
      <c r="C2945" s="23">
        <v>1</v>
      </c>
      <c r="D2945" t="s" s="24">
        <v>102</v>
      </c>
      <c r="E2945" s="25">
        <v>0.32</v>
      </c>
      <c r="F2945" t="s" s="24">
        <v>387</v>
      </c>
      <c r="G2945" s="152" cm="1">
        <f t="array" ref="G2945">SUM(E2945*2)</f>
        <v>0.64</v>
      </c>
      <c r="H2945" s="15"/>
    </row>
    <row r="2946" ht="13.65" customHeight="1">
      <c r="A2946" s="21">
        <v>71</v>
      </c>
      <c r="B2946" t="s" s="22">
        <v>109</v>
      </c>
      <c r="C2946" s="23">
        <v>10</v>
      </c>
      <c r="D2946" t="s" s="24">
        <v>102</v>
      </c>
      <c r="E2946" s="25">
        <v>5.92</v>
      </c>
      <c r="F2946" s="23">
        <v>5</v>
      </c>
      <c r="G2946" s="152" cm="1">
        <f t="array" ref="G2946">SUM(E2946/F2946)</f>
        <v>1.184</v>
      </c>
      <c r="H2946" s="15"/>
    </row>
    <row r="2947" ht="13.65" customHeight="1">
      <c r="A2947" s="21">
        <v>87</v>
      </c>
      <c r="B2947" t="s" s="22">
        <v>110</v>
      </c>
      <c r="C2947" s="23">
        <v>50</v>
      </c>
      <c r="D2947" t="s" s="24">
        <v>102</v>
      </c>
      <c r="E2947" s="25">
        <v>9</v>
      </c>
      <c r="F2947" s="23">
        <v>25</v>
      </c>
      <c r="G2947" s="152" cm="1">
        <f t="array" ref="G2947">SUM(E2947/F2947)</f>
        <v>0.36</v>
      </c>
      <c r="H2947" s="15"/>
    </row>
    <row r="2948" ht="13.65" customHeight="1">
      <c r="A2948" s="21">
        <v>55</v>
      </c>
      <c r="B2948" t="s" s="22">
        <v>111</v>
      </c>
      <c r="C2948" t="s" s="24">
        <v>112</v>
      </c>
      <c r="D2948" t="s" s="24">
        <v>113</v>
      </c>
      <c r="E2948" s="25">
        <v>2.71</v>
      </c>
      <c r="F2948" s="23">
        <v>75</v>
      </c>
      <c r="G2948" s="152" cm="1">
        <f t="array" ref="G2948">SUM(E2948/F2948)</f>
        <v>0.0361333333333333</v>
      </c>
      <c r="H2948" s="15"/>
    </row>
    <row r="2949" ht="13.65" customHeight="1">
      <c r="A2949" s="21">
        <v>24</v>
      </c>
      <c r="B2949" t="s" s="22">
        <v>531</v>
      </c>
      <c r="C2949" s="23">
        <v>10</v>
      </c>
      <c r="D2949" t="s" s="24">
        <v>104</v>
      </c>
      <c r="E2949" s="25">
        <v>9.6</v>
      </c>
      <c r="F2949" s="23">
        <v>10</v>
      </c>
      <c r="G2949" s="152" cm="1">
        <f t="array" ref="G2949">SUM(E2949/F2949)</f>
        <v>0.96</v>
      </c>
      <c r="H2949" s="15"/>
    </row>
    <row r="2950" ht="13.65" customHeight="1">
      <c r="A2950" s="21">
        <v>107</v>
      </c>
      <c r="B2950" t="s" s="22">
        <v>573</v>
      </c>
      <c r="C2950" s="23">
        <v>1</v>
      </c>
      <c r="D2950" t="s" s="24">
        <v>401</v>
      </c>
      <c r="E2950" s="25">
        <v>2.54</v>
      </c>
      <c r="F2950" s="23">
        <v>30</v>
      </c>
      <c r="G2950" s="152" cm="1">
        <f t="array" ref="G2950">SUM(E2950/F2950)</f>
        <v>0.0846666666666667</v>
      </c>
      <c r="H2950" s="15"/>
    </row>
    <row r="2951" ht="13.65" customHeight="1">
      <c r="A2951" s="21">
        <v>113</v>
      </c>
      <c r="B2951" t="s" s="22">
        <v>727</v>
      </c>
      <c r="C2951" t="s" s="24">
        <v>537</v>
      </c>
      <c r="D2951" t="s" s="24">
        <v>640</v>
      </c>
      <c r="E2951" s="25">
        <v>61</v>
      </c>
      <c r="F2951" s="23">
        <v>5</v>
      </c>
      <c r="G2951" s="152" cm="1">
        <f t="array" ref="G2951">SUM(E2951/F2951)</f>
        <v>12.2</v>
      </c>
      <c r="H2951" s="15"/>
    </row>
    <row r="2952" ht="13.65" customHeight="1">
      <c r="A2952" s="21">
        <v>100</v>
      </c>
      <c r="B2952" t="s" s="22">
        <v>376</v>
      </c>
      <c r="C2952" t="s" s="24">
        <v>377</v>
      </c>
      <c r="D2952" t="s" s="24">
        <v>378</v>
      </c>
      <c r="E2952" s="25">
        <v>4.5</v>
      </c>
      <c r="F2952" s="23">
        <v>40</v>
      </c>
      <c r="G2952" s="152" cm="1">
        <f t="array" ref="G2952">SUM(E2952/F2952)</f>
        <v>0.1125</v>
      </c>
      <c r="H2952" s="15"/>
    </row>
    <row r="2953" ht="13.65" customHeight="1">
      <c r="A2953" s="21">
        <v>124</v>
      </c>
      <c r="B2953" t="s" s="22">
        <v>372</v>
      </c>
      <c r="C2953" s="23">
        <v>1</v>
      </c>
      <c r="D2953" t="s" s="24">
        <v>373</v>
      </c>
      <c r="E2953" s="25">
        <v>2.2</v>
      </c>
      <c r="F2953" s="23">
        <v>15</v>
      </c>
      <c r="G2953" s="152" cm="1">
        <f t="array" ref="G2953">SUM(E2953/F2953)</f>
        <v>0.146666666666667</v>
      </c>
      <c r="H2953" s="15"/>
    </row>
    <row r="2954" ht="13.65" customHeight="1">
      <c r="A2954" s="21">
        <v>58</v>
      </c>
      <c r="B2954" t="s" s="22">
        <v>728</v>
      </c>
      <c r="C2954" t="s" s="24">
        <v>729</v>
      </c>
      <c r="D2954" t="s" s="24">
        <v>520</v>
      </c>
      <c r="E2954" s="25">
        <v>6</v>
      </c>
      <c r="F2954" s="23">
        <v>15</v>
      </c>
      <c r="G2954" s="152" cm="1">
        <f t="array" ref="G2954">SUM(E2954/F2954)</f>
        <v>0.4</v>
      </c>
      <c r="H2954" s="15"/>
    </row>
    <row r="2955" ht="13.65" customHeight="1">
      <c r="A2955" s="21">
        <v>117</v>
      </c>
      <c r="B2955" t="s" s="22">
        <v>730</v>
      </c>
      <c r="C2955" s="23">
        <v>100</v>
      </c>
      <c r="D2955" t="s" s="24">
        <v>460</v>
      </c>
      <c r="E2955" s="25">
        <v>1.2</v>
      </c>
      <c r="F2955" s="23">
        <v>20</v>
      </c>
      <c r="G2955" s="152" cm="1">
        <f t="array" ref="G2955">SUM(E2955/F2955)</f>
        <v>0.06</v>
      </c>
      <c r="H2955" s="15"/>
    </row>
    <row r="2956" ht="13.65" customHeight="1">
      <c r="A2956" s="21">
        <v>4</v>
      </c>
      <c r="B2956" t="s" s="22">
        <v>512</v>
      </c>
      <c r="C2956" t="s" s="24">
        <v>731</v>
      </c>
      <c r="D2956" t="s" s="24">
        <v>514</v>
      </c>
      <c r="E2956" s="25">
        <v>64</v>
      </c>
      <c r="F2956" s="23">
        <v>22</v>
      </c>
      <c r="G2956" s="152" cm="1">
        <f t="array" ref="G2956">SUM(E2956/F2956)</f>
        <v>2.90909090909091</v>
      </c>
      <c r="H2956" s="15"/>
    </row>
    <row r="2957" ht="13.65" customHeight="1">
      <c r="A2957" s="28"/>
      <c r="B2957" s="28"/>
      <c r="C2957" s="27"/>
      <c r="D2957" s="24"/>
      <c r="E2957" s="27"/>
      <c r="F2957" t="s" s="29">
        <v>118</v>
      </c>
      <c r="G2957" s="197" cm="1">
        <f t="array" ref="G2957">SUM(G2942:G2956)</f>
        <v>19.3866212121212</v>
      </c>
      <c r="H2957" s="15"/>
    </row>
    <row r="2958" ht="13.65" customHeight="1">
      <c r="A2958" s="129"/>
      <c r="B2958" s="129"/>
      <c r="C2958" s="129"/>
      <c r="D2958" s="129"/>
      <c r="E2958" s="129"/>
      <c r="F2958" s="31"/>
      <c r="G2958" s="31"/>
      <c r="H2958" s="3"/>
    </row>
    <row r="2959" ht="11.7" customHeight="1">
      <c r="A2959" t="s" s="167">
        <v>136</v>
      </c>
      <c r="B2959" t="s" s="167">
        <v>281</v>
      </c>
      <c r="C2959" t="s" s="167">
        <v>282</v>
      </c>
      <c r="D2959" t="s" s="168">
        <v>283</v>
      </c>
      <c r="E2959" s="169"/>
      <c r="F2959" s="170"/>
      <c r="G2959" s="171"/>
      <c r="H2959" s="171"/>
    </row>
    <row r="2960" ht="13.65" customHeight="1">
      <c r="A2960" s="23">
        <v>80</v>
      </c>
      <c r="B2960" s="172" cm="1">
        <f t="array" ref="B2960">SUM(H256)</f>
        <v>2.47496540404041</v>
      </c>
      <c r="C2960" s="172" cm="1">
        <f t="array" ref="C2960">SUM(G2957)</f>
        <v>19.3866212121212</v>
      </c>
      <c r="D2960" s="199" cm="1">
        <f t="array" ref="D2960">SUM(A2960*B2960)+(C2960)</f>
        <v>217.383853535354</v>
      </c>
      <c r="E2960" s="200"/>
      <c r="F2960" s="15"/>
      <c r="G2960" s="3"/>
      <c r="H2960" s="3"/>
    </row>
    <row r="2961" ht="13.65" customHeight="1">
      <c r="A2961" s="31"/>
      <c r="B2961" s="31"/>
      <c r="C2961" s="31"/>
      <c r="D2961" s="31"/>
      <c r="E2961" s="31"/>
      <c r="F2961" s="3"/>
      <c r="G2961" s="3"/>
      <c r="H2961" s="3"/>
    </row>
    <row r="2962" ht="13.65" customHeight="1">
      <c r="A2962" s="3"/>
      <c r="B2962" s="3"/>
      <c r="C2962" s="3"/>
      <c r="D2962" s="3"/>
      <c r="E2962" s="3"/>
      <c r="F2962" s="3"/>
      <c r="G2962" s="3"/>
      <c r="H2962" s="3"/>
    </row>
    <row r="2963" ht="13.65" customHeight="1">
      <c r="A2963" t="s" s="5">
        <v>732</v>
      </c>
      <c r="B2963" s="3"/>
      <c r="C2963" s="3"/>
      <c r="D2963" s="3"/>
      <c r="E2963" s="3"/>
      <c r="F2963" s="3"/>
      <c r="G2963" s="3"/>
      <c r="H2963" s="3"/>
    </row>
    <row r="2964" ht="13.65" customHeight="1">
      <c r="A2964" s="11"/>
      <c r="B2964" s="11"/>
      <c r="C2964" s="11"/>
      <c r="D2964" s="11"/>
      <c r="E2964" s="11"/>
      <c r="F2964" s="11"/>
      <c r="G2964" s="11"/>
      <c r="H2964" s="3"/>
    </row>
    <row r="2965" ht="13.65" customHeight="1">
      <c r="A2965" s="12"/>
      <c r="B2965" s="12"/>
      <c r="C2965" s="13"/>
      <c r="D2965" s="14"/>
      <c r="E2965" s="13"/>
      <c r="F2965" s="13"/>
      <c r="G2965" t="s" s="14">
        <v>252</v>
      </c>
      <c r="H2965" s="150"/>
    </row>
    <row r="2966" ht="13.65" customHeight="1">
      <c r="A2966" t="s" s="16">
        <v>93</v>
      </c>
      <c r="B2966" t="s" s="16">
        <v>94</v>
      </c>
      <c r="C2966" t="s" s="16">
        <v>95</v>
      </c>
      <c r="D2966" t="s" s="16">
        <v>96</v>
      </c>
      <c r="E2966" t="s" s="16">
        <v>97</v>
      </c>
      <c r="F2966" t="s" s="16">
        <v>98</v>
      </c>
      <c r="G2966" t="s" s="16">
        <v>99</v>
      </c>
      <c r="H2966" s="15"/>
    </row>
    <row r="2967" ht="13.65" customHeight="1">
      <c r="A2967" s="151"/>
      <c r="B2967" s="151"/>
      <c r="C2967" s="19"/>
      <c r="D2967" s="20"/>
      <c r="E2967" s="19"/>
      <c r="F2967" s="19"/>
      <c r="G2967" t="s" s="20">
        <v>100</v>
      </c>
      <c r="H2967" s="15"/>
    </row>
    <row r="2968" ht="13.65" customHeight="1">
      <c r="A2968" s="21">
        <v>72</v>
      </c>
      <c r="B2968" t="s" s="22">
        <v>101</v>
      </c>
      <c r="C2968" s="23">
        <v>50</v>
      </c>
      <c r="D2968" t="s" s="24">
        <v>274</v>
      </c>
      <c r="E2968" s="25">
        <v>1.93</v>
      </c>
      <c r="F2968" s="23">
        <v>12.5</v>
      </c>
      <c r="G2968" s="152" cm="1">
        <f t="array" ref="G2968">SUM(E2968/F2968)</f>
        <v>0.1544</v>
      </c>
      <c r="H2968" s="15"/>
    </row>
    <row r="2969" ht="13.65" customHeight="1">
      <c r="A2969" s="21">
        <v>123</v>
      </c>
      <c r="B2969" t="s" s="22">
        <v>103</v>
      </c>
      <c r="C2969" s="23">
        <v>40</v>
      </c>
      <c r="D2969" t="s" s="24">
        <v>104</v>
      </c>
      <c r="E2969" s="25">
        <v>3.2</v>
      </c>
      <c r="F2969" s="23">
        <v>40</v>
      </c>
      <c r="G2969" s="152" cm="1">
        <f t="array" ref="G2969">SUM(E2969/F2969)</f>
        <v>0.08</v>
      </c>
      <c r="H2969" s="15"/>
    </row>
    <row r="2970" ht="13.65" customHeight="1">
      <c r="A2970" s="21">
        <v>86</v>
      </c>
      <c r="B2970" t="s" s="22">
        <v>107</v>
      </c>
      <c r="C2970" s="23">
        <v>1</v>
      </c>
      <c r="D2970" t="s" s="24">
        <v>274</v>
      </c>
      <c r="E2970" s="25">
        <v>0.32</v>
      </c>
      <c r="F2970" t="s" s="24">
        <v>301</v>
      </c>
      <c r="G2970" s="152" cm="1">
        <f t="array" ref="G2970">SUM(E2970*4)</f>
        <v>1.28</v>
      </c>
      <c r="H2970" s="15"/>
    </row>
    <row r="2971" ht="13.65" customHeight="1">
      <c r="A2971" s="21">
        <v>71</v>
      </c>
      <c r="B2971" t="s" s="22">
        <v>109</v>
      </c>
      <c r="C2971" s="23">
        <v>10</v>
      </c>
      <c r="D2971" t="s" s="24">
        <v>274</v>
      </c>
      <c r="E2971" s="25">
        <v>5.92</v>
      </c>
      <c r="F2971" s="23">
        <v>2.5</v>
      </c>
      <c r="G2971" s="152" cm="1">
        <f t="array" ref="G2971">SUM(E2971/F2971)</f>
        <v>2.368</v>
      </c>
      <c r="H2971" s="15"/>
    </row>
    <row r="2972" ht="13.65" customHeight="1">
      <c r="A2972" s="21">
        <v>87</v>
      </c>
      <c r="B2972" t="s" s="22">
        <v>110</v>
      </c>
      <c r="C2972" s="23">
        <v>50</v>
      </c>
      <c r="D2972" t="s" s="24">
        <v>274</v>
      </c>
      <c r="E2972" s="25">
        <v>9</v>
      </c>
      <c r="F2972" s="23">
        <v>12.5</v>
      </c>
      <c r="G2972" s="152" cm="1">
        <f t="array" ref="G2972">SUM(E2972/F2972)</f>
        <v>0.72</v>
      </c>
      <c r="H2972" s="15"/>
    </row>
    <row r="2973" ht="13.65" customHeight="1">
      <c r="A2973" s="21">
        <v>55</v>
      </c>
      <c r="B2973" t="s" s="22">
        <v>111</v>
      </c>
      <c r="C2973" t="s" s="24">
        <v>112</v>
      </c>
      <c r="D2973" t="s" s="24">
        <v>113</v>
      </c>
      <c r="E2973" s="25">
        <v>2.71</v>
      </c>
      <c r="F2973" s="23">
        <v>75</v>
      </c>
      <c r="G2973" s="152" cm="1">
        <f t="array" ref="G2973">SUM(E2973/F2973)</f>
        <v>0.0361333333333333</v>
      </c>
      <c r="H2973" s="15"/>
    </row>
    <row r="2974" ht="13.65" customHeight="1">
      <c r="A2974" s="21">
        <v>24</v>
      </c>
      <c r="B2974" t="s" s="22">
        <v>572</v>
      </c>
      <c r="C2974" s="23">
        <v>10</v>
      </c>
      <c r="D2974" t="s" s="24">
        <v>102</v>
      </c>
      <c r="E2974" s="25">
        <v>9.6</v>
      </c>
      <c r="F2974" s="23">
        <v>5</v>
      </c>
      <c r="G2974" s="152" cm="1">
        <f t="array" ref="G2974">SUM(E2974/F2974)</f>
        <v>1.92</v>
      </c>
      <c r="H2974" s="15"/>
    </row>
    <row r="2975" ht="13.65" customHeight="1">
      <c r="A2975" s="21">
        <v>107</v>
      </c>
      <c r="B2975" t="s" s="22">
        <v>733</v>
      </c>
      <c r="C2975" s="23">
        <v>1</v>
      </c>
      <c r="D2975" t="s" s="24">
        <v>401</v>
      </c>
      <c r="E2975" s="25">
        <v>2.54</v>
      </c>
      <c r="F2975" s="23">
        <v>30</v>
      </c>
      <c r="G2975" s="152" cm="1">
        <f t="array" ref="G2975">SUM(E2975/F2975)</f>
        <v>0.0846666666666667</v>
      </c>
      <c r="H2975" s="15"/>
    </row>
    <row r="2976" ht="13.65" customHeight="1">
      <c r="A2976" s="21">
        <v>18</v>
      </c>
      <c r="B2976" t="s" s="22">
        <v>574</v>
      </c>
      <c r="C2976" s="23">
        <v>2</v>
      </c>
      <c r="D2976" t="s" s="24">
        <v>575</v>
      </c>
      <c r="E2976" s="25">
        <v>25</v>
      </c>
      <c r="F2976" s="23">
        <v>5</v>
      </c>
      <c r="G2976" s="152" cm="1">
        <f t="array" ref="G2976">SUM(E2976/F2976)</f>
        <v>5</v>
      </c>
      <c r="H2976" s="15"/>
    </row>
    <row r="2977" ht="13.65" customHeight="1">
      <c r="A2977" s="21">
        <v>124</v>
      </c>
      <c r="B2977" t="s" s="22">
        <v>372</v>
      </c>
      <c r="C2977" s="23">
        <v>1</v>
      </c>
      <c r="D2977" t="s" s="24">
        <v>373</v>
      </c>
      <c r="E2977" s="25">
        <v>2.2</v>
      </c>
      <c r="F2977" s="23">
        <v>15</v>
      </c>
      <c r="G2977" s="152" cm="1">
        <f t="array" ref="G2977">SUM(E2977/F2977)</f>
        <v>0.146666666666667</v>
      </c>
      <c r="H2977" s="15"/>
    </row>
    <row r="2978" ht="13.65" customHeight="1">
      <c r="A2978" s="21">
        <v>101</v>
      </c>
      <c r="B2978" t="s" s="22">
        <v>407</v>
      </c>
      <c r="C2978" t="s" s="24">
        <v>380</v>
      </c>
      <c r="D2978" t="s" s="24">
        <v>424</v>
      </c>
      <c r="E2978" s="25">
        <v>7.5</v>
      </c>
      <c r="F2978" s="23">
        <v>100</v>
      </c>
      <c r="G2978" s="152" cm="1">
        <f t="array" ref="G2978">SUM(E2978/F2978)</f>
        <v>0.075</v>
      </c>
      <c r="H2978" s="15"/>
    </row>
    <row r="2979" ht="13.65" customHeight="1">
      <c r="A2979" s="21">
        <v>61</v>
      </c>
      <c r="B2979" t="s" s="22">
        <v>388</v>
      </c>
      <c r="C2979" t="s" s="24">
        <v>389</v>
      </c>
      <c r="D2979" t="s" s="24">
        <v>390</v>
      </c>
      <c r="E2979" s="25">
        <v>3</v>
      </c>
      <c r="F2979" s="23">
        <v>10</v>
      </c>
      <c r="G2979" s="152" cm="1">
        <f t="array" ref="G2979">SUM(E2979/F2979)</f>
        <v>0.3</v>
      </c>
      <c r="H2979" s="15"/>
    </row>
    <row r="2980" ht="13.65" customHeight="1">
      <c r="A2980" s="28"/>
      <c r="B2980" s="28"/>
      <c r="C2980" s="27"/>
      <c r="D2980" s="24"/>
      <c r="E2980" s="27"/>
      <c r="F2980" t="s" s="29">
        <v>118</v>
      </c>
      <c r="G2980" s="197" cm="1">
        <f t="array" ref="G2980">SUM(G2968:G2979)</f>
        <v>12.1648666666667</v>
      </c>
      <c r="H2980" s="15"/>
    </row>
    <row r="2981" ht="13.65" customHeight="1">
      <c r="A2981" s="129"/>
      <c r="B2981" s="129"/>
      <c r="C2981" s="129"/>
      <c r="D2981" s="129"/>
      <c r="E2981" s="129"/>
      <c r="F2981" s="31"/>
      <c r="G2981" s="31"/>
      <c r="H2981" s="3"/>
    </row>
    <row r="2982" ht="11.7" customHeight="1">
      <c r="A2982" t="s" s="167">
        <v>136</v>
      </c>
      <c r="B2982" t="s" s="167">
        <v>281</v>
      </c>
      <c r="C2982" t="s" s="167">
        <v>282</v>
      </c>
      <c r="D2982" t="s" s="168">
        <v>283</v>
      </c>
      <c r="E2982" s="169"/>
      <c r="F2982" s="170"/>
      <c r="G2982" s="171"/>
      <c r="H2982" s="171"/>
    </row>
    <row r="2983" ht="13.65" customHeight="1">
      <c r="A2983" s="23">
        <v>45</v>
      </c>
      <c r="B2983" s="172" cm="1">
        <f t="array" ref="B2983">SUM(H256)</f>
        <v>2.47496540404041</v>
      </c>
      <c r="C2983" s="172" cm="1">
        <f t="array" ref="C2983">SUM(G2980)</f>
        <v>12.1648666666667</v>
      </c>
      <c r="D2983" s="199" cm="1">
        <f t="array" ref="D2983">SUM(A2983*B2983)+(C2983)</f>
        <v>123.538309848485</v>
      </c>
      <c r="E2983" s="200"/>
      <c r="F2983" s="15"/>
      <c r="G2983" s="3"/>
      <c r="H2983" s="3"/>
    </row>
    <row r="2984" ht="13.65" customHeight="1">
      <c r="A2984" s="31"/>
      <c r="B2984" s="31"/>
      <c r="C2984" s="31"/>
      <c r="D2984" s="31"/>
      <c r="E2984" s="31"/>
      <c r="F2984" s="3"/>
      <c r="G2984" s="3"/>
      <c r="H2984" s="3"/>
    </row>
    <row r="2985" ht="13.65" customHeight="1">
      <c r="A2985" s="203"/>
      <c r="B2985" s="203"/>
      <c r="C2985" s="203"/>
      <c r="D2985" s="203"/>
      <c r="E2985" s="203"/>
      <c r="F2985" s="203"/>
      <c r="G2985" s="203"/>
      <c r="H2985" s="203"/>
    </row>
    <row r="2986" ht="13.65" customHeight="1">
      <c r="A2986" t="s" s="274">
        <v>185</v>
      </c>
      <c r="B2986" s="275"/>
      <c r="C2986" s="275"/>
      <c r="D2986" s="275"/>
      <c r="E2986" s="280"/>
      <c r="F2986" s="275"/>
      <c r="G2986" s="275"/>
      <c r="H2986" s="277"/>
    </row>
    <row r="2987" ht="13.65" customHeight="1">
      <c r="A2987" s="278"/>
      <c r="B2987" s="278"/>
      <c r="C2987" s="278"/>
      <c r="D2987" s="278"/>
      <c r="E2987" s="278"/>
      <c r="F2987" s="278"/>
      <c r="G2987" s="278"/>
      <c r="H2987" s="278"/>
    </row>
    <row r="2988" ht="13.65" customHeight="1">
      <c r="A2988" s="3"/>
      <c r="B2988" s="3"/>
      <c r="C2988" s="3"/>
      <c r="D2988" s="3"/>
      <c r="E2988" s="3"/>
      <c r="F2988" s="3"/>
      <c r="G2988" s="3"/>
      <c r="H2988" s="3"/>
    </row>
    <row r="2989" ht="13.65" customHeight="1">
      <c r="A2989" t="s" s="5">
        <v>734</v>
      </c>
      <c r="B2989" s="3"/>
      <c r="C2989" s="3"/>
      <c r="D2989" s="3"/>
      <c r="E2989" s="3"/>
      <c r="F2989" s="3"/>
      <c r="G2989" s="3"/>
      <c r="H2989" s="3"/>
    </row>
    <row r="2990" ht="13.65" customHeight="1">
      <c r="A2990" s="11"/>
      <c r="B2990" s="11"/>
      <c r="C2990" s="11"/>
      <c r="D2990" s="11"/>
      <c r="E2990" s="11"/>
      <c r="F2990" s="11"/>
      <c r="G2990" s="11"/>
      <c r="H2990" s="3"/>
    </row>
    <row r="2991" ht="13.65" customHeight="1">
      <c r="A2991" s="12"/>
      <c r="B2991" s="12"/>
      <c r="C2991" s="13"/>
      <c r="D2991" s="14"/>
      <c r="E2991" s="13"/>
      <c r="F2991" s="13"/>
      <c r="G2991" t="s" s="14">
        <v>252</v>
      </c>
      <c r="H2991" s="150"/>
    </row>
    <row r="2992" ht="13.65" customHeight="1">
      <c r="A2992" t="s" s="16">
        <v>93</v>
      </c>
      <c r="B2992" t="s" s="16">
        <v>94</v>
      </c>
      <c r="C2992" t="s" s="16">
        <v>95</v>
      </c>
      <c r="D2992" t="s" s="16">
        <v>96</v>
      </c>
      <c r="E2992" t="s" s="16">
        <v>97</v>
      </c>
      <c r="F2992" t="s" s="16">
        <v>98</v>
      </c>
      <c r="G2992" t="s" s="16">
        <v>99</v>
      </c>
      <c r="H2992" s="15"/>
    </row>
    <row r="2993" ht="13.65" customHeight="1">
      <c r="A2993" s="151"/>
      <c r="B2993" s="151"/>
      <c r="C2993" s="19"/>
      <c r="D2993" s="20"/>
      <c r="E2993" s="19"/>
      <c r="F2993" s="19"/>
      <c r="G2993" t="s" s="20">
        <v>100</v>
      </c>
      <c r="H2993" s="15"/>
    </row>
    <row r="2994" ht="13.65" customHeight="1">
      <c r="A2994" s="21">
        <v>72</v>
      </c>
      <c r="B2994" t="s" s="22">
        <v>101</v>
      </c>
      <c r="C2994" s="23">
        <v>50</v>
      </c>
      <c r="D2994" t="s" s="24">
        <v>102</v>
      </c>
      <c r="E2994" s="25">
        <v>1.93</v>
      </c>
      <c r="F2994" s="23">
        <v>25</v>
      </c>
      <c r="G2994" s="152" cm="1">
        <f t="array" ref="G2994">SUM(E2994/F2994)</f>
        <v>0.0772</v>
      </c>
      <c r="H2994" s="15"/>
    </row>
    <row r="2995" ht="13.65" customHeight="1">
      <c r="A2995" s="21">
        <v>123</v>
      </c>
      <c r="B2995" t="s" s="22">
        <v>103</v>
      </c>
      <c r="C2995" s="23">
        <v>40</v>
      </c>
      <c r="D2995" t="s" s="24">
        <v>104</v>
      </c>
      <c r="E2995" s="25">
        <v>3.2</v>
      </c>
      <c r="F2995" s="23">
        <v>40</v>
      </c>
      <c r="G2995" s="152" cm="1">
        <f t="array" ref="G2995">SUM(E2995/F2995)</f>
        <v>0.08</v>
      </c>
      <c r="H2995" s="15"/>
    </row>
    <row r="2996" ht="13.65" customHeight="1">
      <c r="A2996" s="21">
        <v>57</v>
      </c>
      <c r="B2996" t="s" s="22">
        <v>253</v>
      </c>
      <c r="C2996" t="s" s="24">
        <v>389</v>
      </c>
      <c r="D2996" t="s" s="24">
        <v>371</v>
      </c>
      <c r="E2996" s="25">
        <v>4.5</v>
      </c>
      <c r="F2996" s="23">
        <v>33</v>
      </c>
      <c r="G2996" s="152" cm="1">
        <f t="array" ref="G2996">SUM(E2996/F2996)</f>
        <v>0.136363636363636</v>
      </c>
      <c r="H2996" s="15"/>
    </row>
    <row r="2997" ht="13.65" customHeight="1">
      <c r="A2997" s="21">
        <v>65</v>
      </c>
      <c r="B2997" t="s" s="22">
        <v>394</v>
      </c>
      <c r="C2997" s="23">
        <v>500</v>
      </c>
      <c r="D2997" t="s" s="24">
        <v>460</v>
      </c>
      <c r="E2997" s="25">
        <v>26</v>
      </c>
      <c r="F2997" s="23">
        <v>100</v>
      </c>
      <c r="G2997" s="152" cm="1">
        <f t="array" ref="G2997">SUM(E2997/F2997)</f>
        <v>0.26</v>
      </c>
      <c r="H2997" s="15"/>
    </row>
    <row r="2998" ht="13.65" customHeight="1">
      <c r="A2998" s="21">
        <v>86</v>
      </c>
      <c r="B2998" t="s" s="22">
        <v>107</v>
      </c>
      <c r="C2998" s="23">
        <v>1</v>
      </c>
      <c r="D2998" t="s" s="24">
        <v>102</v>
      </c>
      <c r="E2998" s="25">
        <v>0.32</v>
      </c>
      <c r="F2998" t="s" s="24">
        <v>387</v>
      </c>
      <c r="G2998" s="152" cm="1">
        <f t="array" ref="G2998">SUM(E2998*2)</f>
        <v>0.64</v>
      </c>
      <c r="H2998" s="15"/>
    </row>
    <row r="2999" ht="13.65" customHeight="1">
      <c r="A2999" s="21">
        <v>71</v>
      </c>
      <c r="B2999" t="s" s="22">
        <v>109</v>
      </c>
      <c r="C2999" s="23">
        <v>10</v>
      </c>
      <c r="D2999" t="s" s="24">
        <v>102</v>
      </c>
      <c r="E2999" s="25">
        <v>5.92</v>
      </c>
      <c r="F2999" s="23">
        <v>5</v>
      </c>
      <c r="G2999" s="152" cm="1">
        <f t="array" ref="G2999">SUM(E2999/F2999)</f>
        <v>1.184</v>
      </c>
      <c r="H2999" s="15"/>
    </row>
    <row r="3000" ht="13.65" customHeight="1">
      <c r="A3000" s="21">
        <v>87</v>
      </c>
      <c r="B3000" t="s" s="22">
        <v>110</v>
      </c>
      <c r="C3000" s="23">
        <v>50</v>
      </c>
      <c r="D3000" t="s" s="24">
        <v>102</v>
      </c>
      <c r="E3000" s="25">
        <v>9</v>
      </c>
      <c r="F3000" s="23">
        <v>25</v>
      </c>
      <c r="G3000" s="152" cm="1">
        <f t="array" ref="G3000">SUM(E3000/F3000)</f>
        <v>0.36</v>
      </c>
      <c r="H3000" s="15"/>
    </row>
    <row r="3001" ht="13.65" customHeight="1">
      <c r="A3001" s="21">
        <v>55</v>
      </c>
      <c r="B3001" t="s" s="22">
        <v>111</v>
      </c>
      <c r="C3001" t="s" s="24">
        <v>112</v>
      </c>
      <c r="D3001" t="s" s="24">
        <v>113</v>
      </c>
      <c r="E3001" s="25">
        <v>2.71</v>
      </c>
      <c r="F3001" s="23">
        <v>75</v>
      </c>
      <c r="G3001" s="152" cm="1">
        <f t="array" ref="G3001">SUM(E3001/F3001)</f>
        <v>0.0361333333333333</v>
      </c>
      <c r="H3001" s="15"/>
    </row>
    <row r="3002" ht="13.65" customHeight="1">
      <c r="A3002" s="21">
        <v>107</v>
      </c>
      <c r="B3002" t="s" s="22">
        <v>733</v>
      </c>
      <c r="C3002" s="23">
        <v>1</v>
      </c>
      <c r="D3002" t="s" s="24">
        <v>401</v>
      </c>
      <c r="E3002" s="25">
        <v>2.54</v>
      </c>
      <c r="F3002" s="23">
        <v>30</v>
      </c>
      <c r="G3002" s="152" cm="1">
        <f t="array" ref="G3002">SUM(E3002/F3002)</f>
        <v>0.0846666666666667</v>
      </c>
      <c r="H3002" s="15"/>
    </row>
    <row r="3003" ht="13.65" customHeight="1">
      <c r="A3003" s="21">
        <v>44</v>
      </c>
      <c r="B3003" t="s" s="22">
        <v>400</v>
      </c>
      <c r="C3003" s="23">
        <v>1</v>
      </c>
      <c r="D3003" t="s" s="24">
        <v>401</v>
      </c>
      <c r="E3003" s="25">
        <v>74</v>
      </c>
      <c r="F3003" s="23">
        <v>30</v>
      </c>
      <c r="G3003" s="152" cm="1">
        <f t="array" ref="G3003">SUM(E3003/F3003)</f>
        <v>2.46666666666667</v>
      </c>
      <c r="H3003" s="15"/>
    </row>
    <row r="3004" ht="13.65" customHeight="1">
      <c r="A3004" s="21">
        <v>127</v>
      </c>
      <c r="B3004" t="s" s="22">
        <v>735</v>
      </c>
      <c r="C3004" s="23">
        <v>100</v>
      </c>
      <c r="D3004" t="s" s="24">
        <v>104</v>
      </c>
      <c r="E3004" s="25">
        <v>6.5</v>
      </c>
      <c r="F3004" s="23">
        <v>100</v>
      </c>
      <c r="G3004" s="152" cm="1">
        <f t="array" ref="G3004">SUM(E3004/F3004)</f>
        <v>0.065</v>
      </c>
      <c r="H3004" s="15"/>
    </row>
    <row r="3005" ht="13.65" customHeight="1">
      <c r="A3005" s="21">
        <v>126</v>
      </c>
      <c r="B3005" t="s" s="22">
        <v>736</v>
      </c>
      <c r="C3005" s="23">
        <v>150</v>
      </c>
      <c r="D3005" t="s" s="24">
        <v>102</v>
      </c>
      <c r="E3005" s="25">
        <v>14</v>
      </c>
      <c r="F3005" s="23">
        <v>75</v>
      </c>
      <c r="G3005" s="152" cm="1">
        <f t="array" ref="G3005">SUM(E3005/F3005)</f>
        <v>0.186666666666667</v>
      </c>
      <c r="H3005" s="15"/>
    </row>
    <row r="3006" ht="13.65" customHeight="1">
      <c r="A3006" s="21">
        <v>18</v>
      </c>
      <c r="B3006" t="s" s="22">
        <v>506</v>
      </c>
      <c r="C3006" s="23">
        <v>6</v>
      </c>
      <c r="D3006" t="s" s="24">
        <v>401</v>
      </c>
      <c r="E3006" s="25">
        <v>25</v>
      </c>
      <c r="F3006" s="23">
        <v>30</v>
      </c>
      <c r="G3006" s="152" cm="1">
        <f t="array" ref="G3006">SUM(E3006/F3006)</f>
        <v>0.833333333333333</v>
      </c>
      <c r="H3006" s="15"/>
    </row>
    <row r="3007" ht="13.65" customHeight="1">
      <c r="A3007" s="28"/>
      <c r="B3007" s="28"/>
      <c r="C3007" s="27"/>
      <c r="D3007" s="24"/>
      <c r="E3007" s="27"/>
      <c r="F3007" t="s" s="29">
        <v>118</v>
      </c>
      <c r="G3007" s="197" cm="1">
        <f t="array" ref="G3007">SUM(G2994:G3006)</f>
        <v>6.41003030303031</v>
      </c>
      <c r="H3007" s="15"/>
    </row>
    <row r="3008" ht="13.65" customHeight="1">
      <c r="A3008" s="129"/>
      <c r="B3008" s="129"/>
      <c r="C3008" s="129"/>
      <c r="D3008" s="129"/>
      <c r="E3008" s="129"/>
      <c r="F3008" s="31"/>
      <c r="G3008" s="31"/>
      <c r="H3008" s="3"/>
    </row>
    <row r="3009" ht="11.7" customHeight="1">
      <c r="A3009" t="s" s="167">
        <v>136</v>
      </c>
      <c r="B3009" t="s" s="167">
        <v>281</v>
      </c>
      <c r="C3009" t="s" s="167">
        <v>282</v>
      </c>
      <c r="D3009" t="s" s="168">
        <v>283</v>
      </c>
      <c r="E3009" s="169"/>
      <c r="F3009" s="170"/>
      <c r="G3009" s="171"/>
      <c r="H3009" s="171"/>
    </row>
    <row r="3010" ht="13.65" customHeight="1">
      <c r="A3010" s="23">
        <v>50</v>
      </c>
      <c r="B3010" s="172" cm="1">
        <f t="array" ref="B3010">SUM(H256)</f>
        <v>2.47496540404041</v>
      </c>
      <c r="C3010" s="172" cm="1">
        <f t="array" ref="C3010">SUM(G3007)</f>
        <v>6.41003030303031</v>
      </c>
      <c r="D3010" s="199" cm="1">
        <f t="array" ref="D3010">SUM(A3010*B3010)+(C3010)</f>
        <v>130.158300505051</v>
      </c>
      <c r="E3010" s="200"/>
      <c r="F3010" s="15"/>
      <c r="G3010" s="3"/>
      <c r="H3010" s="3"/>
    </row>
    <row r="3011" ht="13.65" customHeight="1">
      <c r="A3011" s="31"/>
      <c r="B3011" s="31"/>
      <c r="C3011" s="31"/>
      <c r="D3011" s="31"/>
      <c r="E3011" s="31"/>
      <c r="F3011" s="3"/>
      <c r="G3011" s="3"/>
      <c r="H3011" s="3"/>
    </row>
    <row r="3012" ht="13.65" customHeight="1">
      <c r="A3012" s="3"/>
      <c r="B3012" s="3"/>
      <c r="C3012" s="3"/>
      <c r="D3012" s="3"/>
      <c r="E3012" s="3"/>
      <c r="F3012" s="3"/>
      <c r="G3012" s="3"/>
      <c r="H3012" s="3"/>
    </row>
    <row r="3013" ht="13.65" customHeight="1">
      <c r="A3013" t="s" s="5">
        <v>737</v>
      </c>
      <c r="B3013" s="3"/>
      <c r="C3013" s="3"/>
      <c r="D3013" s="3"/>
      <c r="E3013" s="3"/>
      <c r="F3013" s="3"/>
      <c r="G3013" s="3"/>
      <c r="H3013" s="3"/>
    </row>
    <row r="3014" ht="13.65" customHeight="1">
      <c r="A3014" s="11"/>
      <c r="B3014" s="11"/>
      <c r="C3014" s="11"/>
      <c r="D3014" s="11"/>
      <c r="E3014" s="11"/>
      <c r="F3014" s="11"/>
      <c r="G3014" s="11"/>
      <c r="H3014" s="3"/>
    </row>
    <row r="3015" ht="13.65" customHeight="1">
      <c r="A3015" s="12"/>
      <c r="B3015" s="12"/>
      <c r="C3015" s="13"/>
      <c r="D3015" s="14"/>
      <c r="E3015" s="13"/>
      <c r="F3015" s="13"/>
      <c r="G3015" t="s" s="14">
        <v>252</v>
      </c>
      <c r="H3015" s="150"/>
    </row>
    <row r="3016" ht="13.65" customHeight="1">
      <c r="A3016" t="s" s="16">
        <v>93</v>
      </c>
      <c r="B3016" t="s" s="16">
        <v>94</v>
      </c>
      <c r="C3016" t="s" s="16">
        <v>95</v>
      </c>
      <c r="D3016" t="s" s="16">
        <v>96</v>
      </c>
      <c r="E3016" t="s" s="16">
        <v>97</v>
      </c>
      <c r="F3016" t="s" s="16">
        <v>98</v>
      </c>
      <c r="G3016" t="s" s="16">
        <v>99</v>
      </c>
      <c r="H3016" s="15"/>
    </row>
    <row r="3017" ht="13.65" customHeight="1">
      <c r="A3017" s="151"/>
      <c r="B3017" s="151"/>
      <c r="C3017" s="19"/>
      <c r="D3017" s="20"/>
      <c r="E3017" s="19"/>
      <c r="F3017" s="19"/>
      <c r="G3017" t="s" s="20">
        <v>100</v>
      </c>
      <c r="H3017" s="15"/>
    </row>
    <row r="3018" ht="13.65" customHeight="1">
      <c r="A3018" s="21">
        <v>72</v>
      </c>
      <c r="B3018" t="s" s="22">
        <v>101</v>
      </c>
      <c r="C3018" s="23">
        <v>50</v>
      </c>
      <c r="D3018" t="s" s="24">
        <v>608</v>
      </c>
      <c r="E3018" s="25">
        <v>1.93</v>
      </c>
      <c r="F3018" s="23">
        <v>6.25</v>
      </c>
      <c r="G3018" s="152" cm="1">
        <f t="array" ref="G3018">SUM(E3018/F3018)</f>
        <v>0.3088</v>
      </c>
      <c r="H3018" s="15"/>
    </row>
    <row r="3019" ht="13.65" customHeight="1">
      <c r="A3019" s="21">
        <v>123</v>
      </c>
      <c r="B3019" t="s" s="22">
        <v>103</v>
      </c>
      <c r="C3019" s="23">
        <v>40</v>
      </c>
      <c r="D3019" t="s" s="24">
        <v>274</v>
      </c>
      <c r="E3019" s="25">
        <v>3.2</v>
      </c>
      <c r="F3019" s="23">
        <v>10</v>
      </c>
      <c r="G3019" s="152" cm="1">
        <f t="array" ref="G3019">SUM(E3019/F3019)</f>
        <v>0.32</v>
      </c>
      <c r="H3019" s="15"/>
    </row>
    <row r="3020" ht="13.65" customHeight="1">
      <c r="A3020" s="21">
        <v>57</v>
      </c>
      <c r="B3020" t="s" s="22">
        <v>253</v>
      </c>
      <c r="C3020" t="s" s="24">
        <v>389</v>
      </c>
      <c r="D3020" t="s" s="24">
        <v>371</v>
      </c>
      <c r="E3020" s="25">
        <v>4.5</v>
      </c>
      <c r="F3020" s="23">
        <v>33</v>
      </c>
      <c r="G3020" s="152" cm="1">
        <f t="array" ref="G3020">SUM(E3020/F3020)</f>
        <v>0.136363636363636</v>
      </c>
      <c r="H3020" s="15"/>
    </row>
    <row r="3021" ht="13.65" customHeight="1">
      <c r="A3021" s="21">
        <v>86</v>
      </c>
      <c r="B3021" t="s" s="22">
        <v>107</v>
      </c>
      <c r="C3021" s="23">
        <v>1</v>
      </c>
      <c r="D3021" t="s" s="24">
        <v>608</v>
      </c>
      <c r="E3021" s="25">
        <v>0.32</v>
      </c>
      <c r="F3021" t="s" s="24">
        <v>650</v>
      </c>
      <c r="G3021" s="152" cm="1">
        <f t="array" ref="G3021">SUM(E3021*8)</f>
        <v>2.56</v>
      </c>
      <c r="H3021" s="15"/>
    </row>
    <row r="3022" ht="13.65" customHeight="1">
      <c r="A3022" s="21">
        <v>71</v>
      </c>
      <c r="B3022" t="s" s="22">
        <v>109</v>
      </c>
      <c r="C3022" s="23">
        <v>10</v>
      </c>
      <c r="D3022" t="s" s="24">
        <v>608</v>
      </c>
      <c r="E3022" s="25">
        <v>5.92</v>
      </c>
      <c r="F3022" s="23">
        <v>1.25</v>
      </c>
      <c r="G3022" s="152" cm="1">
        <f t="array" ref="G3022">SUM(E3022/F3022)</f>
        <v>4.736</v>
      </c>
      <c r="H3022" s="15"/>
    </row>
    <row r="3023" ht="13.65" customHeight="1">
      <c r="A3023" s="21">
        <v>87</v>
      </c>
      <c r="B3023" t="s" s="22">
        <v>110</v>
      </c>
      <c r="C3023" s="23">
        <v>50</v>
      </c>
      <c r="D3023" t="s" s="24">
        <v>608</v>
      </c>
      <c r="E3023" s="25">
        <v>9</v>
      </c>
      <c r="F3023" s="23">
        <v>6.25</v>
      </c>
      <c r="G3023" s="152" cm="1">
        <f t="array" ref="G3023">SUM(E3023/F3023)</f>
        <v>1.44</v>
      </c>
      <c r="H3023" s="15"/>
    </row>
    <row r="3024" ht="13.65" customHeight="1">
      <c r="A3024" s="21">
        <v>55</v>
      </c>
      <c r="B3024" t="s" s="22">
        <v>111</v>
      </c>
      <c r="C3024" t="s" s="24">
        <v>112</v>
      </c>
      <c r="D3024" t="s" s="24">
        <v>651</v>
      </c>
      <c r="E3024" s="25">
        <v>2.71</v>
      </c>
      <c r="F3024" s="23">
        <v>19</v>
      </c>
      <c r="G3024" s="152" cm="1">
        <f t="array" ref="G3024">SUM(E3024/F3024)</f>
        <v>0.142631578947368</v>
      </c>
      <c r="H3024" s="15"/>
    </row>
    <row r="3025" ht="13.65" customHeight="1">
      <c r="A3025" s="21">
        <v>24</v>
      </c>
      <c r="B3025" t="s" s="22">
        <v>531</v>
      </c>
      <c r="C3025" s="23">
        <v>10</v>
      </c>
      <c r="D3025" t="s" s="24">
        <v>256</v>
      </c>
      <c r="E3025" s="25">
        <v>9.6</v>
      </c>
      <c r="F3025" s="23">
        <v>3.33</v>
      </c>
      <c r="G3025" s="152" cm="1">
        <f t="array" ref="G3025">SUM(E3025/F3025)</f>
        <v>2.88288288288288</v>
      </c>
      <c r="H3025" s="15"/>
    </row>
    <row r="3026" ht="13.65" customHeight="1">
      <c r="A3026" s="21">
        <v>70</v>
      </c>
      <c r="B3026" t="s" s="22">
        <v>738</v>
      </c>
      <c r="C3026" s="23">
        <v>1</v>
      </c>
      <c r="D3026" t="s" s="24">
        <v>375</v>
      </c>
      <c r="E3026" s="25">
        <v>22</v>
      </c>
      <c r="F3026" s="23">
        <v>2</v>
      </c>
      <c r="G3026" s="152" cm="1">
        <f t="array" ref="G3026">SUM(E3026/F3026)</f>
        <v>11</v>
      </c>
      <c r="H3026" s="15"/>
    </row>
    <row r="3027" ht="13.65" customHeight="1">
      <c r="A3027" s="21">
        <v>98</v>
      </c>
      <c r="B3027" t="s" s="22">
        <v>739</v>
      </c>
      <c r="C3027" t="s" s="24">
        <v>740</v>
      </c>
      <c r="D3027" t="s" s="24">
        <v>397</v>
      </c>
      <c r="E3027" s="25">
        <v>33</v>
      </c>
      <c r="F3027" s="23">
        <v>50</v>
      </c>
      <c r="G3027" s="152" cm="1">
        <f t="array" ref="G3027">SUM(E3027/F3027)</f>
        <v>0.66</v>
      </c>
      <c r="H3027" s="15"/>
    </row>
    <row r="3028" ht="13.65" customHeight="1">
      <c r="A3028" s="21">
        <v>27</v>
      </c>
      <c r="B3028" t="s" s="22">
        <v>594</v>
      </c>
      <c r="C3028" s="23">
        <v>18</v>
      </c>
      <c r="D3028" t="s" s="24">
        <v>104</v>
      </c>
      <c r="E3028" s="25">
        <v>6.5</v>
      </c>
      <c r="F3028" s="23">
        <v>18</v>
      </c>
      <c r="G3028" s="152" cm="1">
        <f t="array" ref="G3028">SUM(E3028/F3028)</f>
        <v>0.361111111111111</v>
      </c>
      <c r="H3028" s="15"/>
    </row>
    <row r="3029" ht="13.65" customHeight="1">
      <c r="A3029" s="21">
        <v>7</v>
      </c>
      <c r="B3029" t="s" s="22">
        <v>477</v>
      </c>
      <c r="C3029" t="s" s="24">
        <v>478</v>
      </c>
      <c r="D3029" t="s" s="24">
        <v>479</v>
      </c>
      <c r="E3029" s="25">
        <v>14</v>
      </c>
      <c r="F3029" s="23">
        <v>10</v>
      </c>
      <c r="G3029" s="152" cm="1">
        <f t="array" ref="G3029">SUM(E3029/F3029)</f>
        <v>1.4</v>
      </c>
      <c r="H3029" s="15"/>
    </row>
    <row r="3030" ht="13.65" customHeight="1">
      <c r="A3030" s="21">
        <v>68</v>
      </c>
      <c r="B3030" t="s" s="22">
        <v>480</v>
      </c>
      <c r="C3030" t="s" s="24">
        <v>481</v>
      </c>
      <c r="D3030" t="s" s="24">
        <v>597</v>
      </c>
      <c r="E3030" s="25">
        <v>16</v>
      </c>
      <c r="F3030" s="23">
        <v>5</v>
      </c>
      <c r="G3030" s="152" cm="1">
        <f t="array" ref="G3030">SUM(E3030/F3030)</f>
        <v>3.2</v>
      </c>
      <c r="H3030" s="15"/>
    </row>
    <row r="3031" ht="13.65" customHeight="1">
      <c r="A3031" s="21">
        <v>69</v>
      </c>
      <c r="B3031" t="s" s="22">
        <v>598</v>
      </c>
      <c r="C3031" t="s" s="24">
        <v>481</v>
      </c>
      <c r="D3031" t="s" s="24">
        <v>597</v>
      </c>
      <c r="E3031" s="25">
        <v>3.5</v>
      </c>
      <c r="F3031" s="23">
        <v>5</v>
      </c>
      <c r="G3031" s="152" cm="1">
        <f t="array" ref="G3031">SUM(E3031/F3031)</f>
        <v>0.7</v>
      </c>
      <c r="H3031" s="15"/>
    </row>
    <row r="3032" ht="13.65" customHeight="1">
      <c r="A3032" s="21">
        <v>102</v>
      </c>
      <c r="B3032" t="s" s="22">
        <v>709</v>
      </c>
      <c r="C3032" s="23">
        <v>1</v>
      </c>
      <c r="D3032" t="s" s="24">
        <v>397</v>
      </c>
      <c r="E3032" s="25">
        <v>2.7</v>
      </c>
      <c r="F3032" s="23">
        <v>50</v>
      </c>
      <c r="G3032" s="152" cm="1">
        <f t="array" ref="G3032">SUM(E3032/F3032)</f>
        <v>0.054</v>
      </c>
      <c r="H3032" s="15"/>
    </row>
    <row r="3033" ht="13.65" customHeight="1">
      <c r="A3033" s="21">
        <v>131</v>
      </c>
      <c r="B3033" t="s" s="22">
        <v>482</v>
      </c>
      <c r="C3033" s="27"/>
      <c r="D3033" s="24"/>
      <c r="E3033" s="27"/>
      <c r="F3033" s="27"/>
      <c r="G3033" s="152">
        <v>60</v>
      </c>
      <c r="H3033" s="15"/>
    </row>
    <row r="3034" ht="13.65" customHeight="1">
      <c r="A3034" s="28"/>
      <c r="B3034" s="28"/>
      <c r="C3034" s="27"/>
      <c r="D3034" s="24"/>
      <c r="E3034" s="27"/>
      <c r="F3034" t="s" s="29">
        <v>118</v>
      </c>
      <c r="G3034" s="197" cm="1">
        <f t="array" ref="G3034">SUM(G3018:G3033)</f>
        <v>89.90178920930499</v>
      </c>
      <c r="H3034" s="15"/>
    </row>
    <row r="3035" ht="13.65" customHeight="1">
      <c r="A3035" s="129"/>
      <c r="B3035" s="129"/>
      <c r="C3035" s="129"/>
      <c r="D3035" s="129"/>
      <c r="E3035" s="129"/>
      <c r="F3035" s="31"/>
      <c r="G3035" s="31"/>
      <c r="H3035" s="3"/>
    </row>
    <row r="3036" ht="11.7" customHeight="1">
      <c r="A3036" t="s" s="167">
        <v>136</v>
      </c>
      <c r="B3036" t="s" s="167">
        <v>281</v>
      </c>
      <c r="C3036" t="s" s="167">
        <v>282</v>
      </c>
      <c r="D3036" t="s" s="168">
        <v>283</v>
      </c>
      <c r="E3036" s="169"/>
      <c r="F3036" s="170"/>
      <c r="G3036" s="171"/>
      <c r="H3036" s="171"/>
    </row>
    <row r="3037" ht="13.65" customHeight="1">
      <c r="A3037" s="23">
        <v>70</v>
      </c>
      <c r="B3037" s="172" cm="1">
        <f t="array" ref="B3037">SUM(H256)</f>
        <v>2.47496540404041</v>
      </c>
      <c r="C3037" s="172" cm="1">
        <f t="array" ref="C3037">SUM(G3034)</f>
        <v>89.90178920930499</v>
      </c>
      <c r="D3037" s="199" cm="1">
        <f t="array" ref="D3037">SUM(A3037*B3037)+(C3037)</f>
        <v>263.149367492134</v>
      </c>
      <c r="E3037" s="200"/>
      <c r="F3037" s="15"/>
      <c r="G3037" s="3"/>
      <c r="H3037" s="3"/>
    </row>
    <row r="3038" ht="13.65" customHeight="1">
      <c r="A3038" s="31"/>
      <c r="B3038" s="31"/>
      <c r="C3038" s="31"/>
      <c r="D3038" s="31"/>
      <c r="E3038" s="31"/>
      <c r="F3038" s="3"/>
      <c r="G3038" s="3"/>
      <c r="H3038" s="3"/>
    </row>
    <row r="3039" ht="13.65" customHeight="1">
      <c r="A3039" s="203"/>
      <c r="B3039" s="203"/>
      <c r="C3039" s="203"/>
      <c r="D3039" s="203"/>
      <c r="E3039" s="203"/>
      <c r="F3039" s="203"/>
      <c r="G3039" s="203"/>
      <c r="H3039" s="203"/>
    </row>
    <row r="3040" ht="13.65" customHeight="1">
      <c r="A3040" t="s" s="274">
        <v>185</v>
      </c>
      <c r="B3040" s="275"/>
      <c r="C3040" s="275"/>
      <c r="D3040" s="275"/>
      <c r="E3040" s="280"/>
      <c r="F3040" s="275"/>
      <c r="G3040" s="275"/>
      <c r="H3040" s="277"/>
    </row>
    <row r="3041" ht="13.65" customHeight="1">
      <c r="A3041" s="278"/>
      <c r="B3041" s="278"/>
      <c r="C3041" s="278"/>
      <c r="D3041" s="278"/>
      <c r="E3041" s="278"/>
      <c r="F3041" s="278"/>
      <c r="G3041" s="278"/>
      <c r="H3041" s="278"/>
    </row>
    <row r="3042" ht="13.65" customHeight="1">
      <c r="A3042" s="3"/>
      <c r="B3042" s="3"/>
      <c r="C3042" s="3"/>
      <c r="D3042" s="3"/>
      <c r="E3042" s="3"/>
      <c r="F3042" s="3"/>
      <c r="G3042" s="3"/>
      <c r="H3042" s="3"/>
    </row>
    <row r="3043" ht="13.65" customHeight="1">
      <c r="A3043" t="s" s="5">
        <v>741</v>
      </c>
      <c r="B3043" s="3"/>
      <c r="C3043" s="3"/>
      <c r="D3043" s="3"/>
      <c r="E3043" s="3"/>
      <c r="F3043" s="3"/>
      <c r="G3043" s="3"/>
      <c r="H3043" s="3"/>
    </row>
    <row r="3044" ht="13.65" customHeight="1">
      <c r="A3044" s="11"/>
      <c r="B3044" s="11"/>
      <c r="C3044" s="11"/>
      <c r="D3044" s="11"/>
      <c r="E3044" s="11"/>
      <c r="F3044" s="11"/>
      <c r="G3044" s="11"/>
      <c r="H3044" s="3"/>
    </row>
    <row r="3045" ht="13.65" customHeight="1">
      <c r="A3045" s="12"/>
      <c r="B3045" s="12"/>
      <c r="C3045" s="13"/>
      <c r="D3045" s="14"/>
      <c r="E3045" s="13"/>
      <c r="F3045" s="13"/>
      <c r="G3045" t="s" s="14">
        <v>252</v>
      </c>
      <c r="H3045" s="150"/>
    </row>
    <row r="3046" ht="13.65" customHeight="1">
      <c r="A3046" t="s" s="16">
        <v>93</v>
      </c>
      <c r="B3046" t="s" s="16">
        <v>94</v>
      </c>
      <c r="C3046" t="s" s="16">
        <v>95</v>
      </c>
      <c r="D3046" t="s" s="16">
        <v>96</v>
      </c>
      <c r="E3046" t="s" s="16">
        <v>97</v>
      </c>
      <c r="F3046" t="s" s="16">
        <v>98</v>
      </c>
      <c r="G3046" t="s" s="16">
        <v>99</v>
      </c>
      <c r="H3046" s="15"/>
    </row>
    <row r="3047" ht="13.65" customHeight="1">
      <c r="A3047" s="151"/>
      <c r="B3047" s="151"/>
      <c r="C3047" s="19"/>
      <c r="D3047" s="20"/>
      <c r="E3047" s="19"/>
      <c r="F3047" s="19"/>
      <c r="G3047" t="s" s="20">
        <v>100</v>
      </c>
      <c r="H3047" s="15"/>
    </row>
    <row r="3048" ht="13.65" customHeight="1">
      <c r="A3048" s="21">
        <v>72</v>
      </c>
      <c r="B3048" t="s" s="22">
        <v>101</v>
      </c>
      <c r="C3048" s="23">
        <v>50</v>
      </c>
      <c r="D3048" t="s" s="24">
        <v>102</v>
      </c>
      <c r="E3048" s="25">
        <v>1.93</v>
      </c>
      <c r="F3048" s="23">
        <v>25</v>
      </c>
      <c r="G3048" s="152" cm="1">
        <f t="array" ref="G3048">SUM(E3048/F3048)</f>
        <v>0.0772</v>
      </c>
      <c r="H3048" s="15"/>
    </row>
    <row r="3049" ht="13.65" customHeight="1">
      <c r="A3049" s="21">
        <v>123</v>
      </c>
      <c r="B3049" t="s" s="22">
        <v>103</v>
      </c>
      <c r="C3049" s="23">
        <v>40</v>
      </c>
      <c r="D3049" t="s" s="24">
        <v>104</v>
      </c>
      <c r="E3049" s="25">
        <v>3.2</v>
      </c>
      <c r="F3049" s="23">
        <v>40</v>
      </c>
      <c r="G3049" s="152" cm="1">
        <f t="array" ref="G3049">SUM(E3049/F3049)</f>
        <v>0.08</v>
      </c>
      <c r="H3049" s="15"/>
    </row>
    <row r="3050" ht="13.65" customHeight="1">
      <c r="A3050" s="21">
        <v>57</v>
      </c>
      <c r="B3050" t="s" s="22">
        <v>253</v>
      </c>
      <c r="C3050" t="s" s="24">
        <v>389</v>
      </c>
      <c r="D3050" t="s" s="24">
        <v>371</v>
      </c>
      <c r="E3050" s="25">
        <v>4.5</v>
      </c>
      <c r="F3050" s="23">
        <v>33</v>
      </c>
      <c r="G3050" s="152" cm="1">
        <f t="array" ref="G3050">SUM(E3050/F3050)</f>
        <v>0.136363636363636</v>
      </c>
      <c r="H3050" s="15"/>
    </row>
    <row r="3051" ht="13.65" customHeight="1">
      <c r="A3051" s="21">
        <v>65</v>
      </c>
      <c r="B3051" t="s" s="22">
        <v>394</v>
      </c>
      <c r="C3051" s="23">
        <v>500</v>
      </c>
      <c r="D3051" t="s" s="24">
        <v>102</v>
      </c>
      <c r="E3051" s="25">
        <v>26</v>
      </c>
      <c r="F3051" s="23">
        <v>250</v>
      </c>
      <c r="G3051" s="152" cm="1">
        <f t="array" ref="G3051">SUM(E3051/F3051)</f>
        <v>0.104</v>
      </c>
      <c r="H3051" s="15"/>
    </row>
    <row r="3052" ht="13.65" customHeight="1">
      <c r="A3052" s="21">
        <v>86</v>
      </c>
      <c r="B3052" t="s" s="22">
        <v>107</v>
      </c>
      <c r="C3052" s="23">
        <v>1</v>
      </c>
      <c r="D3052" t="s" s="24">
        <v>102</v>
      </c>
      <c r="E3052" s="25">
        <v>0.32</v>
      </c>
      <c r="F3052" t="s" s="24">
        <v>387</v>
      </c>
      <c r="G3052" s="152" cm="1">
        <f t="array" ref="G3052">SUM(E3052*2)</f>
        <v>0.64</v>
      </c>
      <c r="H3052" s="15"/>
    </row>
    <row r="3053" ht="13.65" customHeight="1">
      <c r="A3053" s="21">
        <v>71</v>
      </c>
      <c r="B3053" t="s" s="22">
        <v>109</v>
      </c>
      <c r="C3053" s="23">
        <v>10</v>
      </c>
      <c r="D3053" t="s" s="24">
        <v>102</v>
      </c>
      <c r="E3053" s="25">
        <v>5.92</v>
      </c>
      <c r="F3053" s="23">
        <v>5</v>
      </c>
      <c r="G3053" s="152" cm="1">
        <f t="array" ref="G3053">SUM(E3053/F3053)</f>
        <v>1.184</v>
      </c>
      <c r="H3053" s="15"/>
    </row>
    <row r="3054" ht="13.65" customHeight="1">
      <c r="A3054" s="21">
        <v>87</v>
      </c>
      <c r="B3054" t="s" s="22">
        <v>110</v>
      </c>
      <c r="C3054" s="23">
        <v>50</v>
      </c>
      <c r="D3054" t="s" s="24">
        <v>102</v>
      </c>
      <c r="E3054" s="25">
        <v>9</v>
      </c>
      <c r="F3054" s="23">
        <v>25</v>
      </c>
      <c r="G3054" s="152" cm="1">
        <f t="array" ref="G3054">SUM(E3054/F3054)</f>
        <v>0.36</v>
      </c>
      <c r="H3054" s="15"/>
    </row>
    <row r="3055" ht="13.65" customHeight="1">
      <c r="A3055" s="21">
        <v>55</v>
      </c>
      <c r="B3055" t="s" s="22">
        <v>111</v>
      </c>
      <c r="C3055" t="s" s="24">
        <v>112</v>
      </c>
      <c r="D3055" t="s" s="24">
        <v>113</v>
      </c>
      <c r="E3055" s="25">
        <v>2.71</v>
      </c>
      <c r="F3055" s="23">
        <v>75</v>
      </c>
      <c r="G3055" s="152" cm="1">
        <f t="array" ref="G3055">SUM(E3055/F3055)</f>
        <v>0.0361333333333333</v>
      </c>
      <c r="H3055" s="15"/>
    </row>
    <row r="3056" ht="13.65" customHeight="1">
      <c r="A3056" s="21">
        <v>44</v>
      </c>
      <c r="B3056" t="s" s="22">
        <v>400</v>
      </c>
      <c r="C3056" s="23">
        <v>1</v>
      </c>
      <c r="D3056" t="s" s="24">
        <v>401</v>
      </c>
      <c r="E3056" s="25">
        <v>74</v>
      </c>
      <c r="F3056" s="23">
        <v>30</v>
      </c>
      <c r="G3056" s="152" cm="1">
        <f t="array" ref="G3056">SUM(E3056/F3056)</f>
        <v>2.46666666666667</v>
      </c>
      <c r="H3056" s="15"/>
    </row>
    <row r="3057" ht="13.65" customHeight="1">
      <c r="A3057" s="21">
        <v>53</v>
      </c>
      <c r="B3057" t="s" s="22">
        <v>383</v>
      </c>
      <c r="C3057" t="s" s="24">
        <v>384</v>
      </c>
      <c r="D3057" t="s" s="24">
        <v>457</v>
      </c>
      <c r="E3057" s="25">
        <v>6.41</v>
      </c>
      <c r="F3057" s="23">
        <v>40</v>
      </c>
      <c r="G3057" s="152" cm="1">
        <f t="array" ref="G3057">SUM(E3057/F3057)</f>
        <v>0.16025</v>
      </c>
      <c r="H3057" s="15"/>
    </row>
    <row r="3058" ht="13.65" customHeight="1">
      <c r="A3058" s="21">
        <v>100</v>
      </c>
      <c r="B3058" t="s" s="22">
        <v>376</v>
      </c>
      <c r="C3058" t="s" s="24">
        <v>377</v>
      </c>
      <c r="D3058" t="s" s="24">
        <v>378</v>
      </c>
      <c r="E3058" s="25">
        <v>4.5</v>
      </c>
      <c r="F3058" s="23">
        <v>40</v>
      </c>
      <c r="G3058" s="152" cm="1">
        <f t="array" ref="G3058">SUM(E3058/F3058)</f>
        <v>0.1125</v>
      </c>
      <c r="H3058" s="15"/>
    </row>
    <row r="3059" ht="13.65" customHeight="1">
      <c r="A3059" s="21">
        <v>124</v>
      </c>
      <c r="B3059" t="s" s="22">
        <v>372</v>
      </c>
      <c r="C3059" s="23">
        <v>1</v>
      </c>
      <c r="D3059" t="s" s="24">
        <v>373</v>
      </c>
      <c r="E3059" s="25">
        <v>2.2</v>
      </c>
      <c r="F3059" s="23">
        <v>15</v>
      </c>
      <c r="G3059" s="152" cm="1">
        <f t="array" ref="G3059">SUM(E3059/F3059)</f>
        <v>0.146666666666667</v>
      </c>
      <c r="H3059" s="15"/>
    </row>
    <row r="3060" ht="13.65" customHeight="1">
      <c r="A3060" s="28"/>
      <c r="B3060" s="28"/>
      <c r="C3060" s="27"/>
      <c r="D3060" s="24"/>
      <c r="E3060" s="27"/>
      <c r="F3060" t="s" s="29">
        <v>118</v>
      </c>
      <c r="G3060" s="197" cm="1">
        <f t="array" ref="G3060">SUM(G3048:G3059)</f>
        <v>5.50378030303031</v>
      </c>
      <c r="H3060" s="15"/>
    </row>
    <row r="3061" ht="13.65" customHeight="1">
      <c r="A3061" s="129"/>
      <c r="B3061" s="129"/>
      <c r="C3061" s="129"/>
      <c r="D3061" s="129"/>
      <c r="E3061" s="129"/>
      <c r="F3061" s="31"/>
      <c r="G3061" s="31"/>
      <c r="H3061" s="3"/>
    </row>
    <row r="3062" ht="11.7" customHeight="1">
      <c r="A3062" t="s" s="167">
        <v>136</v>
      </c>
      <c r="B3062" t="s" s="167">
        <v>281</v>
      </c>
      <c r="C3062" t="s" s="167">
        <v>282</v>
      </c>
      <c r="D3062" t="s" s="168">
        <v>283</v>
      </c>
      <c r="E3062" s="169"/>
      <c r="F3062" s="170"/>
      <c r="G3062" s="171"/>
      <c r="H3062" s="171"/>
    </row>
    <row r="3063" ht="13.65" customHeight="1">
      <c r="A3063" s="23">
        <v>50</v>
      </c>
      <c r="B3063" s="172" cm="1">
        <f t="array" ref="B3063">SUM(H256)</f>
        <v>2.47496540404041</v>
      </c>
      <c r="C3063" s="172" cm="1">
        <f t="array" ref="C3063">SUM(G3060)</f>
        <v>5.50378030303031</v>
      </c>
      <c r="D3063" s="199" cm="1">
        <f t="array" ref="D3063">SUM(A3063*B3063)+(C3063)</f>
        <v>129.252050505051</v>
      </c>
      <c r="E3063" s="200"/>
      <c r="F3063" s="15"/>
      <c r="G3063" s="3"/>
      <c r="H3063" s="3"/>
    </row>
    <row r="3064" ht="13.65" customHeight="1">
      <c r="A3064" s="31"/>
      <c r="B3064" s="31"/>
      <c r="C3064" s="31"/>
      <c r="D3064" s="31"/>
      <c r="E3064" s="31"/>
      <c r="F3064" s="3"/>
      <c r="G3064" s="3"/>
      <c r="H3064" s="3"/>
    </row>
    <row r="3065" ht="13.65" customHeight="1">
      <c r="A3065" s="3"/>
      <c r="B3065" s="3"/>
      <c r="C3065" s="3"/>
      <c r="D3065" s="3"/>
      <c r="E3065" s="3"/>
      <c r="F3065" s="3"/>
      <c r="G3065" s="3"/>
      <c r="H3065" s="3"/>
    </row>
    <row r="3066" ht="13.65" customHeight="1">
      <c r="A3066" t="s" s="5">
        <v>742</v>
      </c>
      <c r="B3066" s="3"/>
      <c r="C3066" s="3"/>
      <c r="D3066" s="3"/>
      <c r="E3066" s="3"/>
      <c r="F3066" s="3"/>
      <c r="G3066" s="3"/>
      <c r="H3066" s="3"/>
    </row>
    <row r="3067" ht="13.65" customHeight="1">
      <c r="A3067" s="11"/>
      <c r="B3067" s="11"/>
      <c r="C3067" s="11"/>
      <c r="D3067" s="11"/>
      <c r="E3067" s="11"/>
      <c r="F3067" s="11"/>
      <c r="G3067" s="11"/>
      <c r="H3067" s="3"/>
    </row>
    <row r="3068" ht="13.65" customHeight="1">
      <c r="A3068" s="12"/>
      <c r="B3068" s="12"/>
      <c r="C3068" s="13"/>
      <c r="D3068" s="14"/>
      <c r="E3068" s="13"/>
      <c r="F3068" s="13"/>
      <c r="G3068" t="s" s="14">
        <v>252</v>
      </c>
      <c r="H3068" s="150"/>
    </row>
    <row r="3069" ht="13.65" customHeight="1">
      <c r="A3069" t="s" s="16">
        <v>93</v>
      </c>
      <c r="B3069" t="s" s="16">
        <v>94</v>
      </c>
      <c r="C3069" t="s" s="16">
        <v>95</v>
      </c>
      <c r="D3069" t="s" s="16">
        <v>96</v>
      </c>
      <c r="E3069" t="s" s="16">
        <v>97</v>
      </c>
      <c r="F3069" t="s" s="16">
        <v>98</v>
      </c>
      <c r="G3069" t="s" s="16">
        <v>99</v>
      </c>
      <c r="H3069" s="15"/>
    </row>
    <row r="3070" ht="13.65" customHeight="1">
      <c r="A3070" s="151"/>
      <c r="B3070" s="151"/>
      <c r="C3070" s="19"/>
      <c r="D3070" s="20"/>
      <c r="E3070" s="19"/>
      <c r="F3070" s="19"/>
      <c r="G3070" t="s" s="20">
        <v>100</v>
      </c>
      <c r="H3070" s="15"/>
    </row>
    <row r="3071" ht="13.65" customHeight="1">
      <c r="A3071" s="21">
        <v>72</v>
      </c>
      <c r="B3071" t="s" s="22">
        <v>101</v>
      </c>
      <c r="C3071" s="23">
        <v>50</v>
      </c>
      <c r="D3071" t="s" s="24">
        <v>274</v>
      </c>
      <c r="E3071" s="25">
        <v>1.93</v>
      </c>
      <c r="F3071" s="23">
        <v>12.5</v>
      </c>
      <c r="G3071" s="152" cm="1">
        <f t="array" ref="G3071">SUM(E3071/F3071)</f>
        <v>0.1544</v>
      </c>
      <c r="H3071" s="15"/>
    </row>
    <row r="3072" ht="13.65" customHeight="1">
      <c r="A3072" s="21">
        <v>123</v>
      </c>
      <c r="B3072" t="s" s="22">
        <v>103</v>
      </c>
      <c r="C3072" s="23">
        <v>40</v>
      </c>
      <c r="D3072" t="s" s="24">
        <v>102</v>
      </c>
      <c r="E3072" s="25">
        <v>3.2</v>
      </c>
      <c r="F3072" s="23">
        <v>20</v>
      </c>
      <c r="G3072" s="152" cm="1">
        <f t="array" ref="G3072">SUM(E3072/F3072)</f>
        <v>0.16</v>
      </c>
      <c r="H3072" s="15"/>
    </row>
    <row r="3073" ht="13.65" customHeight="1">
      <c r="A3073" s="21">
        <v>57</v>
      </c>
      <c r="B3073" t="s" s="22">
        <v>253</v>
      </c>
      <c r="C3073" t="s" s="24">
        <v>254</v>
      </c>
      <c r="D3073" t="s" s="24">
        <v>371</v>
      </c>
      <c r="E3073" s="25">
        <v>4.5</v>
      </c>
      <c r="F3073" s="23">
        <v>33</v>
      </c>
      <c r="G3073" s="152" cm="1">
        <f t="array" ref="G3073">SUM(E3073/F3073)</f>
        <v>0.136363636363636</v>
      </c>
      <c r="H3073" s="15"/>
    </row>
    <row r="3074" ht="13.65" customHeight="1">
      <c r="A3074" s="21">
        <v>65</v>
      </c>
      <c r="B3074" t="s" s="22">
        <v>394</v>
      </c>
      <c r="C3074" s="23">
        <v>500</v>
      </c>
      <c r="D3074" t="s" s="24">
        <v>743</v>
      </c>
      <c r="E3074" s="25">
        <v>26</v>
      </c>
      <c r="F3074" s="23">
        <v>33</v>
      </c>
      <c r="G3074" s="152" cm="1">
        <f t="array" ref="G3074">SUM(E3074/F3074)</f>
        <v>0.787878787878788</v>
      </c>
      <c r="H3074" s="15"/>
    </row>
    <row r="3075" ht="13.65" customHeight="1">
      <c r="A3075" s="21">
        <v>140</v>
      </c>
      <c r="B3075" t="s" s="22">
        <v>470</v>
      </c>
      <c r="C3075" t="s" s="24">
        <v>108</v>
      </c>
      <c r="D3075" t="s" s="24">
        <v>102</v>
      </c>
      <c r="E3075" s="25">
        <v>1.12</v>
      </c>
      <c r="F3075" t="s" s="24">
        <v>387</v>
      </c>
      <c r="G3075" s="152" cm="1">
        <f t="array" ref="G3075">SUM(E3075*2)</f>
        <v>2.24</v>
      </c>
      <c r="H3075" s="15"/>
    </row>
    <row r="3076" ht="13.65" customHeight="1">
      <c r="A3076" s="21">
        <v>71</v>
      </c>
      <c r="B3076" t="s" s="22">
        <v>109</v>
      </c>
      <c r="C3076" s="23">
        <v>10</v>
      </c>
      <c r="D3076" t="s" s="24">
        <v>274</v>
      </c>
      <c r="E3076" s="25">
        <v>5.92</v>
      </c>
      <c r="F3076" s="23">
        <v>2.5</v>
      </c>
      <c r="G3076" s="152" cm="1">
        <f t="array" ref="G3076">SUM(E3076/F3076)</f>
        <v>2.368</v>
      </c>
      <c r="H3076" s="15"/>
    </row>
    <row r="3077" ht="13.65" customHeight="1">
      <c r="A3077" s="21">
        <v>87</v>
      </c>
      <c r="B3077" t="s" s="22">
        <v>110</v>
      </c>
      <c r="C3077" s="23">
        <v>50</v>
      </c>
      <c r="D3077" t="s" s="24">
        <v>274</v>
      </c>
      <c r="E3077" s="25">
        <v>9</v>
      </c>
      <c r="F3077" s="23">
        <v>12.5</v>
      </c>
      <c r="G3077" s="152" cm="1">
        <f t="array" ref="G3077">SUM(E3077/F3077)</f>
        <v>0.72</v>
      </c>
      <c r="H3077" s="15"/>
    </row>
    <row r="3078" ht="13.65" customHeight="1">
      <c r="A3078" s="21">
        <v>55</v>
      </c>
      <c r="B3078" t="s" s="22">
        <v>111</v>
      </c>
      <c r="C3078" t="s" s="24">
        <v>112</v>
      </c>
      <c r="D3078" t="s" s="24">
        <v>113</v>
      </c>
      <c r="E3078" s="25">
        <v>2.71</v>
      </c>
      <c r="F3078" s="23">
        <v>75</v>
      </c>
      <c r="G3078" s="152" cm="1">
        <f t="array" ref="G3078">SUM(E3078/F3078)</f>
        <v>0.0361333333333333</v>
      </c>
      <c r="H3078" s="15"/>
    </row>
    <row r="3079" ht="13.65" customHeight="1">
      <c r="A3079" s="21">
        <v>10</v>
      </c>
      <c r="B3079" t="s" s="22">
        <v>395</v>
      </c>
      <c r="C3079" t="s" s="24">
        <v>396</v>
      </c>
      <c r="D3079" t="s" s="24">
        <v>397</v>
      </c>
      <c r="E3079" s="25">
        <v>3.92</v>
      </c>
      <c r="F3079" s="23">
        <v>50</v>
      </c>
      <c r="G3079" s="152" cm="1">
        <f t="array" ref="G3079">SUM(E3079/F3079)</f>
        <v>0.0784</v>
      </c>
      <c r="H3079" s="15"/>
    </row>
    <row r="3080" ht="13.65" customHeight="1">
      <c r="A3080" s="21">
        <v>9</v>
      </c>
      <c r="B3080" t="s" s="22">
        <v>692</v>
      </c>
      <c r="C3080" s="23">
        <v>50</v>
      </c>
      <c r="D3080" t="s" s="24">
        <v>274</v>
      </c>
      <c r="E3080" s="25">
        <v>14</v>
      </c>
      <c r="F3080" s="23">
        <v>12.5</v>
      </c>
      <c r="G3080" s="152" cm="1">
        <f t="array" ref="G3080">SUM(E3080/F3080)</f>
        <v>1.12</v>
      </c>
      <c r="H3080" s="15"/>
    </row>
    <row r="3081" ht="13.65" customHeight="1">
      <c r="A3081" s="21">
        <v>6</v>
      </c>
      <c r="B3081" t="s" s="22">
        <v>399</v>
      </c>
      <c r="C3081" s="23">
        <v>100</v>
      </c>
      <c r="D3081" t="s" s="24">
        <v>104</v>
      </c>
      <c r="E3081" s="25">
        <v>19</v>
      </c>
      <c r="F3081" s="23">
        <v>100</v>
      </c>
      <c r="G3081" s="152" cm="1">
        <f t="array" ref="G3081">SUM(E3081/F3081)</f>
        <v>0.19</v>
      </c>
      <c r="H3081" s="15"/>
    </row>
    <row r="3082" ht="13.65" customHeight="1">
      <c r="A3082" s="21">
        <v>23</v>
      </c>
      <c r="B3082" t="s" s="22">
        <v>488</v>
      </c>
      <c r="C3082" s="23">
        <v>1</v>
      </c>
      <c r="D3082" t="s" s="24">
        <v>104</v>
      </c>
      <c r="E3082" s="25">
        <v>11</v>
      </c>
      <c r="F3082" s="23">
        <v>1</v>
      </c>
      <c r="G3082" s="152" cm="1">
        <f t="array" ref="G3082">SUM(E3082/F3082)</f>
        <v>11</v>
      </c>
      <c r="H3082" s="15"/>
    </row>
    <row r="3083" ht="13.65" customHeight="1">
      <c r="A3083" s="21">
        <v>44</v>
      </c>
      <c r="B3083" t="s" s="22">
        <v>400</v>
      </c>
      <c r="C3083" s="23">
        <v>1</v>
      </c>
      <c r="D3083" t="s" s="24">
        <v>401</v>
      </c>
      <c r="E3083" s="25">
        <v>74</v>
      </c>
      <c r="F3083" s="23">
        <v>30</v>
      </c>
      <c r="G3083" s="152" cm="1">
        <f t="array" ref="G3083">SUM(E3083/F3083)</f>
        <v>2.46666666666667</v>
      </c>
      <c r="H3083" s="15"/>
    </row>
    <row r="3084" ht="13.65" customHeight="1">
      <c r="A3084" s="21">
        <v>119</v>
      </c>
      <c r="B3084" t="s" s="22">
        <v>467</v>
      </c>
      <c r="C3084" s="23">
        <v>1</v>
      </c>
      <c r="D3084" t="s" s="24">
        <v>468</v>
      </c>
      <c r="E3084" s="25">
        <v>0.45</v>
      </c>
      <c r="F3084" s="23">
        <v>1</v>
      </c>
      <c r="G3084" s="152" cm="1">
        <f t="array" ref="G3084">SUM(E3084/F3084)</f>
        <v>0.45</v>
      </c>
      <c r="H3084" s="15"/>
    </row>
    <row r="3085" ht="13.65" customHeight="1">
      <c r="A3085" s="21">
        <v>122</v>
      </c>
      <c r="B3085" t="s" s="22">
        <v>489</v>
      </c>
      <c r="C3085" t="s" s="24">
        <v>490</v>
      </c>
      <c r="D3085" t="s" s="24">
        <v>491</v>
      </c>
      <c r="E3085" s="25">
        <v>1.7</v>
      </c>
      <c r="F3085" s="23">
        <v>10</v>
      </c>
      <c r="G3085" s="152" cm="1">
        <f t="array" ref="G3085">SUM(E3085/F3085)</f>
        <v>0.17</v>
      </c>
      <c r="H3085" s="15"/>
    </row>
    <row r="3086" ht="13.65" customHeight="1">
      <c r="A3086" s="21">
        <v>29</v>
      </c>
      <c r="B3086" t="s" s="22">
        <v>493</v>
      </c>
      <c r="C3086" s="23">
        <v>1</v>
      </c>
      <c r="D3086" t="s" s="24">
        <v>401</v>
      </c>
      <c r="E3086" s="25">
        <v>74</v>
      </c>
      <c r="F3086" s="23">
        <v>30</v>
      </c>
      <c r="G3086" s="152" cm="1">
        <f t="array" ref="G3086">SUM(E3086/F3086)</f>
        <v>2.46666666666667</v>
      </c>
      <c r="H3086" s="15"/>
    </row>
    <row r="3087" ht="13.65" customHeight="1">
      <c r="A3087" s="21">
        <v>36</v>
      </c>
      <c r="B3087" t="s" s="22">
        <v>496</v>
      </c>
      <c r="C3087" t="s" s="24">
        <v>497</v>
      </c>
      <c r="D3087" t="s" s="24">
        <v>498</v>
      </c>
      <c r="E3087" s="25">
        <v>13</v>
      </c>
      <c r="F3087" s="23">
        <v>16</v>
      </c>
      <c r="G3087" s="152" cm="1">
        <f t="array" ref="G3087">SUM(E3087/F3087)</f>
        <v>0.8125</v>
      </c>
      <c r="H3087" s="15"/>
    </row>
    <row r="3088" ht="13.65" customHeight="1">
      <c r="A3088" s="21">
        <v>78</v>
      </c>
      <c r="B3088" t="s" s="22">
        <v>492</v>
      </c>
      <c r="C3088" s="23">
        <v>1</v>
      </c>
      <c r="D3088" t="s" s="24">
        <v>104</v>
      </c>
      <c r="E3088" s="25">
        <v>1</v>
      </c>
      <c r="F3088" s="23">
        <v>1</v>
      </c>
      <c r="G3088" s="152" cm="1">
        <f t="array" ref="G3088">SUM(E3088/F3088)</f>
        <v>1</v>
      </c>
      <c r="H3088" s="15"/>
    </row>
    <row r="3089" ht="13.65" customHeight="1">
      <c r="A3089" s="21">
        <v>116</v>
      </c>
      <c r="B3089" t="s" s="22">
        <v>721</v>
      </c>
      <c r="C3089" t="s" s="24">
        <v>384</v>
      </c>
      <c r="D3089" t="s" s="24">
        <v>640</v>
      </c>
      <c r="E3089" s="25">
        <v>12</v>
      </c>
      <c r="F3089" s="23">
        <v>4</v>
      </c>
      <c r="G3089" s="152" cm="1">
        <f t="array" ref="G3089">SUM(E3089/F3089)</f>
        <v>3</v>
      </c>
      <c r="H3089" s="15"/>
    </row>
    <row r="3090" ht="13.65" customHeight="1">
      <c r="A3090" s="28"/>
      <c r="B3090" s="28"/>
      <c r="C3090" s="27"/>
      <c r="D3090" s="24"/>
      <c r="E3090" s="27"/>
      <c r="F3090" t="s" s="29">
        <v>118</v>
      </c>
      <c r="G3090" s="197" cm="1">
        <f t="array" ref="G3090">SUM(G3071:G3089)</f>
        <v>29.3570090909091</v>
      </c>
      <c r="H3090" s="15"/>
    </row>
    <row r="3091" ht="13.65" customHeight="1">
      <c r="A3091" s="129"/>
      <c r="B3091" s="129"/>
      <c r="C3091" s="129"/>
      <c r="D3091" s="129"/>
      <c r="E3091" s="129"/>
      <c r="F3091" s="31"/>
      <c r="G3091" s="31"/>
      <c r="H3091" s="3"/>
    </row>
    <row r="3092" ht="11.7" customHeight="1">
      <c r="A3092" t="s" s="167">
        <v>136</v>
      </c>
      <c r="B3092" t="s" s="167">
        <v>281</v>
      </c>
      <c r="C3092" t="s" s="167">
        <v>282</v>
      </c>
      <c r="D3092" t="s" s="168">
        <v>283</v>
      </c>
      <c r="E3092" s="169"/>
      <c r="F3092" s="170"/>
      <c r="G3092" s="171"/>
      <c r="H3092" s="171"/>
    </row>
    <row r="3093" ht="13.65" customHeight="1">
      <c r="A3093" s="23">
        <v>95</v>
      </c>
      <c r="B3093" s="172" cm="1">
        <f t="array" ref="B3093">SUM(H256)</f>
        <v>2.47496540404041</v>
      </c>
      <c r="C3093" s="172" cm="1">
        <f t="array" ref="C3093">SUM(G3090)</f>
        <v>29.3570090909091</v>
      </c>
      <c r="D3093" s="199" cm="1">
        <f t="array" ref="D3093">SUM(A3093*B3093)+(C3093)</f>
        <v>264.478722474748</v>
      </c>
      <c r="E3093" s="200"/>
      <c r="F3093" s="15"/>
      <c r="G3093" s="3"/>
      <c r="H3093" s="3"/>
    </row>
    <row r="3094" ht="13.65" customHeight="1">
      <c r="A3094" s="31"/>
      <c r="B3094" s="31"/>
      <c r="C3094" s="31"/>
      <c r="D3094" s="31"/>
      <c r="E3094" s="31"/>
      <c r="F3094" s="3"/>
      <c r="G3094" s="3"/>
      <c r="H3094" s="3"/>
    </row>
    <row r="3095" ht="13.65" customHeight="1">
      <c r="A3095" s="203"/>
      <c r="B3095" s="203"/>
      <c r="C3095" s="203"/>
      <c r="D3095" s="203"/>
      <c r="E3095" s="203"/>
      <c r="F3095" s="203"/>
      <c r="G3095" s="203"/>
      <c r="H3095" s="203"/>
    </row>
    <row r="3096" ht="13.65" customHeight="1">
      <c r="A3096" t="s" s="274">
        <v>185</v>
      </c>
      <c r="B3096" s="275"/>
      <c r="C3096" s="275"/>
      <c r="D3096" s="275"/>
      <c r="E3096" s="280"/>
      <c r="F3096" s="275"/>
      <c r="G3096" s="275"/>
      <c r="H3096" s="277"/>
    </row>
    <row r="3097" ht="13.65" customHeight="1">
      <c r="A3097" s="278"/>
      <c r="B3097" s="278"/>
      <c r="C3097" s="278"/>
      <c r="D3097" s="278"/>
      <c r="E3097" s="278"/>
      <c r="F3097" s="278"/>
      <c r="G3097" s="278"/>
      <c r="H3097" s="278"/>
    </row>
    <row r="3098" ht="13.65" customHeight="1">
      <c r="A3098" s="3"/>
      <c r="B3098" s="3"/>
      <c r="C3098" s="3"/>
      <c r="D3098" s="3"/>
      <c r="E3098" s="3"/>
      <c r="F3098" s="3"/>
      <c r="G3098" s="3"/>
      <c r="H3098" s="3"/>
    </row>
    <row r="3099" ht="13.65" customHeight="1">
      <c r="A3099" t="s" s="5">
        <v>744</v>
      </c>
      <c r="B3099" s="3"/>
      <c r="C3099" s="3"/>
      <c r="D3099" s="3"/>
      <c r="E3099" s="3"/>
      <c r="F3099" s="3"/>
      <c r="G3099" s="3"/>
      <c r="H3099" s="3"/>
    </row>
    <row r="3100" ht="13.65" customHeight="1">
      <c r="A3100" s="11"/>
      <c r="B3100" s="11"/>
      <c r="C3100" s="11"/>
      <c r="D3100" s="11"/>
      <c r="E3100" s="11"/>
      <c r="F3100" s="11"/>
      <c r="G3100" s="11"/>
      <c r="H3100" s="3"/>
    </row>
    <row r="3101" ht="13.65" customHeight="1">
      <c r="A3101" s="12"/>
      <c r="B3101" s="12"/>
      <c r="C3101" s="13"/>
      <c r="D3101" s="14"/>
      <c r="E3101" s="13"/>
      <c r="F3101" s="13"/>
      <c r="G3101" t="s" s="14">
        <v>252</v>
      </c>
      <c r="H3101" s="150"/>
    </row>
    <row r="3102" ht="13.65" customHeight="1">
      <c r="A3102" t="s" s="16">
        <v>93</v>
      </c>
      <c r="B3102" t="s" s="16">
        <v>94</v>
      </c>
      <c r="C3102" t="s" s="16">
        <v>95</v>
      </c>
      <c r="D3102" t="s" s="16">
        <v>96</v>
      </c>
      <c r="E3102" t="s" s="16">
        <v>97</v>
      </c>
      <c r="F3102" t="s" s="16">
        <v>98</v>
      </c>
      <c r="G3102" t="s" s="16">
        <v>99</v>
      </c>
      <c r="H3102" s="15"/>
    </row>
    <row r="3103" ht="13.65" customHeight="1">
      <c r="A3103" s="151"/>
      <c r="B3103" s="151"/>
      <c r="C3103" s="19"/>
      <c r="D3103" s="20"/>
      <c r="E3103" s="19"/>
      <c r="F3103" s="19"/>
      <c r="G3103" t="s" s="20">
        <v>100</v>
      </c>
      <c r="H3103" s="15"/>
    </row>
    <row r="3104" ht="13.65" customHeight="1">
      <c r="A3104" s="21">
        <v>72</v>
      </c>
      <c r="B3104" t="s" s="22">
        <v>101</v>
      </c>
      <c r="C3104" s="23">
        <v>50</v>
      </c>
      <c r="D3104" t="s" s="24">
        <v>274</v>
      </c>
      <c r="E3104" s="25">
        <v>1.93</v>
      </c>
      <c r="F3104" s="23">
        <v>12.5</v>
      </c>
      <c r="G3104" s="152" cm="1">
        <f t="array" ref="G3104">SUM(E3104/F3104)</f>
        <v>0.1544</v>
      </c>
      <c r="H3104" s="15"/>
    </row>
    <row r="3105" ht="13.65" customHeight="1">
      <c r="A3105" s="21">
        <v>123</v>
      </c>
      <c r="B3105" t="s" s="22">
        <v>103</v>
      </c>
      <c r="C3105" s="23">
        <v>40</v>
      </c>
      <c r="D3105" t="s" s="24">
        <v>102</v>
      </c>
      <c r="E3105" s="25">
        <v>3.2</v>
      </c>
      <c r="F3105" s="23">
        <v>20</v>
      </c>
      <c r="G3105" s="152" cm="1">
        <f t="array" ref="G3105">SUM(E3105/F3105)</f>
        <v>0.16</v>
      </c>
      <c r="H3105" s="15"/>
    </row>
    <row r="3106" ht="13.65" customHeight="1">
      <c r="A3106" s="21">
        <v>57</v>
      </c>
      <c r="B3106" t="s" s="22">
        <v>253</v>
      </c>
      <c r="C3106" t="s" s="24">
        <v>254</v>
      </c>
      <c r="D3106" t="s" s="24">
        <v>371</v>
      </c>
      <c r="E3106" s="25">
        <v>4.5</v>
      </c>
      <c r="F3106" s="23">
        <v>33</v>
      </c>
      <c r="G3106" s="152" cm="1">
        <f t="array" ref="G3106">SUM(E3106/F3106)</f>
        <v>0.136363636363636</v>
      </c>
      <c r="H3106" s="15"/>
    </row>
    <row r="3107" ht="13.65" customHeight="1">
      <c r="A3107" s="21">
        <v>65</v>
      </c>
      <c r="B3107" t="s" s="22">
        <v>394</v>
      </c>
      <c r="C3107" s="23">
        <v>500</v>
      </c>
      <c r="D3107" t="s" s="24">
        <v>633</v>
      </c>
      <c r="E3107" s="25">
        <v>26</v>
      </c>
      <c r="F3107" s="23">
        <v>16.67</v>
      </c>
      <c r="G3107" s="152" cm="1">
        <f t="array" ref="G3107">SUM(E3107/F3107)</f>
        <v>1.55968806238752</v>
      </c>
      <c r="H3107" s="15"/>
    </row>
    <row r="3108" ht="13.65" customHeight="1">
      <c r="A3108" s="21">
        <v>140</v>
      </c>
      <c r="B3108" t="s" s="22">
        <v>470</v>
      </c>
      <c r="C3108" t="s" s="24">
        <v>108</v>
      </c>
      <c r="D3108" t="s" s="24">
        <v>102</v>
      </c>
      <c r="E3108" s="25">
        <v>1.12</v>
      </c>
      <c r="F3108" t="s" s="24">
        <v>387</v>
      </c>
      <c r="G3108" s="152" cm="1">
        <f t="array" ref="G3108">SUM(E3108*2)</f>
        <v>2.24</v>
      </c>
      <c r="H3108" s="15"/>
    </row>
    <row r="3109" ht="13.65" customHeight="1">
      <c r="A3109" s="21">
        <v>71</v>
      </c>
      <c r="B3109" t="s" s="22">
        <v>109</v>
      </c>
      <c r="C3109" s="23">
        <v>10</v>
      </c>
      <c r="D3109" t="s" s="24">
        <v>274</v>
      </c>
      <c r="E3109" s="25">
        <v>5.92</v>
      </c>
      <c r="F3109" s="23">
        <v>2.5</v>
      </c>
      <c r="G3109" s="152" cm="1">
        <f t="array" ref="G3109">SUM(E3109/F3109)</f>
        <v>2.368</v>
      </c>
      <c r="H3109" s="15"/>
    </row>
    <row r="3110" ht="13.65" customHeight="1">
      <c r="A3110" s="21">
        <v>87</v>
      </c>
      <c r="B3110" t="s" s="22">
        <v>110</v>
      </c>
      <c r="C3110" s="23">
        <v>50</v>
      </c>
      <c r="D3110" t="s" s="24">
        <v>274</v>
      </c>
      <c r="E3110" s="25">
        <v>9</v>
      </c>
      <c r="F3110" s="23">
        <v>12.5</v>
      </c>
      <c r="G3110" s="152" cm="1">
        <f t="array" ref="G3110">SUM(E3110/F3110)</f>
        <v>0.72</v>
      </c>
      <c r="H3110" s="15"/>
    </row>
    <row r="3111" ht="13.65" customHeight="1">
      <c r="A3111" s="21">
        <v>55</v>
      </c>
      <c r="B3111" t="s" s="22">
        <v>111</v>
      </c>
      <c r="C3111" t="s" s="24">
        <v>112</v>
      </c>
      <c r="D3111" t="s" s="24">
        <v>113</v>
      </c>
      <c r="E3111" s="25">
        <v>2.71</v>
      </c>
      <c r="F3111" s="23">
        <v>75</v>
      </c>
      <c r="G3111" s="152" cm="1">
        <f t="array" ref="G3111">SUM(E3111/F3111)</f>
        <v>0.0361333333333333</v>
      </c>
      <c r="H3111" s="15"/>
    </row>
    <row r="3112" ht="13.65" customHeight="1">
      <c r="A3112" s="21">
        <v>10</v>
      </c>
      <c r="B3112" t="s" s="22">
        <v>395</v>
      </c>
      <c r="C3112" t="s" s="24">
        <v>396</v>
      </c>
      <c r="D3112" t="s" s="24">
        <v>397</v>
      </c>
      <c r="E3112" s="25">
        <v>3.92</v>
      </c>
      <c r="F3112" s="23">
        <v>50</v>
      </c>
      <c r="G3112" s="152" cm="1">
        <f t="array" ref="G3112">SUM(E3112/F3112)</f>
        <v>0.0784</v>
      </c>
      <c r="H3112" s="15"/>
    </row>
    <row r="3113" ht="13.65" customHeight="1">
      <c r="A3113" s="21">
        <v>9</v>
      </c>
      <c r="B3113" t="s" s="22">
        <v>692</v>
      </c>
      <c r="C3113" s="23">
        <v>50</v>
      </c>
      <c r="D3113" t="s" s="24">
        <v>274</v>
      </c>
      <c r="E3113" s="25">
        <v>14</v>
      </c>
      <c r="F3113" s="23">
        <v>12.5</v>
      </c>
      <c r="G3113" s="152" cm="1">
        <f t="array" ref="G3113">SUM(E3113/F3113)</f>
        <v>1.12</v>
      </c>
      <c r="H3113" s="15"/>
    </row>
    <row r="3114" ht="13.65" customHeight="1">
      <c r="A3114" s="21">
        <v>6</v>
      </c>
      <c r="B3114" t="s" s="22">
        <v>399</v>
      </c>
      <c r="C3114" s="23">
        <v>100</v>
      </c>
      <c r="D3114" t="s" s="24">
        <v>104</v>
      </c>
      <c r="E3114" s="25">
        <v>19</v>
      </c>
      <c r="F3114" s="23">
        <v>100</v>
      </c>
      <c r="G3114" s="152" cm="1">
        <f t="array" ref="G3114">SUM(E3114/F3114)</f>
        <v>0.19</v>
      </c>
      <c r="H3114" s="15"/>
    </row>
    <row r="3115" ht="13.65" customHeight="1">
      <c r="A3115" s="21">
        <v>23</v>
      </c>
      <c r="B3115" t="s" s="22">
        <v>488</v>
      </c>
      <c r="C3115" s="23">
        <v>1</v>
      </c>
      <c r="D3115" t="s" s="24">
        <v>104</v>
      </c>
      <c r="E3115" s="25">
        <v>11</v>
      </c>
      <c r="F3115" s="23">
        <v>1</v>
      </c>
      <c r="G3115" s="152" cm="1">
        <f t="array" ref="G3115">SUM(E3115/F3115)</f>
        <v>11</v>
      </c>
      <c r="H3115" s="15"/>
    </row>
    <row r="3116" ht="13.65" customHeight="1">
      <c r="A3116" s="21">
        <v>44</v>
      </c>
      <c r="B3116" t="s" s="22">
        <v>400</v>
      </c>
      <c r="C3116" s="23">
        <v>1</v>
      </c>
      <c r="D3116" t="s" s="24">
        <v>401</v>
      </c>
      <c r="E3116" s="25">
        <v>74</v>
      </c>
      <c r="F3116" s="23">
        <v>30</v>
      </c>
      <c r="G3116" s="152" cm="1">
        <f t="array" ref="G3116">SUM(E3116/F3116)</f>
        <v>2.46666666666667</v>
      </c>
      <c r="H3116" s="15"/>
    </row>
    <row r="3117" ht="13.65" customHeight="1">
      <c r="A3117" s="21">
        <v>119</v>
      </c>
      <c r="B3117" t="s" s="22">
        <v>467</v>
      </c>
      <c r="C3117" s="23">
        <v>1</v>
      </c>
      <c r="D3117" t="s" s="24">
        <v>468</v>
      </c>
      <c r="E3117" s="25">
        <v>0.45</v>
      </c>
      <c r="F3117" s="23">
        <v>1</v>
      </c>
      <c r="G3117" s="152" cm="1">
        <f t="array" ref="G3117">SUM(E3117/F3117)</f>
        <v>0.45</v>
      </c>
      <c r="H3117" s="15"/>
    </row>
    <row r="3118" ht="13.65" customHeight="1">
      <c r="A3118" s="21">
        <v>122</v>
      </c>
      <c r="B3118" t="s" s="22">
        <v>489</v>
      </c>
      <c r="C3118" t="s" s="24">
        <v>490</v>
      </c>
      <c r="D3118" t="s" s="24">
        <v>491</v>
      </c>
      <c r="E3118" s="25">
        <v>1.7</v>
      </c>
      <c r="F3118" s="23">
        <v>10</v>
      </c>
      <c r="G3118" s="152" cm="1">
        <f t="array" ref="G3118">SUM(E3118/F3118)</f>
        <v>0.17</v>
      </c>
      <c r="H3118" s="15"/>
    </row>
    <row r="3119" ht="13.65" customHeight="1">
      <c r="A3119" s="21">
        <v>56</v>
      </c>
      <c r="B3119" t="s" s="22">
        <v>471</v>
      </c>
      <c r="C3119" s="23">
        <v>1</v>
      </c>
      <c r="D3119" t="s" s="24">
        <v>104</v>
      </c>
      <c r="E3119" s="25">
        <v>3.5</v>
      </c>
      <c r="F3119" s="23">
        <v>1</v>
      </c>
      <c r="G3119" s="152" cm="1">
        <f t="array" ref="G3119">SUM(E3119/F3119)</f>
        <v>3.5</v>
      </c>
      <c r="H3119" s="15"/>
    </row>
    <row r="3120" ht="13.65" customHeight="1">
      <c r="A3120" s="21">
        <v>16</v>
      </c>
      <c r="B3120" t="s" s="22">
        <v>693</v>
      </c>
      <c r="C3120" s="23">
        <v>3</v>
      </c>
      <c r="D3120" t="s" s="24">
        <v>745</v>
      </c>
      <c r="E3120" s="25">
        <v>41</v>
      </c>
      <c r="F3120" s="23">
        <v>15</v>
      </c>
      <c r="G3120" s="152" cm="1">
        <f t="array" ref="G3120">SUM(E3120/F3120)</f>
        <v>2.73333333333333</v>
      </c>
      <c r="H3120" s="15"/>
    </row>
    <row r="3121" ht="13.65" customHeight="1">
      <c r="A3121" s="21">
        <v>29</v>
      </c>
      <c r="B3121" t="s" s="22">
        <v>493</v>
      </c>
      <c r="C3121" s="23">
        <v>1</v>
      </c>
      <c r="D3121" t="s" s="24">
        <v>401</v>
      </c>
      <c r="E3121" s="25">
        <v>74</v>
      </c>
      <c r="F3121" s="23">
        <v>30</v>
      </c>
      <c r="G3121" s="152" cm="1">
        <f t="array" ref="G3121">SUM(E3121/F3121)</f>
        <v>2.46666666666667</v>
      </c>
      <c r="H3121" s="15"/>
    </row>
    <row r="3122" ht="13.65" customHeight="1">
      <c r="A3122" s="21">
        <v>36</v>
      </c>
      <c r="B3122" t="s" s="22">
        <v>496</v>
      </c>
      <c r="C3122" t="s" s="24">
        <v>497</v>
      </c>
      <c r="D3122" t="s" s="24">
        <v>498</v>
      </c>
      <c r="E3122" s="25">
        <v>13</v>
      </c>
      <c r="F3122" s="23">
        <v>16</v>
      </c>
      <c r="G3122" s="152" cm="1">
        <f t="array" ref="G3122">SUM(E3122/F3122)</f>
        <v>0.8125</v>
      </c>
      <c r="H3122" s="15"/>
    </row>
    <row r="3123" ht="13.65" customHeight="1">
      <c r="A3123" s="21">
        <v>78</v>
      </c>
      <c r="B3123" t="s" s="22">
        <v>492</v>
      </c>
      <c r="C3123" s="23">
        <v>1</v>
      </c>
      <c r="D3123" t="s" s="24">
        <v>102</v>
      </c>
      <c r="E3123" s="25">
        <v>1</v>
      </c>
      <c r="F3123" t="s" s="24">
        <v>387</v>
      </c>
      <c r="G3123" s="152" cm="1">
        <f t="array" ref="G3123">SUM(E3123*2)</f>
        <v>2</v>
      </c>
      <c r="H3123" s="15"/>
    </row>
    <row r="3124" ht="13.65" customHeight="1">
      <c r="A3124" s="21">
        <v>116</v>
      </c>
      <c r="B3124" t="s" s="22">
        <v>721</v>
      </c>
      <c r="C3124" t="s" s="24">
        <v>384</v>
      </c>
      <c r="D3124" t="s" s="24">
        <v>640</v>
      </c>
      <c r="E3124" s="25">
        <v>12</v>
      </c>
      <c r="F3124" s="23">
        <v>4</v>
      </c>
      <c r="G3124" s="152" cm="1">
        <f t="array" ref="G3124">SUM(E3124/F3124)</f>
        <v>3</v>
      </c>
      <c r="H3124" s="15"/>
    </row>
    <row r="3125" ht="13.65" customHeight="1">
      <c r="A3125" s="28"/>
      <c r="B3125" s="28"/>
      <c r="C3125" s="27"/>
      <c r="D3125" s="24"/>
      <c r="E3125" s="27"/>
      <c r="F3125" t="s" s="29">
        <v>118</v>
      </c>
      <c r="G3125" s="197" cm="1">
        <f t="array" ref="G3125">SUM(G3104:G3124)</f>
        <v>37.3621516987512</v>
      </c>
      <c r="H3125" s="15"/>
    </row>
    <row r="3126" ht="13.65" customHeight="1">
      <c r="A3126" s="129"/>
      <c r="B3126" s="129"/>
      <c r="C3126" s="129"/>
      <c r="D3126" s="129"/>
      <c r="E3126" s="129"/>
      <c r="F3126" s="31"/>
      <c r="G3126" s="31"/>
      <c r="H3126" s="3"/>
    </row>
    <row r="3127" ht="11.7" customHeight="1">
      <c r="A3127" t="s" s="167">
        <v>136</v>
      </c>
      <c r="B3127" t="s" s="167">
        <v>281</v>
      </c>
      <c r="C3127" t="s" s="167">
        <v>282</v>
      </c>
      <c r="D3127" t="s" s="168">
        <v>283</v>
      </c>
      <c r="E3127" s="169"/>
      <c r="F3127" s="170"/>
      <c r="G3127" s="171"/>
      <c r="H3127" s="171"/>
    </row>
    <row r="3128" ht="13.65" customHeight="1">
      <c r="A3128" s="23">
        <v>95</v>
      </c>
      <c r="B3128" s="172" cm="1">
        <f t="array" ref="B3128">SUM(H256)</f>
        <v>2.47496540404041</v>
      </c>
      <c r="C3128" s="172" cm="1">
        <f t="array" ref="C3128">SUM(G3125)</f>
        <v>37.3621516987512</v>
      </c>
      <c r="D3128" s="199" cm="1">
        <f t="array" ref="D3128">SUM(A3128*B3128)+(C3128)</f>
        <v>272.483865082590</v>
      </c>
      <c r="E3128" s="200"/>
      <c r="F3128" s="15"/>
      <c r="G3128" s="3"/>
      <c r="H3128" s="3"/>
    </row>
    <row r="3129" ht="13.65" customHeight="1">
      <c r="A3129" s="31"/>
      <c r="B3129" s="31"/>
      <c r="C3129" s="31"/>
      <c r="D3129" s="31"/>
      <c r="E3129" s="31"/>
      <c r="F3129" s="3"/>
      <c r="G3129" s="3"/>
      <c r="H3129" s="3"/>
    </row>
    <row r="3130" ht="13.65" customHeight="1">
      <c r="A3130" s="203"/>
      <c r="B3130" s="203"/>
      <c r="C3130" s="203"/>
      <c r="D3130" s="203"/>
      <c r="E3130" s="203"/>
      <c r="F3130" s="203"/>
      <c r="G3130" s="203"/>
      <c r="H3130" s="203"/>
    </row>
    <row r="3131" ht="13.65" customHeight="1">
      <c r="A3131" t="s" s="274">
        <v>185</v>
      </c>
      <c r="B3131" s="275"/>
      <c r="C3131" s="275"/>
      <c r="D3131" s="275"/>
      <c r="E3131" s="280"/>
      <c r="F3131" s="275"/>
      <c r="G3131" s="275"/>
      <c r="H3131" s="277"/>
    </row>
    <row r="3132" ht="13.65" customHeight="1">
      <c r="A3132" s="278"/>
      <c r="B3132" s="278"/>
      <c r="C3132" s="278"/>
      <c r="D3132" s="278"/>
      <c r="E3132" s="278"/>
      <c r="F3132" s="278"/>
      <c r="G3132" s="278"/>
      <c r="H3132" s="278"/>
    </row>
    <row r="3133" ht="13.65" customHeight="1">
      <c r="A3133" s="3"/>
      <c r="B3133" s="3"/>
      <c r="C3133" s="3"/>
      <c r="D3133" s="3"/>
      <c r="E3133" s="3"/>
      <c r="F3133" s="3"/>
      <c r="G3133" s="3"/>
      <c r="H3133" s="3"/>
    </row>
    <row r="3134" ht="13.65" customHeight="1">
      <c r="A3134" t="s" s="5">
        <v>746</v>
      </c>
      <c r="B3134" s="3"/>
      <c r="C3134" s="3"/>
      <c r="D3134" s="3"/>
      <c r="E3134" s="3"/>
      <c r="F3134" s="3"/>
      <c r="G3134" s="3"/>
      <c r="H3134" s="3"/>
    </row>
    <row r="3135" ht="13.65" customHeight="1">
      <c r="A3135" s="11"/>
      <c r="B3135" s="11"/>
      <c r="C3135" s="11"/>
      <c r="D3135" s="11"/>
      <c r="E3135" s="11"/>
      <c r="F3135" s="11"/>
      <c r="G3135" s="11"/>
      <c r="H3135" s="3"/>
    </row>
    <row r="3136" ht="12" customHeight="1">
      <c r="A3136" s="12"/>
      <c r="B3136" s="12"/>
      <c r="C3136" s="13"/>
      <c r="D3136" s="14"/>
      <c r="E3136" s="13"/>
      <c r="F3136" s="13"/>
      <c r="G3136" t="s" s="14">
        <v>252</v>
      </c>
      <c r="H3136" s="150"/>
    </row>
    <row r="3137" ht="13.65" customHeight="1">
      <c r="A3137" t="s" s="16">
        <v>93</v>
      </c>
      <c r="B3137" t="s" s="16">
        <v>94</v>
      </c>
      <c r="C3137" t="s" s="16">
        <v>95</v>
      </c>
      <c r="D3137" t="s" s="16">
        <v>96</v>
      </c>
      <c r="E3137" t="s" s="16">
        <v>97</v>
      </c>
      <c r="F3137" t="s" s="16">
        <v>98</v>
      </c>
      <c r="G3137" t="s" s="16">
        <v>99</v>
      </c>
      <c r="H3137" s="15"/>
    </row>
    <row r="3138" ht="13.65" customHeight="1">
      <c r="A3138" s="151"/>
      <c r="B3138" s="151"/>
      <c r="C3138" s="19"/>
      <c r="D3138" s="20"/>
      <c r="E3138" s="19"/>
      <c r="F3138" s="19"/>
      <c r="G3138" t="s" s="20">
        <v>100</v>
      </c>
      <c r="H3138" s="15"/>
    </row>
    <row r="3139" ht="13.65" customHeight="1">
      <c r="A3139" s="21">
        <v>72</v>
      </c>
      <c r="B3139" t="s" s="22">
        <v>101</v>
      </c>
      <c r="C3139" s="23">
        <v>50</v>
      </c>
      <c r="D3139" t="s" s="24">
        <v>274</v>
      </c>
      <c r="E3139" s="25">
        <v>1.93</v>
      </c>
      <c r="F3139" s="23">
        <v>12.5</v>
      </c>
      <c r="G3139" s="152" cm="1">
        <f t="array" ref="G3139">SUM(E3139/F3139)</f>
        <v>0.1544</v>
      </c>
      <c r="H3139" s="15"/>
    </row>
    <row r="3140" ht="13.65" customHeight="1">
      <c r="A3140" s="21">
        <v>123</v>
      </c>
      <c r="B3140" t="s" s="22">
        <v>103</v>
      </c>
      <c r="C3140" s="23">
        <v>40</v>
      </c>
      <c r="D3140" t="s" s="24">
        <v>102</v>
      </c>
      <c r="E3140" s="25">
        <v>3.2</v>
      </c>
      <c r="F3140" s="23">
        <v>20</v>
      </c>
      <c r="G3140" s="152" cm="1">
        <f t="array" ref="G3140">SUM(E3140/F3140)</f>
        <v>0.16</v>
      </c>
      <c r="H3140" s="15"/>
    </row>
    <row r="3141" ht="13.65" customHeight="1">
      <c r="A3141" s="21">
        <v>57</v>
      </c>
      <c r="B3141" t="s" s="22">
        <v>253</v>
      </c>
      <c r="C3141" t="s" s="24">
        <v>254</v>
      </c>
      <c r="D3141" t="s" s="24">
        <v>371</v>
      </c>
      <c r="E3141" s="25">
        <v>4.5</v>
      </c>
      <c r="F3141" s="23">
        <v>33</v>
      </c>
      <c r="G3141" s="152" cm="1">
        <f t="array" ref="G3141">SUM(E3141/F3141)</f>
        <v>0.136363636363636</v>
      </c>
      <c r="H3141" s="15"/>
    </row>
    <row r="3142" ht="13.65" customHeight="1">
      <c r="A3142" s="21">
        <v>65</v>
      </c>
      <c r="B3142" t="s" s="22">
        <v>394</v>
      </c>
      <c r="C3142" s="23">
        <v>500</v>
      </c>
      <c r="D3142" t="s" s="24">
        <v>261</v>
      </c>
      <c r="E3142" s="25">
        <v>26</v>
      </c>
      <c r="F3142" s="23">
        <v>25</v>
      </c>
      <c r="G3142" s="152" cm="1">
        <f t="array" ref="G3142">SUM(E3142/F3142)</f>
        <v>1.04</v>
      </c>
      <c r="H3142" s="15"/>
    </row>
    <row r="3143" ht="13.65" customHeight="1">
      <c r="A3143" s="21">
        <v>140</v>
      </c>
      <c r="B3143" t="s" s="22">
        <v>470</v>
      </c>
      <c r="C3143" t="s" s="24">
        <v>108</v>
      </c>
      <c r="D3143" t="s" s="24">
        <v>102</v>
      </c>
      <c r="E3143" s="25">
        <v>1.12</v>
      </c>
      <c r="F3143" t="s" s="24">
        <v>387</v>
      </c>
      <c r="G3143" s="152" cm="1">
        <f t="array" ref="G3143">SUM(E3143*2)</f>
        <v>2.24</v>
      </c>
      <c r="H3143" s="15"/>
    </row>
    <row r="3144" ht="13.65" customHeight="1">
      <c r="A3144" s="21">
        <v>71</v>
      </c>
      <c r="B3144" t="s" s="22">
        <v>109</v>
      </c>
      <c r="C3144" s="23">
        <v>10</v>
      </c>
      <c r="D3144" t="s" s="24">
        <v>274</v>
      </c>
      <c r="E3144" s="25">
        <v>5.92</v>
      </c>
      <c r="F3144" s="23">
        <v>2.5</v>
      </c>
      <c r="G3144" s="152" cm="1">
        <f t="array" ref="G3144">SUM(E3144/F3144)</f>
        <v>2.368</v>
      </c>
      <c r="H3144" s="15"/>
    </row>
    <row r="3145" ht="13.65" customHeight="1">
      <c r="A3145" s="21">
        <v>87</v>
      </c>
      <c r="B3145" t="s" s="22">
        <v>110</v>
      </c>
      <c r="C3145" s="23">
        <v>50</v>
      </c>
      <c r="D3145" t="s" s="24">
        <v>274</v>
      </c>
      <c r="E3145" s="25">
        <v>9</v>
      </c>
      <c r="F3145" s="23">
        <v>12.5</v>
      </c>
      <c r="G3145" s="152" cm="1">
        <f t="array" ref="G3145">SUM(E3145/F3145)</f>
        <v>0.72</v>
      </c>
      <c r="H3145" s="15"/>
    </row>
    <row r="3146" ht="13.65" customHeight="1">
      <c r="A3146" s="21">
        <v>55</v>
      </c>
      <c r="B3146" t="s" s="22">
        <v>111</v>
      </c>
      <c r="C3146" t="s" s="24">
        <v>112</v>
      </c>
      <c r="D3146" t="s" s="24">
        <v>113</v>
      </c>
      <c r="E3146" s="25">
        <v>2.71</v>
      </c>
      <c r="F3146" s="23">
        <v>75</v>
      </c>
      <c r="G3146" s="152" cm="1">
        <f t="array" ref="G3146">SUM(E3146/F3146)</f>
        <v>0.0361333333333333</v>
      </c>
      <c r="H3146" s="15"/>
    </row>
    <row r="3147" ht="13.65" customHeight="1">
      <c r="A3147" s="21">
        <v>10</v>
      </c>
      <c r="B3147" t="s" s="22">
        <v>395</v>
      </c>
      <c r="C3147" t="s" s="24">
        <v>396</v>
      </c>
      <c r="D3147" t="s" s="24">
        <v>397</v>
      </c>
      <c r="E3147" s="25">
        <v>3.92</v>
      </c>
      <c r="F3147" s="23">
        <v>50</v>
      </c>
      <c r="G3147" s="152" cm="1">
        <f t="array" ref="G3147">SUM(E3147/F3147)</f>
        <v>0.0784</v>
      </c>
      <c r="H3147" s="15"/>
    </row>
    <row r="3148" ht="13.65" customHeight="1">
      <c r="A3148" s="21">
        <v>9</v>
      </c>
      <c r="B3148" t="s" s="22">
        <v>692</v>
      </c>
      <c r="C3148" s="23">
        <v>50</v>
      </c>
      <c r="D3148" t="s" s="24">
        <v>274</v>
      </c>
      <c r="E3148" s="25">
        <v>14</v>
      </c>
      <c r="F3148" s="23">
        <v>12.5</v>
      </c>
      <c r="G3148" s="152" cm="1">
        <f t="array" ref="G3148">SUM(E3148/F3148)</f>
        <v>1.12</v>
      </c>
      <c r="H3148" s="15"/>
    </row>
    <row r="3149" ht="13.65" customHeight="1">
      <c r="A3149" s="21">
        <v>6</v>
      </c>
      <c r="B3149" t="s" s="22">
        <v>399</v>
      </c>
      <c r="C3149" s="23">
        <v>100</v>
      </c>
      <c r="D3149" t="s" s="24">
        <v>104</v>
      </c>
      <c r="E3149" s="25">
        <v>19</v>
      </c>
      <c r="F3149" s="23">
        <v>100</v>
      </c>
      <c r="G3149" s="152" cm="1">
        <f t="array" ref="G3149">SUM(E3149/F3149)</f>
        <v>0.19</v>
      </c>
      <c r="H3149" s="15"/>
    </row>
    <row r="3150" ht="13.65" customHeight="1">
      <c r="A3150" s="21">
        <v>23</v>
      </c>
      <c r="B3150" t="s" s="22">
        <v>488</v>
      </c>
      <c r="C3150" s="23">
        <v>1</v>
      </c>
      <c r="D3150" t="s" s="24">
        <v>104</v>
      </c>
      <c r="E3150" s="25">
        <v>11</v>
      </c>
      <c r="F3150" s="23">
        <v>1</v>
      </c>
      <c r="G3150" s="152" cm="1">
        <f t="array" ref="G3150">SUM(E3150/F3150)</f>
        <v>11</v>
      </c>
      <c r="H3150" s="15"/>
    </row>
    <row r="3151" ht="13.65" customHeight="1">
      <c r="A3151" s="21">
        <v>44</v>
      </c>
      <c r="B3151" t="s" s="22">
        <v>400</v>
      </c>
      <c r="C3151" s="23">
        <v>1</v>
      </c>
      <c r="D3151" t="s" s="24">
        <v>401</v>
      </c>
      <c r="E3151" s="25">
        <v>74</v>
      </c>
      <c r="F3151" s="23">
        <v>30</v>
      </c>
      <c r="G3151" s="152" cm="1">
        <f t="array" ref="G3151">SUM(E3151/F3151)</f>
        <v>2.46666666666667</v>
      </c>
      <c r="H3151" s="15"/>
    </row>
    <row r="3152" ht="13.65" customHeight="1">
      <c r="A3152" s="21">
        <v>119</v>
      </c>
      <c r="B3152" t="s" s="22">
        <v>467</v>
      </c>
      <c r="C3152" s="23">
        <v>1</v>
      </c>
      <c r="D3152" t="s" s="24">
        <v>468</v>
      </c>
      <c r="E3152" s="25">
        <v>0.45</v>
      </c>
      <c r="F3152" s="23">
        <v>1</v>
      </c>
      <c r="G3152" s="152" cm="1">
        <f t="array" ref="G3152">SUM(E3152/F3152)</f>
        <v>0.45</v>
      </c>
      <c r="H3152" s="15"/>
    </row>
    <row r="3153" ht="13.65" customHeight="1">
      <c r="A3153" s="21">
        <v>122</v>
      </c>
      <c r="B3153" t="s" s="22">
        <v>489</v>
      </c>
      <c r="C3153" t="s" s="24">
        <v>490</v>
      </c>
      <c r="D3153" t="s" s="24">
        <v>389</v>
      </c>
      <c r="E3153" s="25">
        <v>1.7</v>
      </c>
      <c r="F3153" s="23">
        <v>5</v>
      </c>
      <c r="G3153" s="152" cm="1">
        <f t="array" ref="G3153">SUM(E3153/F3153)</f>
        <v>0.34</v>
      </c>
      <c r="H3153" s="15"/>
    </row>
    <row r="3154" ht="13.65" customHeight="1">
      <c r="A3154" s="21">
        <v>56</v>
      </c>
      <c r="B3154" t="s" s="22">
        <v>471</v>
      </c>
      <c r="C3154" s="23">
        <v>1</v>
      </c>
      <c r="D3154" t="s" s="24">
        <v>104</v>
      </c>
      <c r="E3154" s="25">
        <v>3.5</v>
      </c>
      <c r="F3154" s="23">
        <v>1</v>
      </c>
      <c r="G3154" s="152" cm="1">
        <f t="array" ref="G3154">SUM(E3154/F3154)</f>
        <v>3.5</v>
      </c>
      <c r="H3154" s="15"/>
    </row>
    <row r="3155" ht="13.65" customHeight="1">
      <c r="A3155" s="21">
        <v>16</v>
      </c>
      <c r="B3155" t="s" s="22">
        <v>747</v>
      </c>
      <c r="C3155" s="23">
        <v>3</v>
      </c>
      <c r="D3155" t="s" s="24">
        <v>575</v>
      </c>
      <c r="E3155" s="25">
        <v>41</v>
      </c>
      <c r="F3155" s="23">
        <v>15</v>
      </c>
      <c r="G3155" s="152" cm="1">
        <f t="array" ref="G3155">SUM(E3155/F3155)</f>
        <v>2.73333333333333</v>
      </c>
      <c r="H3155" s="15"/>
    </row>
    <row r="3156" ht="13.65" customHeight="1">
      <c r="A3156" s="21">
        <v>29</v>
      </c>
      <c r="B3156" t="s" s="22">
        <v>493</v>
      </c>
      <c r="C3156" s="23">
        <v>1</v>
      </c>
      <c r="D3156" t="s" s="24">
        <v>401</v>
      </c>
      <c r="E3156" s="25">
        <v>74</v>
      </c>
      <c r="F3156" s="23">
        <v>30</v>
      </c>
      <c r="G3156" s="152" cm="1">
        <f t="array" ref="G3156">SUM(E3156/F3156)</f>
        <v>2.46666666666667</v>
      </c>
      <c r="H3156" s="15"/>
    </row>
    <row r="3157" ht="13.65" customHeight="1">
      <c r="A3157" s="21">
        <v>36</v>
      </c>
      <c r="B3157" t="s" s="22">
        <v>496</v>
      </c>
      <c r="C3157" t="s" s="24">
        <v>497</v>
      </c>
      <c r="D3157" t="s" s="24">
        <v>498</v>
      </c>
      <c r="E3157" s="25">
        <v>13</v>
      </c>
      <c r="F3157" s="23">
        <v>16</v>
      </c>
      <c r="G3157" s="152" cm="1">
        <f t="array" ref="G3157">SUM(E3157/F3157)</f>
        <v>0.8125</v>
      </c>
      <c r="H3157" s="15"/>
    </row>
    <row r="3158" ht="13.65" customHeight="1">
      <c r="A3158" s="21">
        <v>78</v>
      </c>
      <c r="B3158" t="s" s="22">
        <v>492</v>
      </c>
      <c r="C3158" s="23">
        <v>1</v>
      </c>
      <c r="D3158" t="s" s="24">
        <v>104</v>
      </c>
      <c r="E3158" s="25">
        <v>1</v>
      </c>
      <c r="F3158" s="23">
        <v>1</v>
      </c>
      <c r="G3158" s="152" cm="1">
        <f t="array" ref="G3158">SUM(E3158/F3158)</f>
        <v>1</v>
      </c>
      <c r="H3158" s="15"/>
    </row>
    <row r="3159" ht="13.65" customHeight="1">
      <c r="A3159" s="21">
        <v>116</v>
      </c>
      <c r="B3159" t="s" s="22">
        <v>721</v>
      </c>
      <c r="C3159" t="s" s="24">
        <v>384</v>
      </c>
      <c r="D3159" t="s" s="24">
        <v>640</v>
      </c>
      <c r="E3159" s="25">
        <v>12</v>
      </c>
      <c r="F3159" s="23">
        <v>4</v>
      </c>
      <c r="G3159" s="152" cm="1">
        <f t="array" ref="G3159">SUM(E3159/F3159)</f>
        <v>3</v>
      </c>
      <c r="H3159" s="15"/>
    </row>
    <row r="3160" ht="13.65" customHeight="1">
      <c r="A3160" s="28"/>
      <c r="B3160" s="28"/>
      <c r="C3160" s="27"/>
      <c r="D3160" s="24"/>
      <c r="E3160" s="27"/>
      <c r="F3160" t="s" s="29">
        <v>118</v>
      </c>
      <c r="G3160" s="197" cm="1">
        <f t="array" ref="G3160">SUM(G3139:G3159)</f>
        <v>36.0124636363636</v>
      </c>
      <c r="H3160" s="15"/>
    </row>
    <row r="3161" ht="13.65" customHeight="1">
      <c r="A3161" s="129"/>
      <c r="B3161" s="129"/>
      <c r="C3161" s="129"/>
      <c r="D3161" s="129"/>
      <c r="E3161" s="129"/>
      <c r="F3161" s="31"/>
      <c r="G3161" s="31"/>
      <c r="H3161" s="3"/>
    </row>
    <row r="3162" ht="11.7" customHeight="1">
      <c r="A3162" t="s" s="167">
        <v>136</v>
      </c>
      <c r="B3162" t="s" s="167">
        <v>281</v>
      </c>
      <c r="C3162" t="s" s="167">
        <v>282</v>
      </c>
      <c r="D3162" t="s" s="168">
        <v>283</v>
      </c>
      <c r="E3162" s="169"/>
      <c r="F3162" s="170"/>
      <c r="G3162" s="171"/>
      <c r="H3162" s="171"/>
    </row>
    <row r="3163" ht="13.65" customHeight="1">
      <c r="A3163" s="23">
        <v>95</v>
      </c>
      <c r="B3163" s="172" cm="1">
        <f t="array" ref="B3163">SUM(H256)</f>
        <v>2.47496540404041</v>
      </c>
      <c r="C3163" s="172" cm="1">
        <f t="array" ref="C3163">SUM(G3160)</f>
        <v>36.0124636363636</v>
      </c>
      <c r="D3163" s="199" cm="1">
        <f t="array" ref="D3163">SUM(A3163*B3163)+(C3163)</f>
        <v>271.134177020203</v>
      </c>
      <c r="E3163" s="200"/>
      <c r="F3163" s="15"/>
      <c r="G3163" s="3"/>
      <c r="H3163" s="3"/>
    </row>
    <row r="3164" ht="13.65" customHeight="1">
      <c r="A3164" s="176"/>
      <c r="B3164" s="176"/>
      <c r="C3164" s="292"/>
      <c r="D3164" s="176"/>
      <c r="E3164" s="290"/>
      <c r="F3164" s="3"/>
      <c r="G3164" s="3"/>
      <c r="H3164" s="3"/>
    </row>
    <row r="3165" ht="13.65" customHeight="1">
      <c r="A3165" s="203"/>
      <c r="B3165" s="203"/>
      <c r="C3165" s="203"/>
      <c r="D3165" s="203"/>
      <c r="E3165" s="203"/>
      <c r="F3165" s="203"/>
      <c r="G3165" s="203"/>
      <c r="H3165" s="203"/>
    </row>
    <row r="3166" ht="13.65" customHeight="1">
      <c r="A3166" t="s" s="274">
        <v>185</v>
      </c>
      <c r="B3166" s="275"/>
      <c r="C3166" s="275"/>
      <c r="D3166" s="275"/>
      <c r="E3166" s="280"/>
      <c r="F3166" s="275"/>
      <c r="G3166" s="275"/>
      <c r="H3166" s="277"/>
    </row>
    <row r="3167" ht="13.65" customHeight="1">
      <c r="A3167" s="278"/>
      <c r="B3167" s="278"/>
      <c r="C3167" s="278"/>
      <c r="D3167" s="278"/>
      <c r="E3167" s="278"/>
      <c r="F3167" s="278"/>
      <c r="G3167" s="278"/>
      <c r="H3167" s="278"/>
    </row>
    <row r="3168" ht="13.65" customHeight="1">
      <c r="A3168" s="3"/>
      <c r="B3168" s="3"/>
      <c r="C3168" s="3"/>
      <c r="D3168" s="3"/>
      <c r="E3168" s="3"/>
      <c r="F3168" s="3"/>
      <c r="G3168" s="3"/>
      <c r="H3168" s="3"/>
    </row>
    <row r="3169" ht="13.65" customHeight="1">
      <c r="A3169" t="s" s="5">
        <v>748</v>
      </c>
      <c r="B3169" s="3"/>
      <c r="C3169" s="3"/>
      <c r="D3169" s="3"/>
      <c r="E3169" s="3"/>
      <c r="F3169" s="3"/>
      <c r="G3169" s="3"/>
      <c r="H3169" s="3"/>
    </row>
    <row r="3170" ht="13.65" customHeight="1">
      <c r="A3170" s="11"/>
      <c r="B3170" s="11"/>
      <c r="C3170" s="11"/>
      <c r="D3170" s="11"/>
      <c r="E3170" s="11"/>
      <c r="F3170" s="11"/>
      <c r="G3170" s="11"/>
      <c r="H3170" s="3"/>
    </row>
    <row r="3171" ht="13.65" customHeight="1">
      <c r="A3171" s="12"/>
      <c r="B3171" s="12"/>
      <c r="C3171" s="13"/>
      <c r="D3171" s="14"/>
      <c r="E3171" s="13"/>
      <c r="F3171" s="13"/>
      <c r="G3171" t="s" s="14">
        <v>252</v>
      </c>
      <c r="H3171" s="150"/>
    </row>
    <row r="3172" ht="13.65" customHeight="1">
      <c r="A3172" t="s" s="16">
        <v>93</v>
      </c>
      <c r="B3172" t="s" s="16">
        <v>94</v>
      </c>
      <c r="C3172" t="s" s="16">
        <v>95</v>
      </c>
      <c r="D3172" t="s" s="16">
        <v>96</v>
      </c>
      <c r="E3172" t="s" s="16">
        <v>97</v>
      </c>
      <c r="F3172" t="s" s="16">
        <v>98</v>
      </c>
      <c r="G3172" t="s" s="16">
        <v>99</v>
      </c>
      <c r="H3172" s="15"/>
    </row>
    <row r="3173" ht="13.65" customHeight="1">
      <c r="A3173" s="151"/>
      <c r="B3173" s="151"/>
      <c r="C3173" s="19"/>
      <c r="D3173" s="20"/>
      <c r="E3173" s="19"/>
      <c r="F3173" s="19"/>
      <c r="G3173" t="s" s="20">
        <v>100</v>
      </c>
      <c r="H3173" s="15"/>
    </row>
    <row r="3174" ht="13.65" customHeight="1">
      <c r="A3174" s="21">
        <v>72</v>
      </c>
      <c r="B3174" t="s" s="22">
        <v>101</v>
      </c>
      <c r="C3174" s="23">
        <v>50</v>
      </c>
      <c r="D3174" t="s" s="24">
        <v>274</v>
      </c>
      <c r="E3174" s="25">
        <v>1.93</v>
      </c>
      <c r="F3174" s="23">
        <v>12.5</v>
      </c>
      <c r="G3174" s="152" cm="1">
        <f t="array" ref="G3174">SUM(E3174/F3174)</f>
        <v>0.1544</v>
      </c>
      <c r="H3174" s="15"/>
    </row>
    <row r="3175" ht="13.65" customHeight="1">
      <c r="A3175" s="21">
        <v>123</v>
      </c>
      <c r="B3175" t="s" s="22">
        <v>103</v>
      </c>
      <c r="C3175" s="23">
        <v>40</v>
      </c>
      <c r="D3175" t="s" s="24">
        <v>102</v>
      </c>
      <c r="E3175" s="25">
        <v>3.2</v>
      </c>
      <c r="F3175" s="23">
        <v>20</v>
      </c>
      <c r="G3175" s="152" cm="1">
        <f t="array" ref="G3175">SUM(E3175/F3175)</f>
        <v>0.16</v>
      </c>
      <c r="H3175" s="15"/>
    </row>
    <row r="3176" ht="13.65" customHeight="1">
      <c r="A3176" s="21">
        <v>57</v>
      </c>
      <c r="B3176" t="s" s="22">
        <v>253</v>
      </c>
      <c r="C3176" t="s" s="24">
        <v>254</v>
      </c>
      <c r="D3176" t="s" s="24">
        <v>371</v>
      </c>
      <c r="E3176" s="25">
        <v>4.5</v>
      </c>
      <c r="F3176" s="23">
        <v>33</v>
      </c>
      <c r="G3176" s="152" cm="1">
        <f t="array" ref="G3176">SUM(E3176/F3176)</f>
        <v>0.136363636363636</v>
      </c>
      <c r="H3176" s="15"/>
    </row>
    <row r="3177" ht="13.65" customHeight="1">
      <c r="A3177" s="21">
        <v>65</v>
      </c>
      <c r="B3177" t="s" s="22">
        <v>394</v>
      </c>
      <c r="C3177" s="23">
        <v>500</v>
      </c>
      <c r="D3177" t="s" s="24">
        <v>743</v>
      </c>
      <c r="E3177" s="25">
        <v>26</v>
      </c>
      <c r="F3177" s="23">
        <v>33</v>
      </c>
      <c r="G3177" s="152" cm="1">
        <f t="array" ref="G3177">SUM(E3177/F3177)</f>
        <v>0.787878787878788</v>
      </c>
      <c r="H3177" s="15"/>
    </row>
    <row r="3178" ht="13.65" customHeight="1">
      <c r="A3178" s="21">
        <v>140</v>
      </c>
      <c r="B3178" t="s" s="22">
        <v>470</v>
      </c>
      <c r="C3178" t="s" s="24">
        <v>108</v>
      </c>
      <c r="D3178" t="s" s="24">
        <v>102</v>
      </c>
      <c r="E3178" s="25">
        <v>1.12</v>
      </c>
      <c r="F3178" t="s" s="24">
        <v>387</v>
      </c>
      <c r="G3178" s="152" cm="1">
        <f t="array" ref="G3178">SUM(E3178*2)</f>
        <v>2.24</v>
      </c>
      <c r="H3178" s="15"/>
    </row>
    <row r="3179" ht="13.65" customHeight="1">
      <c r="A3179" s="21">
        <v>71</v>
      </c>
      <c r="B3179" t="s" s="22">
        <v>109</v>
      </c>
      <c r="C3179" s="23">
        <v>10</v>
      </c>
      <c r="D3179" t="s" s="24">
        <v>274</v>
      </c>
      <c r="E3179" s="25">
        <v>5.92</v>
      </c>
      <c r="F3179" s="23">
        <v>2.5</v>
      </c>
      <c r="G3179" s="152" cm="1">
        <f t="array" ref="G3179">SUM(E3179/F3179)</f>
        <v>2.368</v>
      </c>
      <c r="H3179" s="15"/>
    </row>
    <row r="3180" ht="13.65" customHeight="1">
      <c r="A3180" s="21">
        <v>87</v>
      </c>
      <c r="B3180" t="s" s="22">
        <v>110</v>
      </c>
      <c r="C3180" s="23">
        <v>50</v>
      </c>
      <c r="D3180" t="s" s="24">
        <v>274</v>
      </c>
      <c r="E3180" s="25">
        <v>9</v>
      </c>
      <c r="F3180" s="23">
        <v>12.5</v>
      </c>
      <c r="G3180" s="152" cm="1">
        <f t="array" ref="G3180">SUM(E3180/F3180)</f>
        <v>0.72</v>
      </c>
      <c r="H3180" s="15"/>
    </row>
    <row r="3181" ht="13.65" customHeight="1">
      <c r="A3181" s="21">
        <v>55</v>
      </c>
      <c r="B3181" t="s" s="22">
        <v>111</v>
      </c>
      <c r="C3181" t="s" s="24">
        <v>112</v>
      </c>
      <c r="D3181" t="s" s="24">
        <v>113</v>
      </c>
      <c r="E3181" s="25">
        <v>2.71</v>
      </c>
      <c r="F3181" s="23">
        <v>75</v>
      </c>
      <c r="G3181" s="152" cm="1">
        <f t="array" ref="G3181">SUM(E3181/F3181)</f>
        <v>0.0361333333333333</v>
      </c>
      <c r="H3181" s="15"/>
    </row>
    <row r="3182" ht="13.65" customHeight="1">
      <c r="A3182" s="21">
        <v>10</v>
      </c>
      <c r="B3182" t="s" s="22">
        <v>395</v>
      </c>
      <c r="C3182" t="s" s="24">
        <v>396</v>
      </c>
      <c r="D3182" t="s" s="24">
        <v>397</v>
      </c>
      <c r="E3182" s="25">
        <v>3.92</v>
      </c>
      <c r="F3182" s="23">
        <v>50</v>
      </c>
      <c r="G3182" s="152" cm="1">
        <f t="array" ref="G3182">SUM(E3182/F3182)</f>
        <v>0.0784</v>
      </c>
      <c r="H3182" s="15"/>
    </row>
    <row r="3183" ht="13.65" customHeight="1">
      <c r="A3183" s="21">
        <v>9</v>
      </c>
      <c r="B3183" t="s" s="22">
        <v>692</v>
      </c>
      <c r="C3183" s="23">
        <v>50</v>
      </c>
      <c r="D3183" t="s" s="24">
        <v>274</v>
      </c>
      <c r="E3183" s="25">
        <v>14</v>
      </c>
      <c r="F3183" s="23">
        <v>12.5</v>
      </c>
      <c r="G3183" s="152" cm="1">
        <f t="array" ref="G3183">SUM(E3183/F3183)</f>
        <v>1.12</v>
      </c>
      <c r="H3183" s="15"/>
    </row>
    <row r="3184" ht="13.65" customHeight="1">
      <c r="A3184" s="21">
        <v>6</v>
      </c>
      <c r="B3184" t="s" s="22">
        <v>399</v>
      </c>
      <c r="C3184" s="23">
        <v>100</v>
      </c>
      <c r="D3184" t="s" s="24">
        <v>104</v>
      </c>
      <c r="E3184" s="25">
        <v>19</v>
      </c>
      <c r="F3184" s="23">
        <v>100</v>
      </c>
      <c r="G3184" s="152" cm="1">
        <f t="array" ref="G3184">SUM(E3184/F3184)</f>
        <v>0.19</v>
      </c>
      <c r="H3184" s="15"/>
    </row>
    <row r="3185" ht="13.65" customHeight="1">
      <c r="A3185" s="21">
        <v>23</v>
      </c>
      <c r="B3185" t="s" s="22">
        <v>488</v>
      </c>
      <c r="C3185" s="23">
        <v>1</v>
      </c>
      <c r="D3185" t="s" s="24">
        <v>104</v>
      </c>
      <c r="E3185" s="25">
        <v>11</v>
      </c>
      <c r="F3185" s="23">
        <v>1</v>
      </c>
      <c r="G3185" s="152" cm="1">
        <f t="array" ref="G3185">SUM(E3185/F3185)</f>
        <v>11</v>
      </c>
      <c r="H3185" s="15"/>
    </row>
    <row r="3186" ht="13.65" customHeight="1">
      <c r="A3186" s="21">
        <v>44</v>
      </c>
      <c r="B3186" t="s" s="22">
        <v>400</v>
      </c>
      <c r="C3186" s="23">
        <v>1</v>
      </c>
      <c r="D3186" t="s" s="24">
        <v>401</v>
      </c>
      <c r="E3186" s="25">
        <v>74</v>
      </c>
      <c r="F3186" s="23">
        <v>30</v>
      </c>
      <c r="G3186" s="152" cm="1">
        <f t="array" ref="G3186">SUM(E3186/F3186)</f>
        <v>2.46666666666667</v>
      </c>
      <c r="H3186" s="15"/>
    </row>
    <row r="3187" ht="13.65" customHeight="1">
      <c r="A3187" s="21">
        <v>119</v>
      </c>
      <c r="B3187" t="s" s="22">
        <v>467</v>
      </c>
      <c r="C3187" s="23">
        <v>1</v>
      </c>
      <c r="D3187" t="s" s="24">
        <v>468</v>
      </c>
      <c r="E3187" s="25">
        <v>0.45</v>
      </c>
      <c r="F3187" s="23">
        <v>1</v>
      </c>
      <c r="G3187" s="152" cm="1">
        <f t="array" ref="G3187">SUM(E3187/F3187)</f>
        <v>0.45</v>
      </c>
      <c r="H3187" s="15"/>
    </row>
    <row r="3188" ht="13.65" customHeight="1">
      <c r="A3188" s="21">
        <v>122</v>
      </c>
      <c r="B3188" t="s" s="22">
        <v>489</v>
      </c>
      <c r="C3188" t="s" s="24">
        <v>490</v>
      </c>
      <c r="D3188" t="s" s="24">
        <v>491</v>
      </c>
      <c r="E3188" s="25">
        <v>1.7</v>
      </c>
      <c r="F3188" s="23">
        <v>10</v>
      </c>
      <c r="G3188" s="152" cm="1">
        <f t="array" ref="G3188">SUM(E3188/F3188)</f>
        <v>0.17</v>
      </c>
      <c r="H3188" s="15"/>
    </row>
    <row r="3189" ht="13.65" customHeight="1">
      <c r="A3189" s="21">
        <v>56</v>
      </c>
      <c r="B3189" t="s" s="22">
        <v>471</v>
      </c>
      <c r="C3189" s="23">
        <v>1</v>
      </c>
      <c r="D3189" t="s" s="24">
        <v>104</v>
      </c>
      <c r="E3189" s="25">
        <v>3.5</v>
      </c>
      <c r="F3189" s="23">
        <v>1</v>
      </c>
      <c r="G3189" s="152" cm="1">
        <f t="array" ref="G3189">SUM(E3189/F3189)</f>
        <v>3.5</v>
      </c>
      <c r="H3189" s="15"/>
    </row>
    <row r="3190" ht="13.65" customHeight="1">
      <c r="A3190" s="21">
        <v>29</v>
      </c>
      <c r="B3190" t="s" s="22">
        <v>493</v>
      </c>
      <c r="C3190" s="23">
        <v>1</v>
      </c>
      <c r="D3190" t="s" s="24">
        <v>401</v>
      </c>
      <c r="E3190" s="25">
        <v>74</v>
      </c>
      <c r="F3190" s="23">
        <v>30</v>
      </c>
      <c r="G3190" s="152" cm="1">
        <f t="array" ref="G3190">SUM(E3190/F3190)</f>
        <v>2.46666666666667</v>
      </c>
      <c r="H3190" s="15"/>
    </row>
    <row r="3191" ht="13.65" customHeight="1">
      <c r="A3191" s="21">
        <v>36</v>
      </c>
      <c r="B3191" t="s" s="22">
        <v>496</v>
      </c>
      <c r="C3191" t="s" s="24">
        <v>497</v>
      </c>
      <c r="D3191" t="s" s="24">
        <v>498</v>
      </c>
      <c r="E3191" s="25">
        <v>13</v>
      </c>
      <c r="F3191" s="23">
        <v>16</v>
      </c>
      <c r="G3191" s="152" cm="1">
        <f t="array" ref="G3191">SUM(E3191/F3191)</f>
        <v>0.8125</v>
      </c>
      <c r="H3191" s="15"/>
    </row>
    <row r="3192" ht="13.65" customHeight="1">
      <c r="A3192" s="21">
        <v>78</v>
      </c>
      <c r="B3192" t="s" s="22">
        <v>492</v>
      </c>
      <c r="C3192" s="23">
        <v>1</v>
      </c>
      <c r="D3192" t="s" s="24">
        <v>104</v>
      </c>
      <c r="E3192" s="25">
        <v>1</v>
      </c>
      <c r="F3192" s="23">
        <v>1</v>
      </c>
      <c r="G3192" s="152" cm="1">
        <f t="array" ref="G3192">SUM(E3192/F3192)</f>
        <v>1</v>
      </c>
      <c r="H3192" s="15"/>
    </row>
    <row r="3193" ht="13.65" customHeight="1">
      <c r="A3193" s="21">
        <v>116</v>
      </c>
      <c r="B3193" t="s" s="22">
        <v>721</v>
      </c>
      <c r="C3193" t="s" s="24">
        <v>384</v>
      </c>
      <c r="D3193" t="s" s="24">
        <v>640</v>
      </c>
      <c r="E3193" s="25">
        <v>12</v>
      </c>
      <c r="F3193" s="23">
        <v>4</v>
      </c>
      <c r="G3193" s="152" cm="1">
        <f t="array" ref="G3193">SUM(E3193/F3193)</f>
        <v>3</v>
      </c>
      <c r="H3193" s="15"/>
    </row>
    <row r="3194" ht="13.65" customHeight="1">
      <c r="A3194" s="28"/>
      <c r="B3194" s="28"/>
      <c r="C3194" s="27"/>
      <c r="D3194" s="24"/>
      <c r="E3194" s="27"/>
      <c r="F3194" t="s" s="29">
        <v>118</v>
      </c>
      <c r="G3194" s="197" cm="1">
        <f t="array" ref="G3194">SUM(G3174:G3193)</f>
        <v>32.8570090909091</v>
      </c>
      <c r="H3194" s="15"/>
    </row>
    <row r="3195" ht="13.65" customHeight="1">
      <c r="A3195" s="129"/>
      <c r="B3195" s="129"/>
      <c r="C3195" s="129"/>
      <c r="D3195" s="129"/>
      <c r="E3195" s="129"/>
      <c r="F3195" s="31"/>
      <c r="G3195" s="31"/>
      <c r="H3195" s="3"/>
    </row>
    <row r="3196" ht="11.7" customHeight="1">
      <c r="A3196" t="s" s="167">
        <v>136</v>
      </c>
      <c r="B3196" t="s" s="167">
        <v>281</v>
      </c>
      <c r="C3196" t="s" s="167">
        <v>282</v>
      </c>
      <c r="D3196" t="s" s="168">
        <v>283</v>
      </c>
      <c r="E3196" s="169"/>
      <c r="F3196" s="170"/>
      <c r="G3196" s="171"/>
      <c r="H3196" s="171"/>
    </row>
    <row r="3197" ht="13.65" customHeight="1">
      <c r="A3197" s="23">
        <v>90</v>
      </c>
      <c r="B3197" s="172" cm="1">
        <f t="array" ref="B3197">SUM(H256)</f>
        <v>2.47496540404041</v>
      </c>
      <c r="C3197" s="172" cm="1">
        <f t="array" ref="C3197">SUM(G3194)</f>
        <v>32.8570090909091</v>
      </c>
      <c r="D3197" s="199" cm="1">
        <f t="array" ref="D3197">SUM(A3197*B3197)+(C3197)</f>
        <v>255.603895454546</v>
      </c>
      <c r="E3197" s="200"/>
      <c r="F3197" s="15"/>
      <c r="G3197" s="3"/>
      <c r="H3197" s="3"/>
    </row>
    <row r="3198" ht="13.65" customHeight="1">
      <c r="A3198" s="31"/>
      <c r="B3198" s="31"/>
      <c r="C3198" s="31"/>
      <c r="D3198" s="31"/>
      <c r="E3198" s="31"/>
      <c r="F3198" s="3"/>
      <c r="G3198" s="3"/>
      <c r="H3198" s="3"/>
    </row>
    <row r="3199" ht="13.65" customHeight="1">
      <c r="A3199" s="203"/>
      <c r="B3199" s="203"/>
      <c r="C3199" s="203"/>
      <c r="D3199" s="203"/>
      <c r="E3199" s="203"/>
      <c r="F3199" s="203"/>
      <c r="G3199" s="203"/>
      <c r="H3199" s="203"/>
    </row>
    <row r="3200" ht="13.65" customHeight="1">
      <c r="A3200" t="s" s="274">
        <v>185</v>
      </c>
      <c r="B3200" s="275"/>
      <c r="C3200" s="275"/>
      <c r="D3200" s="275"/>
      <c r="E3200" s="280"/>
      <c r="F3200" s="275"/>
      <c r="G3200" s="275"/>
      <c r="H3200" s="277"/>
    </row>
    <row r="3201" ht="13.65" customHeight="1">
      <c r="A3201" s="278"/>
      <c r="B3201" s="278"/>
      <c r="C3201" s="278"/>
      <c r="D3201" s="278"/>
      <c r="E3201" s="278"/>
      <c r="F3201" s="278"/>
      <c r="G3201" s="278"/>
      <c r="H3201" s="278"/>
    </row>
    <row r="3202" ht="13.65" customHeight="1">
      <c r="A3202" s="3"/>
      <c r="B3202" s="3"/>
      <c r="C3202" s="3"/>
      <c r="D3202" s="3"/>
      <c r="E3202" s="3"/>
      <c r="F3202" s="3"/>
      <c r="G3202" s="3"/>
      <c r="H3202" s="3"/>
    </row>
    <row r="3203" ht="13.65" customHeight="1">
      <c r="A3203" t="s" s="5">
        <v>749</v>
      </c>
      <c r="B3203" s="3"/>
      <c r="C3203" s="3"/>
      <c r="D3203" s="3"/>
      <c r="E3203" s="3"/>
      <c r="F3203" s="3"/>
      <c r="G3203" s="3"/>
      <c r="H3203" s="3"/>
    </row>
    <row r="3204" ht="13.65" customHeight="1">
      <c r="A3204" s="11"/>
      <c r="B3204" s="11"/>
      <c r="C3204" s="11"/>
      <c r="D3204" s="11"/>
      <c r="E3204" s="11"/>
      <c r="F3204" s="11"/>
      <c r="G3204" s="11"/>
      <c r="H3204" s="3"/>
    </row>
    <row r="3205" ht="13.65" customHeight="1">
      <c r="A3205" s="12"/>
      <c r="B3205" s="12"/>
      <c r="C3205" s="13"/>
      <c r="D3205" s="14"/>
      <c r="E3205" s="13"/>
      <c r="F3205" s="13"/>
      <c r="G3205" t="s" s="14">
        <v>252</v>
      </c>
      <c r="H3205" s="150"/>
    </row>
    <row r="3206" ht="13.65" customHeight="1">
      <c r="A3206" t="s" s="16">
        <v>93</v>
      </c>
      <c r="B3206" t="s" s="16">
        <v>94</v>
      </c>
      <c r="C3206" t="s" s="16">
        <v>95</v>
      </c>
      <c r="D3206" t="s" s="16">
        <v>96</v>
      </c>
      <c r="E3206" t="s" s="16">
        <v>97</v>
      </c>
      <c r="F3206" t="s" s="16">
        <v>98</v>
      </c>
      <c r="G3206" t="s" s="16">
        <v>99</v>
      </c>
      <c r="H3206" s="15"/>
    </row>
    <row r="3207" ht="13.65" customHeight="1">
      <c r="A3207" s="151"/>
      <c r="B3207" s="151"/>
      <c r="C3207" s="19"/>
      <c r="D3207" s="20"/>
      <c r="E3207" s="19"/>
      <c r="F3207" s="19"/>
      <c r="G3207" t="s" s="20">
        <v>100</v>
      </c>
      <c r="H3207" s="15"/>
    </row>
    <row r="3208" ht="13.65" customHeight="1">
      <c r="A3208" s="21">
        <v>72</v>
      </c>
      <c r="B3208" t="s" s="22">
        <v>101</v>
      </c>
      <c r="C3208" s="23">
        <v>50</v>
      </c>
      <c r="D3208" t="s" s="24">
        <v>274</v>
      </c>
      <c r="E3208" s="25">
        <v>1.93</v>
      </c>
      <c r="F3208" s="23">
        <v>12.5</v>
      </c>
      <c r="G3208" s="152" cm="1">
        <f t="array" ref="G3208">SUM(E3208/F3208)</f>
        <v>0.1544</v>
      </c>
      <c r="H3208" s="15"/>
    </row>
    <row r="3209" ht="13.65" customHeight="1">
      <c r="A3209" s="21">
        <v>123</v>
      </c>
      <c r="B3209" t="s" s="22">
        <v>103</v>
      </c>
      <c r="C3209" s="23">
        <v>40</v>
      </c>
      <c r="D3209" t="s" s="24">
        <v>102</v>
      </c>
      <c r="E3209" s="25">
        <v>3.2</v>
      </c>
      <c r="F3209" s="23">
        <v>20</v>
      </c>
      <c r="G3209" s="152" cm="1">
        <f t="array" ref="G3209">SUM(E3209/F3209)</f>
        <v>0.16</v>
      </c>
      <c r="H3209" s="15"/>
    </row>
    <row r="3210" ht="13.65" customHeight="1">
      <c r="A3210" s="21">
        <v>57</v>
      </c>
      <c r="B3210" t="s" s="22">
        <v>253</v>
      </c>
      <c r="C3210" t="s" s="24">
        <v>254</v>
      </c>
      <c r="D3210" t="s" s="24">
        <v>371</v>
      </c>
      <c r="E3210" s="25">
        <v>4.5</v>
      </c>
      <c r="F3210" s="23">
        <v>33</v>
      </c>
      <c r="G3210" s="152" cm="1">
        <f t="array" ref="G3210">SUM(E3210/F3210)</f>
        <v>0.136363636363636</v>
      </c>
      <c r="H3210" s="15"/>
    </row>
    <row r="3211" ht="13.65" customHeight="1">
      <c r="A3211" s="21">
        <v>65</v>
      </c>
      <c r="B3211" t="s" s="22">
        <v>394</v>
      </c>
      <c r="C3211" s="23">
        <v>500</v>
      </c>
      <c r="D3211" t="s" s="24">
        <v>633</v>
      </c>
      <c r="E3211" s="25">
        <v>26</v>
      </c>
      <c r="F3211" s="23">
        <v>16.67</v>
      </c>
      <c r="G3211" s="152" cm="1">
        <f t="array" ref="G3211">SUM(E3211/F3211)</f>
        <v>1.55968806238752</v>
      </c>
      <c r="H3211" s="15"/>
    </row>
    <row r="3212" ht="13.65" customHeight="1">
      <c r="A3212" s="21">
        <v>140</v>
      </c>
      <c r="B3212" t="s" s="22">
        <v>470</v>
      </c>
      <c r="C3212" t="s" s="24">
        <v>108</v>
      </c>
      <c r="D3212" t="s" s="24">
        <v>102</v>
      </c>
      <c r="E3212" s="25">
        <v>1.12</v>
      </c>
      <c r="F3212" t="s" s="24">
        <v>387</v>
      </c>
      <c r="G3212" s="152" cm="1">
        <f t="array" ref="G3212">SUM(E3212*2)</f>
        <v>2.24</v>
      </c>
      <c r="H3212" s="15"/>
    </row>
    <row r="3213" ht="13.65" customHeight="1">
      <c r="A3213" s="21">
        <v>71</v>
      </c>
      <c r="B3213" t="s" s="22">
        <v>109</v>
      </c>
      <c r="C3213" s="23">
        <v>10</v>
      </c>
      <c r="D3213" t="s" s="24">
        <v>274</v>
      </c>
      <c r="E3213" s="25">
        <v>5.92</v>
      </c>
      <c r="F3213" s="23">
        <v>2.5</v>
      </c>
      <c r="G3213" s="152" cm="1">
        <f t="array" ref="G3213">SUM(E3213/F3213)</f>
        <v>2.368</v>
      </c>
      <c r="H3213" s="15"/>
    </row>
    <row r="3214" ht="13.65" customHeight="1">
      <c r="A3214" s="21">
        <v>87</v>
      </c>
      <c r="B3214" t="s" s="22">
        <v>110</v>
      </c>
      <c r="C3214" s="23">
        <v>50</v>
      </c>
      <c r="D3214" t="s" s="24">
        <v>274</v>
      </c>
      <c r="E3214" s="25">
        <v>9</v>
      </c>
      <c r="F3214" s="23">
        <v>12.5</v>
      </c>
      <c r="G3214" s="152" cm="1">
        <f t="array" ref="G3214">SUM(E3214/F3214)</f>
        <v>0.72</v>
      </c>
      <c r="H3214" s="15"/>
    </row>
    <row r="3215" ht="13.65" customHeight="1">
      <c r="A3215" s="21">
        <v>55</v>
      </c>
      <c r="B3215" t="s" s="22">
        <v>111</v>
      </c>
      <c r="C3215" t="s" s="24">
        <v>112</v>
      </c>
      <c r="D3215" t="s" s="24">
        <v>113</v>
      </c>
      <c r="E3215" s="25">
        <v>2.71</v>
      </c>
      <c r="F3215" s="23">
        <v>75</v>
      </c>
      <c r="G3215" s="152" cm="1">
        <f t="array" ref="G3215">SUM(E3215/F3215)</f>
        <v>0.0361333333333333</v>
      </c>
      <c r="H3215" s="15"/>
    </row>
    <row r="3216" ht="13.65" customHeight="1">
      <c r="A3216" s="21">
        <v>10</v>
      </c>
      <c r="B3216" t="s" s="22">
        <v>395</v>
      </c>
      <c r="C3216" t="s" s="24">
        <v>396</v>
      </c>
      <c r="D3216" t="s" s="24">
        <v>397</v>
      </c>
      <c r="E3216" s="25">
        <v>3.92</v>
      </c>
      <c r="F3216" s="23">
        <v>50</v>
      </c>
      <c r="G3216" s="152" cm="1">
        <f t="array" ref="G3216">SUM(E3216/F3216)</f>
        <v>0.0784</v>
      </c>
      <c r="H3216" s="15"/>
    </row>
    <row r="3217" ht="13.65" customHeight="1">
      <c r="A3217" s="21">
        <v>9</v>
      </c>
      <c r="B3217" t="s" s="22">
        <v>692</v>
      </c>
      <c r="C3217" s="23">
        <v>50</v>
      </c>
      <c r="D3217" t="s" s="24">
        <v>274</v>
      </c>
      <c r="E3217" s="25">
        <v>14</v>
      </c>
      <c r="F3217" s="23">
        <v>12.5</v>
      </c>
      <c r="G3217" s="152" cm="1">
        <f t="array" ref="G3217">SUM(E3217/F3217)</f>
        <v>1.12</v>
      </c>
      <c r="H3217" s="15"/>
    </row>
    <row r="3218" ht="13.65" customHeight="1">
      <c r="A3218" s="21">
        <v>6</v>
      </c>
      <c r="B3218" t="s" s="22">
        <v>399</v>
      </c>
      <c r="C3218" s="23">
        <v>100</v>
      </c>
      <c r="D3218" t="s" s="24">
        <v>104</v>
      </c>
      <c r="E3218" s="25">
        <v>19</v>
      </c>
      <c r="F3218" s="23">
        <v>100</v>
      </c>
      <c r="G3218" s="152" cm="1">
        <f t="array" ref="G3218">SUM(E3218/F3218)</f>
        <v>0.19</v>
      </c>
      <c r="H3218" s="15"/>
    </row>
    <row r="3219" ht="13.65" customHeight="1">
      <c r="A3219" s="21">
        <v>23</v>
      </c>
      <c r="B3219" t="s" s="22">
        <v>488</v>
      </c>
      <c r="C3219" s="23">
        <v>1</v>
      </c>
      <c r="D3219" t="s" s="24">
        <v>104</v>
      </c>
      <c r="E3219" s="25">
        <v>11</v>
      </c>
      <c r="F3219" s="23">
        <v>1</v>
      </c>
      <c r="G3219" s="152" cm="1">
        <f t="array" ref="G3219">SUM(E3219/F3219)</f>
        <v>11</v>
      </c>
      <c r="H3219" s="15"/>
    </row>
    <row r="3220" ht="13.65" customHeight="1">
      <c r="A3220" s="21">
        <v>44</v>
      </c>
      <c r="B3220" t="s" s="22">
        <v>400</v>
      </c>
      <c r="C3220" s="23">
        <v>1</v>
      </c>
      <c r="D3220" t="s" s="24">
        <v>401</v>
      </c>
      <c r="E3220" s="25">
        <v>74</v>
      </c>
      <c r="F3220" s="23">
        <v>30</v>
      </c>
      <c r="G3220" s="152" cm="1">
        <f t="array" ref="G3220">SUM(E3220/F3220)</f>
        <v>2.46666666666667</v>
      </c>
      <c r="H3220" s="15"/>
    </row>
    <row r="3221" ht="13.65" customHeight="1">
      <c r="A3221" s="21">
        <v>119</v>
      </c>
      <c r="B3221" t="s" s="22">
        <v>467</v>
      </c>
      <c r="C3221" s="23">
        <v>1</v>
      </c>
      <c r="D3221" t="s" s="24">
        <v>468</v>
      </c>
      <c r="E3221" s="25">
        <v>0.45</v>
      </c>
      <c r="F3221" s="23">
        <v>1</v>
      </c>
      <c r="G3221" s="152" cm="1">
        <f t="array" ref="G3221">SUM(E3221/F3221)</f>
        <v>0.45</v>
      </c>
      <c r="H3221" s="15"/>
    </row>
    <row r="3222" ht="13.65" customHeight="1">
      <c r="A3222" s="21">
        <v>122</v>
      </c>
      <c r="B3222" t="s" s="22">
        <v>489</v>
      </c>
      <c r="C3222" t="s" s="24">
        <v>490</v>
      </c>
      <c r="D3222" t="s" s="24">
        <v>491</v>
      </c>
      <c r="E3222" s="25">
        <v>1.7</v>
      </c>
      <c r="F3222" s="23">
        <v>10</v>
      </c>
      <c r="G3222" s="152" cm="1">
        <f t="array" ref="G3222">SUM(E3222/F3222)</f>
        <v>0.17</v>
      </c>
      <c r="H3222" s="15"/>
    </row>
    <row r="3223" ht="13.65" customHeight="1">
      <c r="A3223" s="21">
        <v>56</v>
      </c>
      <c r="B3223" t="s" s="22">
        <v>471</v>
      </c>
      <c r="C3223" s="23">
        <v>1</v>
      </c>
      <c r="D3223" t="s" s="24">
        <v>102</v>
      </c>
      <c r="E3223" s="25">
        <v>3.5</v>
      </c>
      <c r="F3223" t="s" s="24">
        <v>387</v>
      </c>
      <c r="G3223" s="152" cm="1">
        <f t="array" ref="G3223">SUM(E3223*2)</f>
        <v>7</v>
      </c>
      <c r="H3223" s="15"/>
    </row>
    <row r="3224" ht="13.65" customHeight="1">
      <c r="A3224" s="21">
        <v>16</v>
      </c>
      <c r="B3224" t="s" s="22">
        <v>750</v>
      </c>
      <c r="C3224" s="23">
        <v>3</v>
      </c>
      <c r="D3224" t="s" s="24">
        <v>745</v>
      </c>
      <c r="E3224" s="25">
        <v>41</v>
      </c>
      <c r="F3224" s="23">
        <v>15</v>
      </c>
      <c r="G3224" s="152" cm="1">
        <f t="array" ref="G3224">SUM(E3224/F3224)</f>
        <v>2.73333333333333</v>
      </c>
      <c r="H3224" s="15"/>
    </row>
    <row r="3225" ht="13.65" customHeight="1">
      <c r="A3225" s="21">
        <v>29</v>
      </c>
      <c r="B3225" t="s" s="22">
        <v>493</v>
      </c>
      <c r="C3225" s="23">
        <v>1</v>
      </c>
      <c r="D3225" t="s" s="24">
        <v>401</v>
      </c>
      <c r="E3225" s="25">
        <v>74</v>
      </c>
      <c r="F3225" s="23">
        <v>30</v>
      </c>
      <c r="G3225" s="152" cm="1">
        <f t="array" ref="G3225">SUM(E3225/F3225)</f>
        <v>2.46666666666667</v>
      </c>
      <c r="H3225" s="15"/>
    </row>
    <row r="3226" ht="13.65" customHeight="1">
      <c r="A3226" s="21">
        <v>36</v>
      </c>
      <c r="B3226" t="s" s="22">
        <v>496</v>
      </c>
      <c r="C3226" t="s" s="24">
        <v>497</v>
      </c>
      <c r="D3226" t="s" s="24">
        <v>498</v>
      </c>
      <c r="E3226" s="25">
        <v>13</v>
      </c>
      <c r="F3226" s="23">
        <v>16</v>
      </c>
      <c r="G3226" s="152" cm="1">
        <f t="array" ref="G3226">SUM(E3226/F3226)</f>
        <v>0.8125</v>
      </c>
      <c r="H3226" s="15"/>
    </row>
    <row r="3227" ht="13.65" customHeight="1">
      <c r="A3227" s="21">
        <v>78</v>
      </c>
      <c r="B3227" t="s" s="22">
        <v>492</v>
      </c>
      <c r="C3227" s="23">
        <v>1</v>
      </c>
      <c r="D3227" t="s" s="24">
        <v>102</v>
      </c>
      <c r="E3227" s="25">
        <v>1</v>
      </c>
      <c r="F3227" t="s" s="24">
        <v>387</v>
      </c>
      <c r="G3227" s="152" cm="1">
        <f t="array" ref="G3227">SUM(E3227*2)</f>
        <v>2</v>
      </c>
      <c r="H3227" s="15"/>
    </row>
    <row r="3228" ht="13.65" customHeight="1">
      <c r="A3228" s="21">
        <v>116</v>
      </c>
      <c r="B3228" t="s" s="22">
        <v>721</v>
      </c>
      <c r="C3228" t="s" s="24">
        <v>384</v>
      </c>
      <c r="D3228" t="s" s="24">
        <v>640</v>
      </c>
      <c r="E3228" s="25">
        <v>12</v>
      </c>
      <c r="F3228" s="23">
        <v>4</v>
      </c>
      <c r="G3228" s="152" cm="1">
        <f t="array" ref="G3228">SUM(E3228/F3228)</f>
        <v>3</v>
      </c>
      <c r="H3228" s="15"/>
    </row>
    <row r="3229" ht="13.65" customHeight="1">
      <c r="A3229" s="28"/>
      <c r="B3229" s="28"/>
      <c r="C3229" s="27"/>
      <c r="D3229" s="24"/>
      <c r="E3229" s="27"/>
      <c r="F3229" t="s" s="29">
        <v>118</v>
      </c>
      <c r="G3229" s="197" cm="1">
        <f t="array" ref="G3229">SUM(G3208:G3228)</f>
        <v>40.8621516987512</v>
      </c>
      <c r="H3229" s="15"/>
    </row>
    <row r="3230" ht="13.65" customHeight="1">
      <c r="A3230" s="129"/>
      <c r="B3230" s="129"/>
      <c r="C3230" s="129"/>
      <c r="D3230" s="129"/>
      <c r="E3230" s="129"/>
      <c r="F3230" s="31"/>
      <c r="G3230" s="31"/>
      <c r="H3230" s="3"/>
    </row>
    <row r="3231" ht="11.7" customHeight="1">
      <c r="A3231" t="s" s="167">
        <v>136</v>
      </c>
      <c r="B3231" t="s" s="167">
        <v>281</v>
      </c>
      <c r="C3231" t="s" s="167">
        <v>282</v>
      </c>
      <c r="D3231" t="s" s="168">
        <v>283</v>
      </c>
      <c r="E3231" s="169"/>
      <c r="F3231" s="170"/>
      <c r="G3231" s="171"/>
      <c r="H3231" s="171"/>
    </row>
    <row r="3232" ht="13.65" customHeight="1">
      <c r="A3232" s="23">
        <v>95</v>
      </c>
      <c r="B3232" s="172" cm="1">
        <f t="array" ref="B3232">SUM(H256)</f>
        <v>2.47496540404041</v>
      </c>
      <c r="C3232" s="172" cm="1">
        <f t="array" ref="C3232">SUM(G3229)</f>
        <v>40.8621516987512</v>
      </c>
      <c r="D3232" s="199" cm="1">
        <f t="array" ref="D3232">SUM(A3232*B3232)+(C3232)</f>
        <v>275.983865082590</v>
      </c>
      <c r="E3232" s="200"/>
      <c r="F3232" s="15"/>
      <c r="G3232" s="3"/>
      <c r="H3232" s="3"/>
    </row>
    <row r="3233" ht="13.65" customHeight="1">
      <c r="A3233" s="31"/>
      <c r="B3233" s="31"/>
      <c r="C3233" s="31"/>
      <c r="D3233" s="31"/>
      <c r="E3233" s="31"/>
      <c r="F3233" s="3"/>
      <c r="G3233" s="3"/>
      <c r="H3233" s="3"/>
    </row>
    <row r="3234" ht="13.65" customHeight="1">
      <c r="A3234" s="203"/>
      <c r="B3234" s="203"/>
      <c r="C3234" s="203"/>
      <c r="D3234" s="203"/>
      <c r="E3234" s="203"/>
      <c r="F3234" s="203"/>
      <c r="G3234" s="203"/>
      <c r="H3234" s="203"/>
    </row>
    <row r="3235" ht="13.65" customHeight="1">
      <c r="A3235" t="s" s="274">
        <v>185</v>
      </c>
      <c r="B3235" s="275"/>
      <c r="C3235" s="275"/>
      <c r="D3235" s="275"/>
      <c r="E3235" s="280"/>
      <c r="F3235" s="275"/>
      <c r="G3235" s="275"/>
      <c r="H3235" s="277"/>
    </row>
    <row r="3236" ht="13.65" customHeight="1">
      <c r="A3236" s="278"/>
      <c r="B3236" s="278"/>
      <c r="C3236" s="278"/>
      <c r="D3236" s="278"/>
      <c r="E3236" s="278"/>
      <c r="F3236" s="278"/>
      <c r="G3236" s="278"/>
      <c r="H3236" s="278"/>
    </row>
    <row r="3237" ht="13.65" customHeight="1">
      <c r="A3237" s="3"/>
      <c r="B3237" s="3"/>
      <c r="C3237" s="3"/>
      <c r="D3237" s="3"/>
      <c r="E3237" s="3"/>
      <c r="F3237" s="3"/>
      <c r="G3237" s="3"/>
      <c r="H3237" s="3"/>
    </row>
    <row r="3238" ht="13.65" customHeight="1">
      <c r="A3238" t="s" s="5">
        <v>751</v>
      </c>
      <c r="B3238" s="3"/>
      <c r="C3238" s="3"/>
      <c r="D3238" s="3"/>
      <c r="E3238" s="3"/>
      <c r="F3238" s="3"/>
      <c r="G3238" s="3"/>
      <c r="H3238" s="3"/>
    </row>
    <row r="3239" ht="13.65" customHeight="1">
      <c r="A3239" s="11"/>
      <c r="B3239" s="11"/>
      <c r="C3239" s="11"/>
      <c r="D3239" s="11"/>
      <c r="E3239" s="11"/>
      <c r="F3239" s="11"/>
      <c r="G3239" s="11"/>
      <c r="H3239" s="3"/>
    </row>
    <row r="3240" ht="13.65" customHeight="1">
      <c r="A3240" s="12"/>
      <c r="B3240" s="12"/>
      <c r="C3240" s="13"/>
      <c r="D3240" s="14"/>
      <c r="E3240" s="13"/>
      <c r="F3240" s="13"/>
      <c r="G3240" t="s" s="14">
        <v>252</v>
      </c>
      <c r="H3240" s="150"/>
    </row>
    <row r="3241" ht="13.65" customHeight="1">
      <c r="A3241" t="s" s="16">
        <v>93</v>
      </c>
      <c r="B3241" t="s" s="16">
        <v>94</v>
      </c>
      <c r="C3241" t="s" s="16">
        <v>95</v>
      </c>
      <c r="D3241" t="s" s="16">
        <v>96</v>
      </c>
      <c r="E3241" t="s" s="16">
        <v>97</v>
      </c>
      <c r="F3241" t="s" s="16">
        <v>98</v>
      </c>
      <c r="G3241" t="s" s="16">
        <v>99</v>
      </c>
      <c r="H3241" s="15"/>
    </row>
    <row r="3242" ht="13.65" customHeight="1">
      <c r="A3242" s="151"/>
      <c r="B3242" s="151"/>
      <c r="C3242" s="19"/>
      <c r="D3242" s="20"/>
      <c r="E3242" s="19"/>
      <c r="F3242" s="19"/>
      <c r="G3242" t="s" s="20">
        <v>100</v>
      </c>
      <c r="H3242" s="15"/>
    </row>
    <row r="3243" ht="13.65" customHeight="1">
      <c r="A3243" s="21">
        <v>72</v>
      </c>
      <c r="B3243" t="s" s="22">
        <v>101</v>
      </c>
      <c r="C3243" s="23">
        <v>50</v>
      </c>
      <c r="D3243" t="s" s="24">
        <v>274</v>
      </c>
      <c r="E3243" s="25">
        <v>1.93</v>
      </c>
      <c r="F3243" s="23">
        <v>12.5</v>
      </c>
      <c r="G3243" s="152" cm="1">
        <f t="array" ref="G3243">SUM(E3243/F3243)</f>
        <v>0.1544</v>
      </c>
      <c r="H3243" s="15"/>
    </row>
    <row r="3244" ht="13.65" customHeight="1">
      <c r="A3244" s="21">
        <v>123</v>
      </c>
      <c r="B3244" t="s" s="22">
        <v>103</v>
      </c>
      <c r="C3244" s="23">
        <v>40</v>
      </c>
      <c r="D3244" t="s" s="24">
        <v>102</v>
      </c>
      <c r="E3244" s="25">
        <v>3.2</v>
      </c>
      <c r="F3244" s="23">
        <v>20</v>
      </c>
      <c r="G3244" s="152" cm="1">
        <f t="array" ref="G3244">SUM(E3244/F3244)</f>
        <v>0.16</v>
      </c>
      <c r="H3244" s="15"/>
    </row>
    <row r="3245" ht="13.65" customHeight="1">
      <c r="A3245" s="21">
        <v>57</v>
      </c>
      <c r="B3245" t="s" s="22">
        <v>253</v>
      </c>
      <c r="C3245" t="s" s="24">
        <v>254</v>
      </c>
      <c r="D3245" t="s" s="24">
        <v>371</v>
      </c>
      <c r="E3245" s="25">
        <v>4.5</v>
      </c>
      <c r="F3245" s="23">
        <v>33</v>
      </c>
      <c r="G3245" s="152" cm="1">
        <f t="array" ref="G3245">SUM(E3245/F3245)</f>
        <v>0.136363636363636</v>
      </c>
      <c r="H3245" s="15"/>
    </row>
    <row r="3246" ht="13.65" customHeight="1">
      <c r="A3246" s="21">
        <v>65</v>
      </c>
      <c r="B3246" t="s" s="22">
        <v>394</v>
      </c>
      <c r="C3246" s="23">
        <v>500</v>
      </c>
      <c r="D3246" t="s" s="24">
        <v>633</v>
      </c>
      <c r="E3246" s="25">
        <v>26</v>
      </c>
      <c r="F3246" s="23">
        <v>16.67</v>
      </c>
      <c r="G3246" s="152" cm="1">
        <f t="array" ref="G3246">SUM(E3246/F3246)</f>
        <v>1.55968806238752</v>
      </c>
      <c r="H3246" s="15"/>
    </row>
    <row r="3247" ht="13.65" customHeight="1">
      <c r="A3247" s="21">
        <v>140</v>
      </c>
      <c r="B3247" t="s" s="22">
        <v>470</v>
      </c>
      <c r="C3247" t="s" s="24">
        <v>108</v>
      </c>
      <c r="D3247" t="s" s="24">
        <v>102</v>
      </c>
      <c r="E3247" s="25">
        <v>1.12</v>
      </c>
      <c r="F3247" t="s" s="24">
        <v>387</v>
      </c>
      <c r="G3247" s="152" cm="1">
        <f t="array" ref="G3247">SUM(E3247*2)</f>
        <v>2.24</v>
      </c>
      <c r="H3247" s="15"/>
    </row>
    <row r="3248" ht="13.65" customHeight="1">
      <c r="A3248" s="21">
        <v>71</v>
      </c>
      <c r="B3248" t="s" s="22">
        <v>109</v>
      </c>
      <c r="C3248" s="23">
        <v>10</v>
      </c>
      <c r="D3248" t="s" s="24">
        <v>274</v>
      </c>
      <c r="E3248" s="25">
        <v>5.92</v>
      </c>
      <c r="F3248" s="23">
        <v>2.5</v>
      </c>
      <c r="G3248" s="152" cm="1">
        <f t="array" ref="G3248">SUM(E3248/F3248)</f>
        <v>2.368</v>
      </c>
      <c r="H3248" s="15"/>
    </row>
    <row r="3249" ht="13.65" customHeight="1">
      <c r="A3249" s="21">
        <v>87</v>
      </c>
      <c r="B3249" t="s" s="22">
        <v>110</v>
      </c>
      <c r="C3249" s="23">
        <v>50</v>
      </c>
      <c r="D3249" t="s" s="24">
        <v>274</v>
      </c>
      <c r="E3249" s="25">
        <v>9</v>
      </c>
      <c r="F3249" s="23">
        <v>12.5</v>
      </c>
      <c r="G3249" s="152" cm="1">
        <f t="array" ref="G3249">SUM(E3249/F3249)</f>
        <v>0.72</v>
      </c>
      <c r="H3249" s="15"/>
    </row>
    <row r="3250" ht="13.65" customHeight="1">
      <c r="A3250" s="21">
        <v>55</v>
      </c>
      <c r="B3250" t="s" s="22">
        <v>111</v>
      </c>
      <c r="C3250" t="s" s="24">
        <v>112</v>
      </c>
      <c r="D3250" t="s" s="24">
        <v>113</v>
      </c>
      <c r="E3250" s="25">
        <v>2.71</v>
      </c>
      <c r="F3250" s="23">
        <v>75</v>
      </c>
      <c r="G3250" s="152" cm="1">
        <f t="array" ref="G3250">SUM(E3250/F3250)</f>
        <v>0.0361333333333333</v>
      </c>
      <c r="H3250" s="15"/>
    </row>
    <row r="3251" ht="13.65" customHeight="1">
      <c r="A3251" s="21">
        <v>10</v>
      </c>
      <c r="B3251" t="s" s="22">
        <v>395</v>
      </c>
      <c r="C3251" t="s" s="24">
        <v>396</v>
      </c>
      <c r="D3251" t="s" s="24">
        <v>397</v>
      </c>
      <c r="E3251" s="25">
        <v>3.92</v>
      </c>
      <c r="F3251" s="23">
        <v>50</v>
      </c>
      <c r="G3251" s="152" cm="1">
        <f t="array" ref="G3251">SUM(E3251/F3251)</f>
        <v>0.0784</v>
      </c>
      <c r="H3251" s="15"/>
    </row>
    <row r="3252" ht="13.65" customHeight="1">
      <c r="A3252" s="21">
        <v>9</v>
      </c>
      <c r="B3252" t="s" s="22">
        <v>692</v>
      </c>
      <c r="C3252" s="23">
        <v>50</v>
      </c>
      <c r="D3252" t="s" s="24">
        <v>274</v>
      </c>
      <c r="E3252" s="25">
        <v>14</v>
      </c>
      <c r="F3252" s="23">
        <v>12.5</v>
      </c>
      <c r="G3252" s="152" cm="1">
        <f t="array" ref="G3252">SUM(E3252/F3252)</f>
        <v>1.12</v>
      </c>
      <c r="H3252" s="15"/>
    </row>
    <row r="3253" ht="13.65" customHeight="1">
      <c r="A3253" s="21">
        <v>6</v>
      </c>
      <c r="B3253" t="s" s="22">
        <v>399</v>
      </c>
      <c r="C3253" s="23">
        <v>100</v>
      </c>
      <c r="D3253" t="s" s="24">
        <v>104</v>
      </c>
      <c r="E3253" s="25">
        <v>19</v>
      </c>
      <c r="F3253" s="23">
        <v>100</v>
      </c>
      <c r="G3253" s="152" cm="1">
        <f t="array" ref="G3253">SUM(E3253/F3253)</f>
        <v>0.19</v>
      </c>
      <c r="H3253" s="15"/>
    </row>
    <row r="3254" ht="13.65" customHeight="1">
      <c r="A3254" s="21">
        <v>23</v>
      </c>
      <c r="B3254" t="s" s="22">
        <v>488</v>
      </c>
      <c r="C3254" s="23">
        <v>1</v>
      </c>
      <c r="D3254" t="s" s="24">
        <v>104</v>
      </c>
      <c r="E3254" s="25">
        <v>11</v>
      </c>
      <c r="F3254" s="23">
        <v>1</v>
      </c>
      <c r="G3254" s="152" cm="1">
        <f t="array" ref="G3254">SUM(E3254/F3254)</f>
        <v>11</v>
      </c>
      <c r="H3254" s="15"/>
    </row>
    <row r="3255" ht="13.65" customHeight="1">
      <c r="A3255" s="21">
        <v>44</v>
      </c>
      <c r="B3255" t="s" s="22">
        <v>400</v>
      </c>
      <c r="C3255" s="23">
        <v>1</v>
      </c>
      <c r="D3255" t="s" s="24">
        <v>401</v>
      </c>
      <c r="E3255" s="25">
        <v>74</v>
      </c>
      <c r="F3255" s="23">
        <v>30</v>
      </c>
      <c r="G3255" s="152" cm="1">
        <f t="array" ref="G3255">SUM(E3255/F3255)</f>
        <v>2.46666666666667</v>
      </c>
      <c r="H3255" s="15"/>
    </row>
    <row r="3256" ht="13.65" customHeight="1">
      <c r="A3256" s="21">
        <v>119</v>
      </c>
      <c r="B3256" t="s" s="22">
        <v>467</v>
      </c>
      <c r="C3256" s="23">
        <v>1</v>
      </c>
      <c r="D3256" t="s" s="24">
        <v>468</v>
      </c>
      <c r="E3256" s="25">
        <v>0.45</v>
      </c>
      <c r="F3256" s="23">
        <v>1</v>
      </c>
      <c r="G3256" s="152" cm="1">
        <f t="array" ref="G3256">SUM(E3256/F3256)</f>
        <v>0.45</v>
      </c>
      <c r="H3256" s="15"/>
    </row>
    <row r="3257" ht="13.65" customHeight="1">
      <c r="A3257" s="21">
        <v>122</v>
      </c>
      <c r="B3257" t="s" s="22">
        <v>489</v>
      </c>
      <c r="C3257" t="s" s="24">
        <v>490</v>
      </c>
      <c r="D3257" t="s" s="24">
        <v>389</v>
      </c>
      <c r="E3257" s="25">
        <v>1.7</v>
      </c>
      <c r="F3257" s="23">
        <v>5</v>
      </c>
      <c r="G3257" s="152" cm="1">
        <f t="array" ref="G3257">SUM(E3257/F3257)</f>
        <v>0.34</v>
      </c>
      <c r="H3257" s="15"/>
    </row>
    <row r="3258" ht="13.65" customHeight="1">
      <c r="A3258" s="21">
        <v>29</v>
      </c>
      <c r="B3258" t="s" s="22">
        <v>493</v>
      </c>
      <c r="C3258" s="23">
        <v>1</v>
      </c>
      <c r="D3258" t="s" s="24">
        <v>401</v>
      </c>
      <c r="E3258" s="25">
        <v>74</v>
      </c>
      <c r="F3258" s="23">
        <v>30</v>
      </c>
      <c r="G3258" s="152" cm="1">
        <f t="array" ref="G3258">SUM(E3258/F3258)</f>
        <v>2.46666666666667</v>
      </c>
      <c r="H3258" s="15"/>
    </row>
    <row r="3259" ht="13.65" customHeight="1">
      <c r="A3259" s="21">
        <v>36</v>
      </c>
      <c r="B3259" t="s" s="22">
        <v>496</v>
      </c>
      <c r="C3259" t="s" s="24">
        <v>497</v>
      </c>
      <c r="D3259" t="s" s="24">
        <v>498</v>
      </c>
      <c r="E3259" s="25">
        <v>13</v>
      </c>
      <c r="F3259" s="23">
        <v>16</v>
      </c>
      <c r="G3259" s="152" cm="1">
        <f t="array" ref="G3259">SUM(E3259/F3259)</f>
        <v>0.8125</v>
      </c>
      <c r="H3259" s="15"/>
    </row>
    <row r="3260" ht="13.65" customHeight="1">
      <c r="A3260" s="21">
        <v>56</v>
      </c>
      <c r="B3260" t="s" s="22">
        <v>471</v>
      </c>
      <c r="C3260" s="23">
        <v>1</v>
      </c>
      <c r="D3260" t="s" s="24">
        <v>104</v>
      </c>
      <c r="E3260" s="25">
        <v>3.5</v>
      </c>
      <c r="F3260" s="23">
        <v>1</v>
      </c>
      <c r="G3260" s="152" cm="1">
        <f t="array" ref="G3260">SUM(E3260/F3260)</f>
        <v>3.5</v>
      </c>
      <c r="H3260" s="15"/>
    </row>
    <row r="3261" ht="13.65" customHeight="1">
      <c r="A3261" s="21">
        <v>78</v>
      </c>
      <c r="B3261" t="s" s="22">
        <v>492</v>
      </c>
      <c r="C3261" s="23">
        <v>1</v>
      </c>
      <c r="D3261" t="s" s="24">
        <v>102</v>
      </c>
      <c r="E3261" s="25">
        <v>1</v>
      </c>
      <c r="F3261" t="s" s="24">
        <v>387</v>
      </c>
      <c r="G3261" s="152" cm="1">
        <f t="array" ref="G3261">SUM(E3261*2)</f>
        <v>2</v>
      </c>
      <c r="H3261" s="15"/>
    </row>
    <row r="3262" ht="13.65" customHeight="1">
      <c r="A3262" s="21">
        <v>116</v>
      </c>
      <c r="B3262" t="s" s="22">
        <v>721</v>
      </c>
      <c r="C3262" t="s" s="24">
        <v>384</v>
      </c>
      <c r="D3262" t="s" s="24">
        <v>640</v>
      </c>
      <c r="E3262" s="25">
        <v>12</v>
      </c>
      <c r="F3262" s="23">
        <v>4</v>
      </c>
      <c r="G3262" s="152" cm="1">
        <f t="array" ref="G3262">SUM(E3262/F3262)</f>
        <v>3</v>
      </c>
      <c r="H3262" s="15"/>
    </row>
    <row r="3263" ht="13.65" customHeight="1">
      <c r="A3263" s="21">
        <v>3</v>
      </c>
      <c r="B3263" t="s" s="22">
        <v>752</v>
      </c>
      <c r="C3263" t="s" s="24">
        <v>753</v>
      </c>
      <c r="D3263" t="s" s="24">
        <v>457</v>
      </c>
      <c r="E3263" s="25">
        <v>8</v>
      </c>
      <c r="F3263" s="23">
        <v>10</v>
      </c>
      <c r="G3263" s="152" cm="1">
        <f t="array" ref="G3263">SUM(E3263/F3263)</f>
        <v>0.8</v>
      </c>
      <c r="H3263" s="15"/>
    </row>
    <row r="3264" ht="13.65" customHeight="1">
      <c r="A3264" s="28"/>
      <c r="B3264" s="28"/>
      <c r="C3264" s="27"/>
      <c r="D3264" s="24"/>
      <c r="E3264" s="27"/>
      <c r="F3264" t="s" s="29">
        <v>118</v>
      </c>
      <c r="G3264" s="197" cm="1">
        <f t="array" ref="G3264">SUM(G3243:G3263)</f>
        <v>35.5988183654178</v>
      </c>
      <c r="H3264" s="15"/>
    </row>
    <row r="3265" ht="13.65" customHeight="1">
      <c r="A3265" s="129"/>
      <c r="B3265" s="129"/>
      <c r="C3265" s="129"/>
      <c r="D3265" s="129"/>
      <c r="E3265" s="129"/>
      <c r="F3265" s="31"/>
      <c r="G3265" s="31"/>
      <c r="H3265" s="3"/>
    </row>
    <row r="3266" ht="11.7" customHeight="1">
      <c r="A3266" t="s" s="167">
        <v>136</v>
      </c>
      <c r="B3266" t="s" s="167">
        <v>281</v>
      </c>
      <c r="C3266" t="s" s="167">
        <v>282</v>
      </c>
      <c r="D3266" t="s" s="168">
        <v>283</v>
      </c>
      <c r="E3266" s="169"/>
      <c r="F3266" s="170"/>
      <c r="G3266" s="171"/>
      <c r="H3266" s="171"/>
    </row>
    <row r="3267" ht="13.65" customHeight="1">
      <c r="A3267" s="23">
        <v>95</v>
      </c>
      <c r="B3267" s="172" cm="1">
        <f t="array" ref="B3267">SUM(H256)</f>
        <v>2.47496540404041</v>
      </c>
      <c r="C3267" s="172" cm="1">
        <f t="array" ref="C3267">SUM(G3264)</f>
        <v>35.5988183654178</v>
      </c>
      <c r="D3267" s="199" cm="1">
        <f t="array" ref="D3267">SUM(A3267*B3267)+(C3267)</f>
        <v>270.720531749257</v>
      </c>
      <c r="E3267" s="200"/>
      <c r="F3267" s="15"/>
      <c r="G3267" s="3"/>
      <c r="H3267" s="3"/>
    </row>
    <row r="3268" ht="13.65" customHeight="1">
      <c r="A3268" s="31"/>
      <c r="B3268" s="31"/>
      <c r="C3268" s="31"/>
      <c r="D3268" s="31"/>
      <c r="E3268" s="31"/>
      <c r="F3268" s="3"/>
      <c r="G3268" s="3"/>
      <c r="H3268" s="3"/>
    </row>
    <row r="3269" ht="13.65" customHeight="1">
      <c r="A3269" s="203"/>
      <c r="B3269" s="203"/>
      <c r="C3269" s="203"/>
      <c r="D3269" s="203"/>
      <c r="E3269" s="203"/>
      <c r="F3269" s="203"/>
      <c r="G3269" s="203"/>
      <c r="H3269" s="203"/>
    </row>
    <row r="3270" ht="13.65" customHeight="1">
      <c r="A3270" t="s" s="274">
        <v>185</v>
      </c>
      <c r="B3270" s="275"/>
      <c r="C3270" s="275"/>
      <c r="D3270" s="275"/>
      <c r="E3270" s="280"/>
      <c r="F3270" s="275"/>
      <c r="G3270" s="275"/>
      <c r="H3270" s="277"/>
    </row>
    <row r="3271" ht="13.65" customHeight="1">
      <c r="A3271" s="278"/>
      <c r="B3271" s="278"/>
      <c r="C3271" s="278"/>
      <c r="D3271" s="278"/>
      <c r="E3271" s="278"/>
      <c r="F3271" s="278"/>
      <c r="G3271" s="278"/>
      <c r="H3271" s="278"/>
    </row>
    <row r="3272" ht="13.65" customHeight="1">
      <c r="A3272" s="3"/>
      <c r="B3272" s="3"/>
      <c r="C3272" s="3"/>
      <c r="D3272" s="3"/>
      <c r="E3272" s="3"/>
      <c r="F3272" s="3"/>
      <c r="G3272" s="3"/>
      <c r="H3272" s="3"/>
    </row>
    <row r="3273" ht="13.65" customHeight="1">
      <c r="A3273" t="s" s="5">
        <v>754</v>
      </c>
      <c r="B3273" s="3"/>
      <c r="C3273" s="3"/>
      <c r="D3273" s="3"/>
      <c r="E3273" s="3"/>
      <c r="F3273" s="3"/>
      <c r="G3273" s="3"/>
      <c r="H3273" s="3"/>
    </row>
    <row r="3274" ht="13.65" customHeight="1">
      <c r="A3274" s="11"/>
      <c r="B3274" s="11"/>
      <c r="C3274" s="11"/>
      <c r="D3274" s="11"/>
      <c r="E3274" s="11"/>
      <c r="F3274" s="11"/>
      <c r="G3274" s="11"/>
      <c r="H3274" s="3"/>
    </row>
    <row r="3275" ht="13.65" customHeight="1">
      <c r="A3275" s="12"/>
      <c r="B3275" s="12"/>
      <c r="C3275" s="13"/>
      <c r="D3275" s="14"/>
      <c r="E3275" s="13"/>
      <c r="F3275" s="13"/>
      <c r="G3275" t="s" s="14">
        <v>252</v>
      </c>
      <c r="H3275" s="150"/>
    </row>
    <row r="3276" ht="13.65" customHeight="1">
      <c r="A3276" t="s" s="16">
        <v>93</v>
      </c>
      <c r="B3276" t="s" s="16">
        <v>94</v>
      </c>
      <c r="C3276" t="s" s="16">
        <v>95</v>
      </c>
      <c r="D3276" t="s" s="16">
        <v>96</v>
      </c>
      <c r="E3276" t="s" s="16">
        <v>97</v>
      </c>
      <c r="F3276" t="s" s="16">
        <v>98</v>
      </c>
      <c r="G3276" t="s" s="16">
        <v>99</v>
      </c>
      <c r="H3276" s="15"/>
    </row>
    <row r="3277" ht="13.65" customHeight="1">
      <c r="A3277" s="151"/>
      <c r="B3277" s="151"/>
      <c r="C3277" s="19"/>
      <c r="D3277" s="20"/>
      <c r="E3277" s="19"/>
      <c r="F3277" s="19"/>
      <c r="G3277" t="s" s="20">
        <v>100</v>
      </c>
      <c r="H3277" s="15"/>
    </row>
    <row r="3278" ht="13.65" customHeight="1">
      <c r="A3278" s="21">
        <v>72</v>
      </c>
      <c r="B3278" t="s" s="22">
        <v>101</v>
      </c>
      <c r="C3278" s="23">
        <v>50</v>
      </c>
      <c r="D3278" t="s" s="24">
        <v>274</v>
      </c>
      <c r="E3278" s="25">
        <v>1.93</v>
      </c>
      <c r="F3278" s="23">
        <v>12.5</v>
      </c>
      <c r="G3278" s="152" cm="1">
        <f t="array" ref="G3278">SUM(E3278/F3278)</f>
        <v>0.1544</v>
      </c>
      <c r="H3278" s="15"/>
    </row>
    <row r="3279" ht="13.65" customHeight="1">
      <c r="A3279" s="21">
        <v>123</v>
      </c>
      <c r="B3279" t="s" s="22">
        <v>103</v>
      </c>
      <c r="C3279" s="23">
        <v>40</v>
      </c>
      <c r="D3279" t="s" s="24">
        <v>102</v>
      </c>
      <c r="E3279" s="25">
        <v>3.2</v>
      </c>
      <c r="F3279" s="23">
        <v>20</v>
      </c>
      <c r="G3279" s="152" cm="1">
        <f t="array" ref="G3279">SUM(E3279/F3279)</f>
        <v>0.16</v>
      </c>
      <c r="H3279" s="15"/>
    </row>
    <row r="3280" ht="13.65" customHeight="1">
      <c r="A3280" s="21">
        <v>57</v>
      </c>
      <c r="B3280" t="s" s="22">
        <v>253</v>
      </c>
      <c r="C3280" t="s" s="24">
        <v>254</v>
      </c>
      <c r="D3280" t="s" s="24">
        <v>371</v>
      </c>
      <c r="E3280" s="25">
        <v>4.5</v>
      </c>
      <c r="F3280" s="23">
        <v>33</v>
      </c>
      <c r="G3280" s="152" cm="1">
        <f t="array" ref="G3280">SUM(E3280/F3280)</f>
        <v>0.136363636363636</v>
      </c>
      <c r="H3280" s="15"/>
    </row>
    <row r="3281" ht="13.65" customHeight="1">
      <c r="A3281" s="21">
        <v>65</v>
      </c>
      <c r="B3281" t="s" s="22">
        <v>394</v>
      </c>
      <c r="C3281" s="23">
        <v>500</v>
      </c>
      <c r="D3281" t="s" s="24">
        <v>633</v>
      </c>
      <c r="E3281" s="25">
        <v>26</v>
      </c>
      <c r="F3281" s="23">
        <v>16.67</v>
      </c>
      <c r="G3281" s="152" cm="1">
        <f t="array" ref="G3281">SUM(E3281/F3281)</f>
        <v>1.55968806238752</v>
      </c>
      <c r="H3281" s="15"/>
    </row>
    <row r="3282" ht="13.65" customHeight="1">
      <c r="A3282" s="21">
        <v>140</v>
      </c>
      <c r="B3282" t="s" s="22">
        <v>470</v>
      </c>
      <c r="C3282" t="s" s="24">
        <v>108</v>
      </c>
      <c r="D3282" t="s" s="24">
        <v>102</v>
      </c>
      <c r="E3282" s="25">
        <v>1.12</v>
      </c>
      <c r="F3282" t="s" s="24">
        <v>387</v>
      </c>
      <c r="G3282" s="152" cm="1">
        <f t="array" ref="G3282">SUM(E3282*2)</f>
        <v>2.24</v>
      </c>
      <c r="H3282" s="15"/>
    </row>
    <row r="3283" ht="13.65" customHeight="1">
      <c r="A3283" s="21">
        <v>71</v>
      </c>
      <c r="B3283" t="s" s="22">
        <v>109</v>
      </c>
      <c r="C3283" s="23">
        <v>10</v>
      </c>
      <c r="D3283" t="s" s="24">
        <v>274</v>
      </c>
      <c r="E3283" s="25">
        <v>5.92</v>
      </c>
      <c r="F3283" s="23">
        <v>2.5</v>
      </c>
      <c r="G3283" s="152" cm="1">
        <f t="array" ref="G3283">SUM(E3283/F3283)</f>
        <v>2.368</v>
      </c>
      <c r="H3283" s="15"/>
    </row>
    <row r="3284" ht="13.65" customHeight="1">
      <c r="A3284" s="21">
        <v>87</v>
      </c>
      <c r="B3284" t="s" s="22">
        <v>110</v>
      </c>
      <c r="C3284" s="23">
        <v>50</v>
      </c>
      <c r="D3284" t="s" s="24">
        <v>274</v>
      </c>
      <c r="E3284" s="25">
        <v>9</v>
      </c>
      <c r="F3284" s="23">
        <v>12.5</v>
      </c>
      <c r="G3284" s="152" cm="1">
        <f t="array" ref="G3284">SUM(E3284/F3284)</f>
        <v>0.72</v>
      </c>
      <c r="H3284" s="15"/>
    </row>
    <row r="3285" ht="13.65" customHeight="1">
      <c r="A3285" s="21">
        <v>55</v>
      </c>
      <c r="B3285" t="s" s="22">
        <v>111</v>
      </c>
      <c r="C3285" t="s" s="24">
        <v>112</v>
      </c>
      <c r="D3285" t="s" s="24">
        <v>113</v>
      </c>
      <c r="E3285" s="25">
        <v>2.71</v>
      </c>
      <c r="F3285" s="23">
        <v>75</v>
      </c>
      <c r="G3285" s="152" cm="1">
        <f t="array" ref="G3285">SUM(E3285/F3285)</f>
        <v>0.0361333333333333</v>
      </c>
      <c r="H3285" s="15"/>
    </row>
    <row r="3286" ht="13.65" customHeight="1">
      <c r="A3286" s="21">
        <v>10</v>
      </c>
      <c r="B3286" t="s" s="22">
        <v>395</v>
      </c>
      <c r="C3286" t="s" s="24">
        <v>396</v>
      </c>
      <c r="D3286" t="s" s="24">
        <v>397</v>
      </c>
      <c r="E3286" s="25">
        <v>3.92</v>
      </c>
      <c r="F3286" s="23">
        <v>50</v>
      </c>
      <c r="G3286" s="152" cm="1">
        <f t="array" ref="G3286">SUM(E3286/F3286)</f>
        <v>0.0784</v>
      </c>
      <c r="H3286" s="15"/>
    </row>
    <row r="3287" ht="13.65" customHeight="1">
      <c r="A3287" s="21">
        <v>9</v>
      </c>
      <c r="B3287" t="s" s="22">
        <v>692</v>
      </c>
      <c r="C3287" s="23">
        <v>50</v>
      </c>
      <c r="D3287" t="s" s="24">
        <v>274</v>
      </c>
      <c r="E3287" s="25">
        <v>14</v>
      </c>
      <c r="F3287" s="23">
        <v>12.5</v>
      </c>
      <c r="G3287" s="152" cm="1">
        <f t="array" ref="G3287">SUM(E3287/F3287)</f>
        <v>1.12</v>
      </c>
      <c r="H3287" s="15"/>
    </row>
    <row r="3288" ht="13.65" customHeight="1">
      <c r="A3288" s="21">
        <v>6</v>
      </c>
      <c r="B3288" t="s" s="22">
        <v>399</v>
      </c>
      <c r="C3288" s="23">
        <v>100</v>
      </c>
      <c r="D3288" t="s" s="24">
        <v>104</v>
      </c>
      <c r="E3288" s="25">
        <v>19</v>
      </c>
      <c r="F3288" s="23">
        <v>100</v>
      </c>
      <c r="G3288" s="152" cm="1">
        <f t="array" ref="G3288">SUM(E3288/F3288)</f>
        <v>0.19</v>
      </c>
      <c r="H3288" s="15"/>
    </row>
    <row r="3289" ht="13.65" customHeight="1">
      <c r="A3289" s="21">
        <v>23</v>
      </c>
      <c r="B3289" t="s" s="22">
        <v>488</v>
      </c>
      <c r="C3289" s="23">
        <v>1</v>
      </c>
      <c r="D3289" t="s" s="24">
        <v>104</v>
      </c>
      <c r="E3289" s="25">
        <v>11</v>
      </c>
      <c r="F3289" s="23">
        <v>1</v>
      </c>
      <c r="G3289" s="152" cm="1">
        <f t="array" ref="G3289">SUM(E3289/F3289)</f>
        <v>11</v>
      </c>
      <c r="H3289" s="15"/>
    </row>
    <row r="3290" ht="13.65" customHeight="1">
      <c r="A3290" s="21">
        <v>44</v>
      </c>
      <c r="B3290" t="s" s="22">
        <v>400</v>
      </c>
      <c r="C3290" s="23">
        <v>1</v>
      </c>
      <c r="D3290" t="s" s="24">
        <v>401</v>
      </c>
      <c r="E3290" s="25">
        <v>74</v>
      </c>
      <c r="F3290" s="23">
        <v>30</v>
      </c>
      <c r="G3290" s="152" cm="1">
        <f t="array" ref="G3290">SUM(E3290/F3290)</f>
        <v>2.46666666666667</v>
      </c>
      <c r="H3290" s="15"/>
    </row>
    <row r="3291" ht="13.65" customHeight="1">
      <c r="A3291" s="21">
        <v>119</v>
      </c>
      <c r="B3291" t="s" s="22">
        <v>467</v>
      </c>
      <c r="C3291" s="23">
        <v>1</v>
      </c>
      <c r="D3291" t="s" s="24">
        <v>468</v>
      </c>
      <c r="E3291" s="25">
        <v>0.45</v>
      </c>
      <c r="F3291" s="23">
        <v>1</v>
      </c>
      <c r="G3291" s="152" cm="1">
        <f t="array" ref="G3291">SUM(E3291/F3291)</f>
        <v>0.45</v>
      </c>
      <c r="H3291" s="15"/>
    </row>
    <row r="3292" ht="13.65" customHeight="1">
      <c r="A3292" s="21">
        <v>122</v>
      </c>
      <c r="B3292" t="s" s="22">
        <v>489</v>
      </c>
      <c r="C3292" t="s" s="24">
        <v>490</v>
      </c>
      <c r="D3292" t="s" s="24">
        <v>389</v>
      </c>
      <c r="E3292" s="25">
        <v>1.7</v>
      </c>
      <c r="F3292" s="23">
        <v>5</v>
      </c>
      <c r="G3292" s="152" cm="1">
        <f t="array" ref="G3292">SUM(E3292/F3292)</f>
        <v>0.34</v>
      </c>
      <c r="H3292" s="15"/>
    </row>
    <row r="3293" ht="13.65" customHeight="1">
      <c r="A3293" s="21">
        <v>29</v>
      </c>
      <c r="B3293" t="s" s="22">
        <v>493</v>
      </c>
      <c r="C3293" s="23">
        <v>1</v>
      </c>
      <c r="D3293" t="s" s="24">
        <v>401</v>
      </c>
      <c r="E3293" s="25">
        <v>74</v>
      </c>
      <c r="F3293" s="23">
        <v>30</v>
      </c>
      <c r="G3293" s="152" cm="1">
        <f t="array" ref="G3293">SUM(E3293/F3293)</f>
        <v>2.46666666666667</v>
      </c>
      <c r="H3293" s="15"/>
    </row>
    <row r="3294" ht="13.65" customHeight="1">
      <c r="A3294" s="21">
        <v>36</v>
      </c>
      <c r="B3294" t="s" s="22">
        <v>496</v>
      </c>
      <c r="C3294" t="s" s="24">
        <v>497</v>
      </c>
      <c r="D3294" t="s" s="24">
        <v>498</v>
      </c>
      <c r="E3294" s="25">
        <v>13</v>
      </c>
      <c r="F3294" s="23">
        <v>16</v>
      </c>
      <c r="G3294" s="152" cm="1">
        <f t="array" ref="G3294">SUM(E3294/F3294)</f>
        <v>0.8125</v>
      </c>
      <c r="H3294" s="15"/>
    </row>
    <row r="3295" ht="13.65" customHeight="1">
      <c r="A3295" s="21">
        <v>56</v>
      </c>
      <c r="B3295" t="s" s="22">
        <v>471</v>
      </c>
      <c r="C3295" s="23">
        <v>1</v>
      </c>
      <c r="D3295" t="s" s="24">
        <v>104</v>
      </c>
      <c r="E3295" s="25">
        <v>3.5</v>
      </c>
      <c r="F3295" s="23">
        <v>1</v>
      </c>
      <c r="G3295" s="152" cm="1">
        <f t="array" ref="G3295">SUM(E3295/F3295)</f>
        <v>3.5</v>
      </c>
      <c r="H3295" s="15"/>
    </row>
    <row r="3296" ht="13.65" customHeight="1">
      <c r="A3296" s="21">
        <v>78</v>
      </c>
      <c r="B3296" t="s" s="22">
        <v>492</v>
      </c>
      <c r="C3296" s="23">
        <v>1</v>
      </c>
      <c r="D3296" t="s" s="24">
        <v>102</v>
      </c>
      <c r="E3296" s="25">
        <v>1</v>
      </c>
      <c r="F3296" t="s" s="24">
        <v>387</v>
      </c>
      <c r="G3296" s="152" cm="1">
        <f t="array" ref="G3296">SUM(E3296*2)</f>
        <v>2</v>
      </c>
      <c r="H3296" s="15"/>
    </row>
    <row r="3297" ht="13.65" customHeight="1">
      <c r="A3297" s="21">
        <v>3</v>
      </c>
      <c r="B3297" t="s" s="22">
        <v>755</v>
      </c>
      <c r="C3297" t="s" s="24">
        <v>753</v>
      </c>
      <c r="D3297" t="s" s="24">
        <v>457</v>
      </c>
      <c r="E3297" s="25">
        <v>8</v>
      </c>
      <c r="F3297" s="23">
        <v>10</v>
      </c>
      <c r="G3297" s="152" cm="1">
        <f t="array" ref="G3297">SUM(E3297/F3297)</f>
        <v>0.8</v>
      </c>
      <c r="H3297" s="15"/>
    </row>
    <row r="3298" ht="13.65" customHeight="1">
      <c r="A3298" s="21">
        <v>116</v>
      </c>
      <c r="B3298" t="s" s="22">
        <v>721</v>
      </c>
      <c r="C3298" t="s" s="24">
        <v>384</v>
      </c>
      <c r="D3298" t="s" s="24">
        <v>640</v>
      </c>
      <c r="E3298" s="25">
        <v>12</v>
      </c>
      <c r="F3298" s="23">
        <v>4</v>
      </c>
      <c r="G3298" s="152" cm="1">
        <f t="array" ref="G3298">SUM(E3298/F3298)</f>
        <v>3</v>
      </c>
      <c r="H3298" s="15"/>
    </row>
    <row r="3299" ht="13.65" customHeight="1">
      <c r="A3299" s="28"/>
      <c r="B3299" s="28"/>
      <c r="C3299" s="27"/>
      <c r="D3299" s="24"/>
      <c r="E3299" s="27"/>
      <c r="F3299" t="s" s="29">
        <v>118</v>
      </c>
      <c r="G3299" s="197" cm="1">
        <f t="array" ref="G3299">SUM(G3278:G3298)</f>
        <v>35.5988183654178</v>
      </c>
      <c r="H3299" s="15"/>
    </row>
    <row r="3300" ht="13.65" customHeight="1">
      <c r="A3300" s="129"/>
      <c r="B3300" s="129"/>
      <c r="C3300" s="129"/>
      <c r="D3300" s="129"/>
      <c r="E3300" s="129"/>
      <c r="F3300" s="31"/>
      <c r="G3300" s="31"/>
      <c r="H3300" s="3"/>
    </row>
    <row r="3301" ht="11.7" customHeight="1">
      <c r="A3301" t="s" s="167">
        <v>136</v>
      </c>
      <c r="B3301" t="s" s="167">
        <v>281</v>
      </c>
      <c r="C3301" t="s" s="167">
        <v>282</v>
      </c>
      <c r="D3301" t="s" s="168">
        <v>283</v>
      </c>
      <c r="E3301" s="169"/>
      <c r="F3301" s="170"/>
      <c r="G3301" s="171"/>
      <c r="H3301" s="171"/>
    </row>
    <row r="3302" ht="13.65" customHeight="1">
      <c r="A3302" s="23">
        <v>120</v>
      </c>
      <c r="B3302" s="172" cm="1">
        <f t="array" ref="B3302">SUM(H256)</f>
        <v>2.47496540404041</v>
      </c>
      <c r="C3302" s="172" cm="1">
        <f t="array" ref="C3302">SUM(G3299)</f>
        <v>35.5988183654178</v>
      </c>
      <c r="D3302" s="199" cm="1">
        <f t="array" ref="D3302">SUM(A3302*B3302)+(C3302)</f>
        <v>332.594666850267</v>
      </c>
      <c r="E3302" s="200"/>
      <c r="F3302" s="15"/>
      <c r="G3302" s="3"/>
      <c r="H3302" s="3"/>
    </row>
    <row r="3303" ht="13.65" customHeight="1">
      <c r="A3303" s="31"/>
      <c r="B3303" s="31"/>
      <c r="C3303" s="31"/>
      <c r="D3303" s="31"/>
      <c r="E3303" s="31"/>
      <c r="F3303" s="3"/>
      <c r="G3303" s="3"/>
      <c r="H3303" s="3"/>
    </row>
    <row r="3304" ht="13.65" customHeight="1">
      <c r="A3304" s="203"/>
      <c r="B3304" s="203"/>
      <c r="C3304" s="203"/>
      <c r="D3304" s="203"/>
      <c r="E3304" s="203"/>
      <c r="F3304" s="203"/>
      <c r="G3304" s="203"/>
      <c r="H3304" s="203"/>
    </row>
    <row r="3305" ht="13.65" customHeight="1">
      <c r="A3305" t="s" s="274">
        <v>185</v>
      </c>
      <c r="B3305" s="275"/>
      <c r="C3305" s="275"/>
      <c r="D3305" s="275"/>
      <c r="E3305" s="280"/>
      <c r="F3305" s="275"/>
      <c r="G3305" s="275"/>
      <c r="H3305" s="277"/>
    </row>
    <row r="3306" ht="13.65" customHeight="1">
      <c r="A3306" s="278"/>
      <c r="B3306" s="278"/>
      <c r="C3306" s="278"/>
      <c r="D3306" s="278"/>
      <c r="E3306" s="278"/>
      <c r="F3306" s="278"/>
      <c r="G3306" s="278"/>
      <c r="H3306" s="278"/>
    </row>
    <row r="3307" ht="13.65" customHeight="1">
      <c r="A3307" t="s" s="5">
        <v>756</v>
      </c>
      <c r="B3307" s="3"/>
      <c r="C3307" s="3"/>
      <c r="D3307" s="3"/>
      <c r="E3307" s="3"/>
      <c r="F3307" s="3"/>
      <c r="G3307" s="3"/>
      <c r="H3307" s="3"/>
    </row>
    <row r="3308" ht="13.65" customHeight="1">
      <c r="A3308" s="11"/>
      <c r="B3308" s="11"/>
      <c r="C3308" s="11"/>
      <c r="D3308" s="11"/>
      <c r="E3308" s="11"/>
      <c r="F3308" s="11"/>
      <c r="G3308" s="11"/>
      <c r="H3308" s="3"/>
    </row>
    <row r="3309" ht="13.65" customHeight="1">
      <c r="A3309" s="12"/>
      <c r="B3309" s="12"/>
      <c r="C3309" s="13"/>
      <c r="D3309" s="14"/>
      <c r="E3309" s="13"/>
      <c r="F3309" s="13"/>
      <c r="G3309" t="s" s="14">
        <v>252</v>
      </c>
      <c r="H3309" s="150"/>
    </row>
    <row r="3310" ht="13.65" customHeight="1">
      <c r="A3310" t="s" s="16">
        <v>93</v>
      </c>
      <c r="B3310" t="s" s="16">
        <v>94</v>
      </c>
      <c r="C3310" t="s" s="16">
        <v>95</v>
      </c>
      <c r="D3310" t="s" s="16">
        <v>96</v>
      </c>
      <c r="E3310" t="s" s="16">
        <v>97</v>
      </c>
      <c r="F3310" t="s" s="16">
        <v>98</v>
      </c>
      <c r="G3310" t="s" s="16">
        <v>99</v>
      </c>
      <c r="H3310" s="15"/>
    </row>
    <row r="3311" ht="13.65" customHeight="1">
      <c r="A3311" s="151"/>
      <c r="B3311" s="151"/>
      <c r="C3311" s="19"/>
      <c r="D3311" s="20"/>
      <c r="E3311" s="19"/>
      <c r="F3311" s="19"/>
      <c r="G3311" t="s" s="20">
        <v>100</v>
      </c>
      <c r="H3311" s="15"/>
    </row>
    <row r="3312" ht="13.65" customHeight="1">
      <c r="A3312" s="21">
        <v>72</v>
      </c>
      <c r="B3312" t="s" s="22">
        <v>101</v>
      </c>
      <c r="C3312" s="23">
        <v>50</v>
      </c>
      <c r="D3312" t="s" s="24">
        <v>274</v>
      </c>
      <c r="E3312" s="25">
        <v>1.93</v>
      </c>
      <c r="F3312" s="23">
        <v>12.5</v>
      </c>
      <c r="G3312" s="152" cm="1">
        <f t="array" ref="G3312">SUM(E3312/F3312)</f>
        <v>0.1544</v>
      </c>
      <c r="H3312" s="15"/>
    </row>
    <row r="3313" ht="13.65" customHeight="1">
      <c r="A3313" s="21">
        <v>123</v>
      </c>
      <c r="B3313" t="s" s="22">
        <v>103</v>
      </c>
      <c r="C3313" s="23">
        <v>40</v>
      </c>
      <c r="D3313" t="s" s="24">
        <v>102</v>
      </c>
      <c r="E3313" s="25">
        <v>3.2</v>
      </c>
      <c r="F3313" s="23">
        <v>20</v>
      </c>
      <c r="G3313" s="152" cm="1">
        <f t="array" ref="G3313">SUM(E3313/F3313)</f>
        <v>0.16</v>
      </c>
      <c r="H3313" s="15"/>
    </row>
    <row r="3314" ht="13.65" customHeight="1">
      <c r="A3314" s="21">
        <v>57</v>
      </c>
      <c r="B3314" t="s" s="22">
        <v>253</v>
      </c>
      <c r="C3314" t="s" s="24">
        <v>254</v>
      </c>
      <c r="D3314" t="s" s="24">
        <v>757</v>
      </c>
      <c r="E3314" s="25">
        <v>4.5</v>
      </c>
      <c r="F3314" s="23">
        <v>33</v>
      </c>
      <c r="G3314" s="152" cm="1">
        <f t="array" ref="G3314">SUM(E3314/F3314)</f>
        <v>0.136363636363636</v>
      </c>
      <c r="H3314" s="15"/>
    </row>
    <row r="3315" ht="13.65" customHeight="1">
      <c r="A3315" s="21">
        <v>65</v>
      </c>
      <c r="B3315" t="s" s="22">
        <v>394</v>
      </c>
      <c r="C3315" s="23">
        <v>500</v>
      </c>
      <c r="D3315" t="s" s="24">
        <v>633</v>
      </c>
      <c r="E3315" s="25">
        <v>26</v>
      </c>
      <c r="F3315" s="23">
        <v>16.6</v>
      </c>
      <c r="G3315" s="152" cm="1">
        <f t="array" ref="G3315">SUM(E3315/F3315)</f>
        <v>1.56626506024096</v>
      </c>
      <c r="H3315" s="15"/>
    </row>
    <row r="3316" ht="13.65" customHeight="1">
      <c r="A3316" s="21">
        <v>140</v>
      </c>
      <c r="B3316" t="s" s="22">
        <v>470</v>
      </c>
      <c r="C3316" t="s" s="24">
        <v>108</v>
      </c>
      <c r="D3316" t="s" s="24">
        <v>102</v>
      </c>
      <c r="E3316" s="25">
        <v>1.12</v>
      </c>
      <c r="F3316" t="s" s="24">
        <v>387</v>
      </c>
      <c r="G3316" s="152" cm="1">
        <f t="array" ref="G3316">SUM(E3316*2)</f>
        <v>2.24</v>
      </c>
      <c r="H3316" s="15"/>
    </row>
    <row r="3317" ht="13.65" customHeight="1">
      <c r="A3317" s="21">
        <v>71</v>
      </c>
      <c r="B3317" t="s" s="22">
        <v>109</v>
      </c>
      <c r="C3317" s="23">
        <v>10</v>
      </c>
      <c r="D3317" t="s" s="24">
        <v>274</v>
      </c>
      <c r="E3317" s="25">
        <v>5.92</v>
      </c>
      <c r="F3317" s="23">
        <v>2.5</v>
      </c>
      <c r="G3317" s="152" cm="1">
        <f t="array" ref="G3317">SUM(E3317/F3317)</f>
        <v>2.368</v>
      </c>
      <c r="H3317" s="15"/>
    </row>
    <row r="3318" ht="13.65" customHeight="1">
      <c r="A3318" s="21">
        <v>87</v>
      </c>
      <c r="B3318" t="s" s="22">
        <v>110</v>
      </c>
      <c r="C3318" s="23">
        <v>50</v>
      </c>
      <c r="D3318" t="s" s="24">
        <v>274</v>
      </c>
      <c r="E3318" s="25">
        <v>9</v>
      </c>
      <c r="F3318" s="23">
        <v>12.5</v>
      </c>
      <c r="G3318" s="152" cm="1">
        <f t="array" ref="G3318">SUM(E3318/F3318)</f>
        <v>0.72</v>
      </c>
      <c r="H3318" s="15"/>
    </row>
    <row r="3319" ht="13.65" customHeight="1">
      <c r="A3319" s="21">
        <v>55</v>
      </c>
      <c r="B3319" t="s" s="22">
        <v>111</v>
      </c>
      <c r="C3319" t="s" s="24">
        <v>112</v>
      </c>
      <c r="D3319" t="s" s="24">
        <v>461</v>
      </c>
      <c r="E3319" s="25">
        <v>2.71</v>
      </c>
      <c r="F3319" s="23">
        <v>37.5</v>
      </c>
      <c r="G3319" s="152" cm="1">
        <f t="array" ref="G3319">SUM(E3319/F3319)</f>
        <v>0.0722666666666667</v>
      </c>
      <c r="H3319" s="15"/>
    </row>
    <row r="3320" ht="13.65" customHeight="1">
      <c r="A3320" s="21">
        <v>10</v>
      </c>
      <c r="B3320" t="s" s="22">
        <v>395</v>
      </c>
      <c r="C3320" t="s" s="24">
        <v>396</v>
      </c>
      <c r="D3320" t="s" s="24">
        <v>397</v>
      </c>
      <c r="E3320" s="25">
        <v>3.92</v>
      </c>
      <c r="F3320" s="23">
        <v>50</v>
      </c>
      <c r="G3320" s="152" cm="1">
        <f t="array" ref="G3320">SUM(E3320/F3320)</f>
        <v>0.0784</v>
      </c>
      <c r="H3320" s="15"/>
    </row>
    <row r="3321" ht="13.65" customHeight="1">
      <c r="A3321" s="21">
        <v>9</v>
      </c>
      <c r="B3321" t="s" s="22">
        <v>692</v>
      </c>
      <c r="C3321" s="23">
        <v>50</v>
      </c>
      <c r="D3321" t="s" s="24">
        <v>274</v>
      </c>
      <c r="E3321" s="25">
        <v>14</v>
      </c>
      <c r="F3321" s="23">
        <v>12.5</v>
      </c>
      <c r="G3321" s="152" cm="1">
        <f t="array" ref="G3321">SUM(E3321/F3321)</f>
        <v>1.12</v>
      </c>
      <c r="H3321" s="15"/>
    </row>
    <row r="3322" ht="13.65" customHeight="1">
      <c r="A3322" s="21">
        <v>6</v>
      </c>
      <c r="B3322" t="s" s="22">
        <v>399</v>
      </c>
      <c r="C3322" s="23">
        <v>100</v>
      </c>
      <c r="D3322" t="s" s="24">
        <v>104</v>
      </c>
      <c r="E3322" s="25">
        <v>19</v>
      </c>
      <c r="F3322" s="23">
        <v>100</v>
      </c>
      <c r="G3322" s="152" cm="1">
        <f t="array" ref="G3322">SUM(E3322/F3322)</f>
        <v>0.19</v>
      </c>
      <c r="H3322" s="15"/>
    </row>
    <row r="3323" ht="13.65" customHeight="1">
      <c r="A3323" s="21">
        <v>23</v>
      </c>
      <c r="B3323" t="s" s="22">
        <v>488</v>
      </c>
      <c r="C3323" s="23">
        <v>1</v>
      </c>
      <c r="D3323" t="s" s="24">
        <v>104</v>
      </c>
      <c r="E3323" s="25">
        <v>11</v>
      </c>
      <c r="F3323" s="23">
        <v>1</v>
      </c>
      <c r="G3323" s="152" cm="1">
        <f t="array" ref="G3323">SUM(E3323/F3323)</f>
        <v>11</v>
      </c>
      <c r="H3323" s="15"/>
    </row>
    <row r="3324" ht="13.65" customHeight="1">
      <c r="A3324" s="21">
        <v>44</v>
      </c>
      <c r="B3324" t="s" s="22">
        <v>400</v>
      </c>
      <c r="C3324" s="23">
        <v>30</v>
      </c>
      <c r="D3324" t="s" s="24">
        <v>401</v>
      </c>
      <c r="E3324" s="25">
        <v>74</v>
      </c>
      <c r="F3324" s="23">
        <v>30</v>
      </c>
      <c r="G3324" s="152" cm="1">
        <f t="array" ref="G3324">SUM(E3324/F3324)</f>
        <v>2.46666666666667</v>
      </c>
      <c r="H3324" s="15"/>
    </row>
    <row r="3325" ht="13.65" customHeight="1">
      <c r="A3325" s="21">
        <v>119</v>
      </c>
      <c r="B3325" t="s" s="22">
        <v>467</v>
      </c>
      <c r="C3325" s="23">
        <v>1</v>
      </c>
      <c r="D3325" t="s" s="24">
        <v>468</v>
      </c>
      <c r="E3325" s="25">
        <v>0.45</v>
      </c>
      <c r="F3325" s="23">
        <v>1</v>
      </c>
      <c r="G3325" s="152" cm="1">
        <f t="array" ref="G3325">SUM(E3325/F3325)</f>
        <v>0.45</v>
      </c>
      <c r="H3325" s="15"/>
    </row>
    <row r="3326" ht="13.65" customHeight="1">
      <c r="A3326" s="21">
        <v>122</v>
      </c>
      <c r="B3326" t="s" s="22">
        <v>489</v>
      </c>
      <c r="C3326" t="s" s="24">
        <v>490</v>
      </c>
      <c r="D3326" t="s" s="24">
        <v>389</v>
      </c>
      <c r="E3326" s="25">
        <v>1.7</v>
      </c>
      <c r="F3326" s="23">
        <v>5</v>
      </c>
      <c r="G3326" s="152" cm="1">
        <f t="array" ref="G3326">SUM(E3326/F3326)</f>
        <v>0.34</v>
      </c>
      <c r="H3326" s="15"/>
    </row>
    <row r="3327" ht="13.65" customHeight="1">
      <c r="A3327" s="21">
        <v>56</v>
      </c>
      <c r="B3327" t="s" s="22">
        <v>471</v>
      </c>
      <c r="C3327" s="23">
        <v>1</v>
      </c>
      <c r="D3327" t="s" s="24">
        <v>102</v>
      </c>
      <c r="E3327" s="25">
        <v>3.5</v>
      </c>
      <c r="F3327" t="s" s="24">
        <v>387</v>
      </c>
      <c r="G3327" s="152" cm="1">
        <f t="array" ref="G3327">SUM(E3327*2)</f>
        <v>7</v>
      </c>
      <c r="H3327" s="15"/>
    </row>
    <row r="3328" ht="13.65" customHeight="1">
      <c r="A3328" s="21">
        <v>78</v>
      </c>
      <c r="B3328" t="s" s="22">
        <v>492</v>
      </c>
      <c r="C3328" s="23">
        <v>1</v>
      </c>
      <c r="D3328" t="s" s="24">
        <v>102</v>
      </c>
      <c r="E3328" s="25">
        <v>1</v>
      </c>
      <c r="F3328" t="s" s="24">
        <v>387</v>
      </c>
      <c r="G3328" s="152" cm="1">
        <f t="array" ref="G3328">SUM(E3328*2)</f>
        <v>2</v>
      </c>
      <c r="H3328" s="15"/>
    </row>
    <row r="3329" ht="13.65" customHeight="1">
      <c r="A3329" s="21">
        <v>116</v>
      </c>
      <c r="B3329" t="s" s="22">
        <v>721</v>
      </c>
      <c r="C3329" t="s" s="24">
        <v>384</v>
      </c>
      <c r="D3329" t="s" s="24">
        <v>640</v>
      </c>
      <c r="E3329" s="25">
        <v>12</v>
      </c>
      <c r="F3329" s="23">
        <v>4</v>
      </c>
      <c r="G3329" s="152" cm="1">
        <f t="array" ref="G3329">SUM(E3329/F3329)</f>
        <v>3</v>
      </c>
      <c r="H3329" s="15"/>
    </row>
    <row r="3330" ht="13.65" customHeight="1">
      <c r="A3330" s="21">
        <v>3</v>
      </c>
      <c r="B3330" t="s" s="22">
        <v>758</v>
      </c>
      <c r="C3330" t="s" s="24">
        <v>753</v>
      </c>
      <c r="D3330" t="s" s="24">
        <v>457</v>
      </c>
      <c r="E3330" s="25">
        <v>8</v>
      </c>
      <c r="F3330" s="23">
        <v>10</v>
      </c>
      <c r="G3330" s="152" cm="1">
        <f t="array" ref="G3330">SUM(E3330/F3330)</f>
        <v>0.8</v>
      </c>
      <c r="H3330" s="15"/>
    </row>
    <row r="3331" ht="13.65" customHeight="1">
      <c r="A3331" s="28"/>
      <c r="B3331" s="28"/>
      <c r="C3331" s="27"/>
      <c r="D3331" s="24"/>
      <c r="E3331" s="27"/>
      <c r="F3331" t="s" s="29">
        <v>118</v>
      </c>
      <c r="G3331" s="197" cm="1">
        <f t="array" ref="G3331">SUM(G3312:G3330)</f>
        <v>35.8623620299379</v>
      </c>
      <c r="H3331" s="15"/>
    </row>
    <row r="3332" ht="13.65" customHeight="1">
      <c r="A3332" s="129"/>
      <c r="B3332" s="129"/>
      <c r="C3332" s="129"/>
      <c r="D3332" s="129"/>
      <c r="E3332" s="129"/>
      <c r="F3332" s="31"/>
      <c r="G3332" s="31"/>
      <c r="H3332" s="3"/>
    </row>
    <row r="3333" ht="11.7" customHeight="1">
      <c r="A3333" t="s" s="167">
        <v>136</v>
      </c>
      <c r="B3333" t="s" s="167">
        <v>281</v>
      </c>
      <c r="C3333" t="s" s="167">
        <v>282</v>
      </c>
      <c r="D3333" t="s" s="168">
        <v>283</v>
      </c>
      <c r="E3333" s="169"/>
      <c r="F3333" s="170"/>
      <c r="G3333" s="171"/>
      <c r="H3333" s="171"/>
    </row>
    <row r="3334" ht="13.65" customHeight="1">
      <c r="A3334" s="23">
        <v>120</v>
      </c>
      <c r="B3334" s="172" cm="1">
        <f t="array" ref="B3334">SUM(H256)</f>
        <v>2.47496540404041</v>
      </c>
      <c r="C3334" s="172" cm="1">
        <f t="array" ref="C3334">SUM(G3331)</f>
        <v>35.8623620299379</v>
      </c>
      <c r="D3334" s="199" cm="1">
        <f t="array" ref="D3334">SUM(A3334*B3334)+(C3334)</f>
        <v>332.858210514787</v>
      </c>
      <c r="E3334" s="200"/>
      <c r="F3334" s="15"/>
      <c r="G3334" s="3"/>
      <c r="H3334" s="3"/>
    </row>
    <row r="3335" ht="13.65" customHeight="1">
      <c r="A3335" s="31"/>
      <c r="B3335" s="31"/>
      <c r="C3335" s="31"/>
      <c r="D3335" s="31"/>
      <c r="E3335" s="31"/>
      <c r="F3335" s="3"/>
      <c r="G3335" s="3"/>
      <c r="H3335" s="3"/>
    </row>
    <row r="3336" ht="13.65" customHeight="1">
      <c r="A3336" s="3"/>
      <c r="B3336" s="3"/>
      <c r="C3336" s="3"/>
      <c r="D3336" s="3"/>
      <c r="E3336" s="3"/>
      <c r="F3336" s="3"/>
      <c r="G3336" s="3"/>
      <c r="H3336" s="3"/>
    </row>
    <row r="3337" ht="13.65" customHeight="1">
      <c r="A3337" t="s" s="5">
        <v>759</v>
      </c>
      <c r="B3337" s="3"/>
      <c r="C3337" s="3"/>
      <c r="D3337" s="3"/>
      <c r="E3337" s="3"/>
      <c r="F3337" s="3"/>
      <c r="G3337" s="3"/>
      <c r="H3337" s="3"/>
    </row>
    <row r="3338" ht="13.65" customHeight="1">
      <c r="A3338" s="11"/>
      <c r="B3338" s="11"/>
      <c r="C3338" s="11"/>
      <c r="D3338" s="11"/>
      <c r="E3338" s="11"/>
      <c r="F3338" s="11"/>
      <c r="G3338" s="11"/>
      <c r="H3338" s="3"/>
    </row>
    <row r="3339" ht="13.65" customHeight="1">
      <c r="A3339" s="12"/>
      <c r="B3339" s="12"/>
      <c r="C3339" s="13"/>
      <c r="D3339" s="14"/>
      <c r="E3339" s="13"/>
      <c r="F3339" s="13"/>
      <c r="G3339" t="s" s="14">
        <v>252</v>
      </c>
      <c r="H3339" s="150"/>
    </row>
    <row r="3340" ht="13.65" customHeight="1">
      <c r="A3340" t="s" s="16">
        <v>93</v>
      </c>
      <c r="B3340" t="s" s="16">
        <v>94</v>
      </c>
      <c r="C3340" t="s" s="16">
        <v>95</v>
      </c>
      <c r="D3340" t="s" s="16">
        <v>96</v>
      </c>
      <c r="E3340" t="s" s="16">
        <v>97</v>
      </c>
      <c r="F3340" t="s" s="16">
        <v>98</v>
      </c>
      <c r="G3340" t="s" s="16">
        <v>99</v>
      </c>
      <c r="H3340" s="15"/>
    </row>
    <row r="3341" ht="13.65" customHeight="1">
      <c r="A3341" s="151"/>
      <c r="B3341" s="151"/>
      <c r="C3341" s="19"/>
      <c r="D3341" s="20"/>
      <c r="E3341" s="19"/>
      <c r="F3341" s="19"/>
      <c r="G3341" t="s" s="20">
        <v>100</v>
      </c>
      <c r="H3341" s="15"/>
    </row>
    <row r="3342" ht="13.65" customHeight="1">
      <c r="A3342" s="21">
        <v>72</v>
      </c>
      <c r="B3342" t="s" s="22">
        <v>101</v>
      </c>
      <c r="C3342" s="23">
        <v>50</v>
      </c>
      <c r="D3342" t="s" s="24">
        <v>274</v>
      </c>
      <c r="E3342" s="25">
        <v>1.93</v>
      </c>
      <c r="F3342" s="23">
        <v>12.5</v>
      </c>
      <c r="G3342" s="152" cm="1">
        <f t="array" ref="G3342">SUM(E3342/F3342)</f>
        <v>0.1544</v>
      </c>
      <c r="H3342" s="15"/>
    </row>
    <row r="3343" ht="13.65" customHeight="1">
      <c r="A3343" s="21">
        <v>123</v>
      </c>
      <c r="B3343" t="s" s="22">
        <v>103</v>
      </c>
      <c r="C3343" s="23">
        <v>40</v>
      </c>
      <c r="D3343" t="s" s="24">
        <v>102</v>
      </c>
      <c r="E3343" s="25">
        <v>3.2</v>
      </c>
      <c r="F3343" s="23">
        <v>20</v>
      </c>
      <c r="G3343" s="152" cm="1">
        <f t="array" ref="G3343">SUM(E3343/F3343)</f>
        <v>0.16</v>
      </c>
      <c r="H3343" s="15"/>
    </row>
    <row r="3344" ht="13.65" customHeight="1">
      <c r="A3344" s="21">
        <v>57</v>
      </c>
      <c r="B3344" t="s" s="22">
        <v>253</v>
      </c>
      <c r="C3344" t="s" s="24">
        <v>254</v>
      </c>
      <c r="D3344" t="s" s="24">
        <v>371</v>
      </c>
      <c r="E3344" s="25">
        <v>4.5</v>
      </c>
      <c r="F3344" s="23">
        <v>33</v>
      </c>
      <c r="G3344" s="152" cm="1">
        <f t="array" ref="G3344">SUM(E3344/F3344)</f>
        <v>0.136363636363636</v>
      </c>
      <c r="H3344" s="15"/>
    </row>
    <row r="3345" ht="13.65" customHeight="1">
      <c r="A3345" s="21">
        <v>65</v>
      </c>
      <c r="B3345" t="s" s="22">
        <v>394</v>
      </c>
      <c r="C3345" s="23">
        <v>500</v>
      </c>
      <c r="D3345" t="s" s="24">
        <v>633</v>
      </c>
      <c r="E3345" s="25">
        <v>26</v>
      </c>
      <c r="F3345" s="23">
        <v>16.67</v>
      </c>
      <c r="G3345" s="152" cm="1">
        <f t="array" ref="G3345">SUM(E3345/F3345)</f>
        <v>1.55968806238752</v>
      </c>
      <c r="H3345" s="15"/>
    </row>
    <row r="3346" ht="13.65" customHeight="1">
      <c r="A3346" s="21">
        <v>140</v>
      </c>
      <c r="B3346" t="s" s="22">
        <v>470</v>
      </c>
      <c r="C3346" t="s" s="24">
        <v>108</v>
      </c>
      <c r="D3346" t="s" s="24">
        <v>102</v>
      </c>
      <c r="E3346" s="25">
        <v>1.12</v>
      </c>
      <c r="F3346" t="s" s="24">
        <v>387</v>
      </c>
      <c r="G3346" s="152" cm="1">
        <f t="array" ref="G3346">SUM(E3346*2)</f>
        <v>2.24</v>
      </c>
      <c r="H3346" s="15"/>
    </row>
    <row r="3347" ht="13.65" customHeight="1">
      <c r="A3347" s="21">
        <v>71</v>
      </c>
      <c r="B3347" t="s" s="22">
        <v>109</v>
      </c>
      <c r="C3347" s="23">
        <v>10</v>
      </c>
      <c r="D3347" t="s" s="24">
        <v>274</v>
      </c>
      <c r="E3347" s="25">
        <v>5.92</v>
      </c>
      <c r="F3347" s="23">
        <v>2.5</v>
      </c>
      <c r="G3347" s="152" cm="1">
        <f t="array" ref="G3347">SUM(E3347/F3347)</f>
        <v>2.368</v>
      </c>
      <c r="H3347" s="15"/>
    </row>
    <row r="3348" ht="13.65" customHeight="1">
      <c r="A3348" s="21">
        <v>87</v>
      </c>
      <c r="B3348" t="s" s="22">
        <v>110</v>
      </c>
      <c r="C3348" s="23">
        <v>50</v>
      </c>
      <c r="D3348" t="s" s="24">
        <v>274</v>
      </c>
      <c r="E3348" s="25">
        <v>9</v>
      </c>
      <c r="F3348" s="23">
        <v>12.5</v>
      </c>
      <c r="G3348" s="152" cm="1">
        <f t="array" ref="G3348">SUM(E3348/F3348)</f>
        <v>0.72</v>
      </c>
      <c r="H3348" s="15"/>
    </row>
    <row r="3349" ht="13.65" customHeight="1">
      <c r="A3349" s="21">
        <v>55</v>
      </c>
      <c r="B3349" t="s" s="22">
        <v>111</v>
      </c>
      <c r="C3349" t="s" s="24">
        <v>112</v>
      </c>
      <c r="D3349" t="s" s="24">
        <v>113</v>
      </c>
      <c r="E3349" s="25">
        <v>2.71</v>
      </c>
      <c r="F3349" s="23">
        <v>75</v>
      </c>
      <c r="G3349" s="152" cm="1">
        <f t="array" ref="G3349">SUM(E3349/F3349)</f>
        <v>0.0361333333333333</v>
      </c>
      <c r="H3349" s="15"/>
    </row>
    <row r="3350" ht="13.65" customHeight="1">
      <c r="A3350" s="21">
        <v>10</v>
      </c>
      <c r="B3350" t="s" s="22">
        <v>395</v>
      </c>
      <c r="C3350" t="s" s="24">
        <v>396</v>
      </c>
      <c r="D3350" t="s" s="24">
        <v>397</v>
      </c>
      <c r="E3350" s="25">
        <v>3.92</v>
      </c>
      <c r="F3350" s="23">
        <v>50</v>
      </c>
      <c r="G3350" s="152" cm="1">
        <f t="array" ref="G3350">SUM(E3350/F3350)</f>
        <v>0.0784</v>
      </c>
      <c r="H3350" s="15"/>
    </row>
    <row r="3351" ht="13.65" customHeight="1">
      <c r="A3351" s="21">
        <v>9</v>
      </c>
      <c r="B3351" t="s" s="22">
        <v>692</v>
      </c>
      <c r="C3351" s="23">
        <v>50</v>
      </c>
      <c r="D3351" t="s" s="24">
        <v>274</v>
      </c>
      <c r="E3351" s="25">
        <v>14</v>
      </c>
      <c r="F3351" s="23">
        <v>12.5</v>
      </c>
      <c r="G3351" s="152" cm="1">
        <f t="array" ref="G3351">SUM(E3351/F3351)</f>
        <v>1.12</v>
      </c>
      <c r="H3351" s="15"/>
    </row>
    <row r="3352" ht="13.65" customHeight="1">
      <c r="A3352" s="21">
        <v>6</v>
      </c>
      <c r="B3352" t="s" s="22">
        <v>399</v>
      </c>
      <c r="C3352" s="23">
        <v>100</v>
      </c>
      <c r="D3352" t="s" s="24">
        <v>104</v>
      </c>
      <c r="E3352" s="25">
        <v>19</v>
      </c>
      <c r="F3352" s="23">
        <v>100</v>
      </c>
      <c r="G3352" s="152" cm="1">
        <f t="array" ref="G3352">SUM(E3352/F3352)</f>
        <v>0.19</v>
      </c>
      <c r="H3352" s="15"/>
    </row>
    <row r="3353" ht="13.65" customHeight="1">
      <c r="A3353" s="21">
        <v>23</v>
      </c>
      <c r="B3353" t="s" s="22">
        <v>488</v>
      </c>
      <c r="C3353" s="23">
        <v>1</v>
      </c>
      <c r="D3353" t="s" s="24">
        <v>104</v>
      </c>
      <c r="E3353" s="25">
        <v>11</v>
      </c>
      <c r="F3353" s="23">
        <v>1</v>
      </c>
      <c r="G3353" s="152" cm="1">
        <f t="array" ref="G3353">SUM(E3353/F3353)</f>
        <v>11</v>
      </c>
      <c r="H3353" s="15"/>
    </row>
    <row r="3354" ht="13.65" customHeight="1">
      <c r="A3354" s="21">
        <v>119</v>
      </c>
      <c r="B3354" t="s" s="22">
        <v>467</v>
      </c>
      <c r="C3354" s="23">
        <v>1</v>
      </c>
      <c r="D3354" t="s" s="24">
        <v>468</v>
      </c>
      <c r="E3354" s="25">
        <v>0.45</v>
      </c>
      <c r="F3354" s="23">
        <v>1</v>
      </c>
      <c r="G3354" s="152" cm="1">
        <f t="array" ref="G3354">SUM(E3354/F3354)</f>
        <v>0.45</v>
      </c>
      <c r="H3354" s="15"/>
    </row>
    <row r="3355" ht="13.65" customHeight="1">
      <c r="A3355" s="21">
        <v>122</v>
      </c>
      <c r="B3355" t="s" s="22">
        <v>489</v>
      </c>
      <c r="C3355" t="s" s="24">
        <v>490</v>
      </c>
      <c r="D3355" t="s" s="24">
        <v>389</v>
      </c>
      <c r="E3355" s="25">
        <v>1.7</v>
      </c>
      <c r="F3355" s="23">
        <v>5</v>
      </c>
      <c r="G3355" s="152" cm="1">
        <f t="array" ref="G3355">SUM(E3355/F3355)</f>
        <v>0.34</v>
      </c>
      <c r="H3355" s="15"/>
    </row>
    <row r="3356" ht="13.65" customHeight="1">
      <c r="A3356" s="21">
        <v>29</v>
      </c>
      <c r="B3356" t="s" s="22">
        <v>493</v>
      </c>
      <c r="C3356" s="23">
        <v>1</v>
      </c>
      <c r="D3356" t="s" s="24">
        <v>401</v>
      </c>
      <c r="E3356" s="25">
        <v>74</v>
      </c>
      <c r="F3356" s="23">
        <v>30</v>
      </c>
      <c r="G3356" s="152" cm="1">
        <f t="array" ref="G3356">SUM(E3356/F3356)</f>
        <v>2.46666666666667</v>
      </c>
      <c r="H3356" s="15"/>
    </row>
    <row r="3357" ht="13.65" customHeight="1">
      <c r="A3357" s="21">
        <v>36</v>
      </c>
      <c r="B3357" t="s" s="22">
        <v>496</v>
      </c>
      <c r="C3357" t="s" s="24">
        <v>497</v>
      </c>
      <c r="D3357" t="s" s="24">
        <v>498</v>
      </c>
      <c r="E3357" s="25">
        <v>13</v>
      </c>
      <c r="F3357" s="23">
        <v>16</v>
      </c>
      <c r="G3357" s="152" cm="1">
        <f t="array" ref="G3357">SUM(E3357/F3357)</f>
        <v>0.8125</v>
      </c>
      <c r="H3357" s="15"/>
    </row>
    <row r="3358" ht="13.65" customHeight="1">
      <c r="A3358" s="21">
        <v>56</v>
      </c>
      <c r="B3358" t="s" s="22">
        <v>471</v>
      </c>
      <c r="C3358" s="23">
        <v>1</v>
      </c>
      <c r="D3358" t="s" s="24">
        <v>104</v>
      </c>
      <c r="E3358" s="25">
        <v>3.5</v>
      </c>
      <c r="F3358" s="23">
        <v>1</v>
      </c>
      <c r="G3358" s="152" cm="1">
        <f t="array" ref="G3358">SUM(E3358/F3358)</f>
        <v>3.5</v>
      </c>
      <c r="H3358" s="15"/>
    </row>
    <row r="3359" ht="13.65" customHeight="1">
      <c r="A3359" s="21">
        <v>78</v>
      </c>
      <c r="B3359" t="s" s="22">
        <v>492</v>
      </c>
      <c r="C3359" s="23">
        <v>1</v>
      </c>
      <c r="D3359" t="s" s="24">
        <v>104</v>
      </c>
      <c r="E3359" s="25">
        <v>1</v>
      </c>
      <c r="F3359" s="23">
        <v>1</v>
      </c>
      <c r="G3359" s="152" cm="1">
        <f t="array" ref="G3359">SUM(E3359/F3359)</f>
        <v>1</v>
      </c>
      <c r="H3359" s="15"/>
    </row>
    <row r="3360" ht="13.65" customHeight="1">
      <c r="A3360" s="21">
        <v>116</v>
      </c>
      <c r="B3360" t="s" s="22">
        <v>721</v>
      </c>
      <c r="C3360" t="s" s="24">
        <v>384</v>
      </c>
      <c r="D3360" t="s" s="24">
        <v>640</v>
      </c>
      <c r="E3360" s="25">
        <v>12</v>
      </c>
      <c r="F3360" s="23">
        <v>4</v>
      </c>
      <c r="G3360" s="152" cm="1">
        <f t="array" ref="G3360">SUM(E3360/F3360)</f>
        <v>3</v>
      </c>
      <c r="H3360" s="15"/>
    </row>
    <row r="3361" ht="13.65" customHeight="1">
      <c r="A3361" s="28"/>
      <c r="B3361" s="28"/>
      <c r="C3361" s="27"/>
      <c r="D3361" s="24"/>
      <c r="E3361" s="27"/>
      <c r="F3361" t="s" s="29">
        <v>118</v>
      </c>
      <c r="G3361" s="197" cm="1">
        <f t="array" ref="G3361">SUM(G3342:G3360)</f>
        <v>31.3321516987512</v>
      </c>
      <c r="H3361" s="15"/>
    </row>
    <row r="3362" ht="13.65" customHeight="1">
      <c r="A3362" s="129"/>
      <c r="B3362" s="129"/>
      <c r="C3362" s="129"/>
      <c r="D3362" s="129"/>
      <c r="E3362" s="129"/>
      <c r="F3362" s="31"/>
      <c r="G3362" s="31"/>
      <c r="H3362" s="3"/>
    </row>
    <row r="3363" ht="11.7" customHeight="1">
      <c r="A3363" t="s" s="167">
        <v>136</v>
      </c>
      <c r="B3363" t="s" s="167">
        <v>281</v>
      </c>
      <c r="C3363" t="s" s="167">
        <v>282</v>
      </c>
      <c r="D3363" t="s" s="168">
        <v>283</v>
      </c>
      <c r="E3363" s="169"/>
      <c r="F3363" s="170"/>
      <c r="G3363" s="171"/>
      <c r="H3363" s="171"/>
    </row>
    <row r="3364" ht="13.65" customHeight="1">
      <c r="A3364" s="23">
        <v>80</v>
      </c>
      <c r="B3364" s="172" cm="1">
        <f t="array" ref="B3364">SUM(H256)</f>
        <v>2.47496540404041</v>
      </c>
      <c r="C3364" s="172" cm="1">
        <f t="array" ref="C3364">SUM(G3361)</f>
        <v>31.3321516987512</v>
      </c>
      <c r="D3364" s="199" cm="1">
        <f t="array" ref="D3364">SUM(A3364*B3364)+(C3364)</f>
        <v>229.329384021984</v>
      </c>
      <c r="E3364" s="200"/>
      <c r="F3364" s="282"/>
      <c r="G3364" s="203"/>
      <c r="H3364" s="203"/>
    </row>
    <row r="3365" ht="13.65" customHeight="1">
      <c r="A3365" t="s" s="283">
        <v>185</v>
      </c>
      <c r="B3365" s="284"/>
      <c r="C3365" s="284"/>
      <c r="D3365" s="284"/>
      <c r="E3365" s="291"/>
      <c r="F3365" s="275"/>
      <c r="G3365" s="275"/>
      <c r="H3365" s="277"/>
    </row>
    <row r="3366" ht="13.65" customHeight="1">
      <c r="A3366" s="278"/>
      <c r="B3366" s="278"/>
      <c r="C3366" s="278"/>
      <c r="D3366" s="278"/>
      <c r="E3366" s="278"/>
      <c r="F3366" s="278"/>
      <c r="G3366" s="278"/>
      <c r="H3366" s="278"/>
    </row>
    <row r="3367" ht="13.65" customHeight="1">
      <c r="A3367" t="s" s="5">
        <v>760</v>
      </c>
      <c r="B3367" s="3"/>
      <c r="C3367" s="3"/>
      <c r="D3367" s="3"/>
      <c r="E3367" s="3"/>
      <c r="F3367" s="3"/>
      <c r="G3367" s="3"/>
      <c r="H3367" s="3"/>
    </row>
    <row r="3368" ht="13.65" customHeight="1">
      <c r="A3368" s="11"/>
      <c r="B3368" s="11"/>
      <c r="C3368" s="11"/>
      <c r="D3368" s="11"/>
      <c r="E3368" s="11"/>
      <c r="F3368" s="11"/>
      <c r="G3368" s="11"/>
      <c r="H3368" s="3"/>
    </row>
    <row r="3369" ht="13.65" customHeight="1">
      <c r="A3369" s="12"/>
      <c r="B3369" s="12"/>
      <c r="C3369" s="13"/>
      <c r="D3369" s="14"/>
      <c r="E3369" s="13"/>
      <c r="F3369" s="13"/>
      <c r="G3369" t="s" s="14">
        <v>252</v>
      </c>
      <c r="H3369" s="150"/>
    </row>
    <row r="3370" ht="13.65" customHeight="1">
      <c r="A3370" t="s" s="16">
        <v>93</v>
      </c>
      <c r="B3370" t="s" s="16">
        <v>94</v>
      </c>
      <c r="C3370" t="s" s="16">
        <v>95</v>
      </c>
      <c r="D3370" t="s" s="16">
        <v>96</v>
      </c>
      <c r="E3370" t="s" s="16">
        <v>97</v>
      </c>
      <c r="F3370" t="s" s="16">
        <v>98</v>
      </c>
      <c r="G3370" t="s" s="16">
        <v>99</v>
      </c>
      <c r="H3370" s="15"/>
    </row>
    <row r="3371" ht="13.65" customHeight="1">
      <c r="A3371" s="151"/>
      <c r="B3371" s="151"/>
      <c r="C3371" s="19"/>
      <c r="D3371" s="20"/>
      <c r="E3371" s="19"/>
      <c r="F3371" s="19"/>
      <c r="G3371" t="s" s="20">
        <v>100</v>
      </c>
      <c r="H3371" s="15"/>
    </row>
    <row r="3372" ht="13.65" customHeight="1">
      <c r="A3372" s="21">
        <v>72</v>
      </c>
      <c r="B3372" t="s" s="22">
        <v>101</v>
      </c>
      <c r="C3372" s="23">
        <v>50</v>
      </c>
      <c r="D3372" t="s" s="24">
        <v>274</v>
      </c>
      <c r="E3372" s="25">
        <v>1.93</v>
      </c>
      <c r="F3372" s="23">
        <v>12.5</v>
      </c>
      <c r="G3372" s="152" cm="1">
        <f t="array" ref="G3372">SUM(E3372/F3372)</f>
        <v>0.1544</v>
      </c>
      <c r="H3372" s="15"/>
    </row>
    <row r="3373" ht="13.65" customHeight="1">
      <c r="A3373" s="21">
        <v>123</v>
      </c>
      <c r="B3373" t="s" s="22">
        <v>103</v>
      </c>
      <c r="C3373" s="23">
        <v>40</v>
      </c>
      <c r="D3373" t="s" s="24">
        <v>102</v>
      </c>
      <c r="E3373" s="25">
        <v>3.2</v>
      </c>
      <c r="F3373" s="23">
        <v>20</v>
      </c>
      <c r="G3373" s="152" cm="1">
        <f t="array" ref="G3373">SUM(E3373/F3373)</f>
        <v>0.16</v>
      </c>
      <c r="H3373" s="15"/>
    </row>
    <row r="3374" ht="13.65" customHeight="1">
      <c r="A3374" s="21">
        <v>57</v>
      </c>
      <c r="B3374" t="s" s="22">
        <v>253</v>
      </c>
      <c r="C3374" t="s" s="24">
        <v>254</v>
      </c>
      <c r="D3374" t="s" s="24">
        <v>371</v>
      </c>
      <c r="E3374" s="25">
        <v>4.5</v>
      </c>
      <c r="F3374" s="23">
        <v>33</v>
      </c>
      <c r="G3374" s="152" cm="1">
        <f t="array" ref="G3374">SUM(E3374/F3374)</f>
        <v>0.136363636363636</v>
      </c>
      <c r="H3374" s="15"/>
    </row>
    <row r="3375" ht="13.65" customHeight="1">
      <c r="A3375" s="21">
        <v>65</v>
      </c>
      <c r="B3375" t="s" s="22">
        <v>394</v>
      </c>
      <c r="C3375" s="23">
        <v>500</v>
      </c>
      <c r="D3375" t="s" s="24">
        <v>261</v>
      </c>
      <c r="E3375" s="25">
        <v>26</v>
      </c>
      <c r="F3375" s="23">
        <v>25</v>
      </c>
      <c r="G3375" s="152" cm="1">
        <f t="array" ref="G3375">SUM(E3375/F3375)</f>
        <v>1.04</v>
      </c>
      <c r="H3375" s="15"/>
    </row>
    <row r="3376" ht="13.65" customHeight="1">
      <c r="A3376" s="21">
        <v>140</v>
      </c>
      <c r="B3376" t="s" s="22">
        <v>470</v>
      </c>
      <c r="C3376" t="s" s="24">
        <v>108</v>
      </c>
      <c r="D3376" t="s" s="24">
        <v>102</v>
      </c>
      <c r="E3376" s="25">
        <v>1.12</v>
      </c>
      <c r="F3376" t="s" s="24">
        <v>387</v>
      </c>
      <c r="G3376" s="152" cm="1">
        <f t="array" ref="G3376">SUM(E3376*2)</f>
        <v>2.24</v>
      </c>
      <c r="H3376" s="15"/>
    </row>
    <row r="3377" ht="13.65" customHeight="1">
      <c r="A3377" s="21">
        <v>71</v>
      </c>
      <c r="B3377" t="s" s="22">
        <v>109</v>
      </c>
      <c r="C3377" s="23">
        <v>10</v>
      </c>
      <c r="D3377" t="s" s="24">
        <v>274</v>
      </c>
      <c r="E3377" s="25">
        <v>5.92</v>
      </c>
      <c r="F3377" s="23">
        <v>2.5</v>
      </c>
      <c r="G3377" s="152" cm="1">
        <f t="array" ref="G3377">SUM(E3377/F3377)</f>
        <v>2.368</v>
      </c>
      <c r="H3377" s="15"/>
    </row>
    <row r="3378" ht="13.65" customHeight="1">
      <c r="A3378" s="21">
        <v>87</v>
      </c>
      <c r="B3378" t="s" s="22">
        <v>110</v>
      </c>
      <c r="C3378" s="23">
        <v>50</v>
      </c>
      <c r="D3378" t="s" s="24">
        <v>274</v>
      </c>
      <c r="E3378" s="25">
        <v>9</v>
      </c>
      <c r="F3378" s="23">
        <v>12.5</v>
      </c>
      <c r="G3378" s="152" cm="1">
        <f t="array" ref="G3378">SUM(E3378/F3378)</f>
        <v>0.72</v>
      </c>
      <c r="H3378" s="15"/>
    </row>
    <row r="3379" ht="13.65" customHeight="1">
      <c r="A3379" s="21">
        <v>55</v>
      </c>
      <c r="B3379" t="s" s="22">
        <v>111</v>
      </c>
      <c r="C3379" t="s" s="24">
        <v>112</v>
      </c>
      <c r="D3379" t="s" s="24">
        <v>113</v>
      </c>
      <c r="E3379" s="25">
        <v>2.71</v>
      </c>
      <c r="F3379" s="23">
        <v>75</v>
      </c>
      <c r="G3379" s="152" cm="1">
        <f t="array" ref="G3379">SUM(E3379/F3379)</f>
        <v>0.0361333333333333</v>
      </c>
      <c r="H3379" s="15"/>
    </row>
    <row r="3380" ht="13.65" customHeight="1">
      <c r="A3380" s="21">
        <v>10</v>
      </c>
      <c r="B3380" t="s" s="22">
        <v>395</v>
      </c>
      <c r="C3380" t="s" s="24">
        <v>396</v>
      </c>
      <c r="D3380" t="s" s="24">
        <v>397</v>
      </c>
      <c r="E3380" s="25">
        <v>3.92</v>
      </c>
      <c r="F3380" s="23">
        <v>50</v>
      </c>
      <c r="G3380" s="152" cm="1">
        <f t="array" ref="G3380">SUM(E3380/F3380)</f>
        <v>0.0784</v>
      </c>
      <c r="H3380" s="15"/>
    </row>
    <row r="3381" ht="13.65" customHeight="1">
      <c r="A3381" s="21">
        <v>9</v>
      </c>
      <c r="B3381" t="s" s="22">
        <v>692</v>
      </c>
      <c r="C3381" s="23">
        <v>50</v>
      </c>
      <c r="D3381" t="s" s="24">
        <v>274</v>
      </c>
      <c r="E3381" s="25">
        <v>14</v>
      </c>
      <c r="F3381" s="23">
        <v>12.5</v>
      </c>
      <c r="G3381" s="152" cm="1">
        <f t="array" ref="G3381">SUM(E3381/F3381)</f>
        <v>1.12</v>
      </c>
      <c r="H3381" s="15"/>
    </row>
    <row r="3382" ht="13.65" customHeight="1">
      <c r="A3382" s="21">
        <v>6</v>
      </c>
      <c r="B3382" t="s" s="22">
        <v>399</v>
      </c>
      <c r="C3382" s="23">
        <v>100</v>
      </c>
      <c r="D3382" t="s" s="24">
        <v>104</v>
      </c>
      <c r="E3382" s="25">
        <v>19</v>
      </c>
      <c r="F3382" s="23">
        <v>100</v>
      </c>
      <c r="G3382" s="152" cm="1">
        <f t="array" ref="G3382">SUM(E3382/F3382)</f>
        <v>0.19</v>
      </c>
      <c r="H3382" s="15"/>
    </row>
    <row r="3383" ht="13.65" customHeight="1">
      <c r="A3383" s="21">
        <v>23</v>
      </c>
      <c r="B3383" t="s" s="22">
        <v>488</v>
      </c>
      <c r="C3383" s="23">
        <v>1</v>
      </c>
      <c r="D3383" t="s" s="24">
        <v>104</v>
      </c>
      <c r="E3383" s="25">
        <v>11</v>
      </c>
      <c r="F3383" s="23">
        <v>1</v>
      </c>
      <c r="G3383" s="152" cm="1">
        <f t="array" ref="G3383">SUM(E3383/F3383)</f>
        <v>11</v>
      </c>
      <c r="H3383" s="15"/>
    </row>
    <row r="3384" ht="13.65" customHeight="1">
      <c r="A3384" s="21">
        <v>44</v>
      </c>
      <c r="B3384" t="s" s="22">
        <v>400</v>
      </c>
      <c r="C3384" s="23">
        <v>1</v>
      </c>
      <c r="D3384" t="s" s="24">
        <v>401</v>
      </c>
      <c r="E3384" s="25">
        <v>74</v>
      </c>
      <c r="F3384" s="23">
        <v>30</v>
      </c>
      <c r="G3384" s="152" cm="1">
        <f t="array" ref="G3384">SUM(E3384/F3384)</f>
        <v>2.46666666666667</v>
      </c>
      <c r="H3384" s="15"/>
    </row>
    <row r="3385" ht="13.65" customHeight="1">
      <c r="A3385" s="21">
        <v>119</v>
      </c>
      <c r="B3385" t="s" s="22">
        <v>467</v>
      </c>
      <c r="C3385" s="23">
        <v>1</v>
      </c>
      <c r="D3385" t="s" s="24">
        <v>468</v>
      </c>
      <c r="E3385" s="25">
        <v>0.45</v>
      </c>
      <c r="F3385" s="23">
        <v>1</v>
      </c>
      <c r="G3385" s="152" cm="1">
        <f t="array" ref="G3385">SUM(E3385/F3385)</f>
        <v>0.45</v>
      </c>
      <c r="H3385" s="15"/>
    </row>
    <row r="3386" ht="13.65" customHeight="1">
      <c r="A3386" s="21">
        <v>122</v>
      </c>
      <c r="B3386" t="s" s="22">
        <v>489</v>
      </c>
      <c r="C3386" t="s" s="24">
        <v>490</v>
      </c>
      <c r="D3386" t="s" s="24">
        <v>643</v>
      </c>
      <c r="E3386" s="25">
        <v>1.7</v>
      </c>
      <c r="F3386" s="23">
        <v>3.33</v>
      </c>
      <c r="G3386" s="152" cm="1">
        <f t="array" ref="G3386">SUM(E3386/F3386)</f>
        <v>0.510510510510511</v>
      </c>
      <c r="H3386" s="15"/>
    </row>
    <row r="3387" ht="13.65" customHeight="1">
      <c r="A3387" s="21">
        <v>29</v>
      </c>
      <c r="B3387" t="s" s="22">
        <v>493</v>
      </c>
      <c r="C3387" s="23">
        <v>1</v>
      </c>
      <c r="D3387" t="s" s="24">
        <v>401</v>
      </c>
      <c r="E3387" s="25">
        <v>74</v>
      </c>
      <c r="F3387" s="23">
        <v>30</v>
      </c>
      <c r="G3387" s="152" cm="1">
        <f t="array" ref="G3387">SUM(E3387/F3387)</f>
        <v>2.46666666666667</v>
      </c>
      <c r="H3387" s="15"/>
    </row>
    <row r="3388" ht="13.65" customHeight="1">
      <c r="A3388" s="21">
        <v>36</v>
      </c>
      <c r="B3388" t="s" s="22">
        <v>496</v>
      </c>
      <c r="C3388" t="s" s="24">
        <v>497</v>
      </c>
      <c r="D3388" t="s" s="24">
        <v>498</v>
      </c>
      <c r="E3388" s="25">
        <v>13</v>
      </c>
      <c r="F3388" s="23">
        <v>16</v>
      </c>
      <c r="G3388" s="152" cm="1">
        <f t="array" ref="G3388">SUM(E3388/F3388)</f>
        <v>0.8125</v>
      </c>
      <c r="H3388" s="15"/>
    </row>
    <row r="3389" ht="13.65" customHeight="1">
      <c r="A3389" s="21">
        <v>56</v>
      </c>
      <c r="B3389" t="s" s="22">
        <v>471</v>
      </c>
      <c r="C3389" s="23">
        <v>1</v>
      </c>
      <c r="D3389" t="s" s="24">
        <v>104</v>
      </c>
      <c r="E3389" s="25">
        <v>3.5</v>
      </c>
      <c r="F3389" s="23">
        <v>1</v>
      </c>
      <c r="G3389" s="152" cm="1">
        <f t="array" ref="G3389">SUM(E3389/F3389)</f>
        <v>3.5</v>
      </c>
      <c r="H3389" s="15"/>
    </row>
    <row r="3390" ht="13.65" customHeight="1">
      <c r="A3390" s="21">
        <v>78</v>
      </c>
      <c r="B3390" t="s" s="22">
        <v>492</v>
      </c>
      <c r="C3390" s="23">
        <v>1</v>
      </c>
      <c r="D3390" t="s" s="24">
        <v>104</v>
      </c>
      <c r="E3390" s="25">
        <v>1</v>
      </c>
      <c r="F3390" s="23">
        <v>1</v>
      </c>
      <c r="G3390" s="152" cm="1">
        <f t="array" ref="G3390">SUM(E3390/F3390)</f>
        <v>1</v>
      </c>
      <c r="H3390" s="15"/>
    </row>
    <row r="3391" ht="13.65" customHeight="1">
      <c r="A3391" s="21">
        <v>116</v>
      </c>
      <c r="B3391" t="s" s="22">
        <v>721</v>
      </c>
      <c r="C3391" t="s" s="24">
        <v>384</v>
      </c>
      <c r="D3391" t="s" s="24">
        <v>640</v>
      </c>
      <c r="E3391" s="25">
        <v>12</v>
      </c>
      <c r="F3391" s="23">
        <v>4</v>
      </c>
      <c r="G3391" s="152" cm="1">
        <f t="array" ref="G3391">SUM(E3391/F3391)</f>
        <v>3</v>
      </c>
      <c r="H3391" s="15"/>
    </row>
    <row r="3392" ht="13.65" customHeight="1">
      <c r="A3392" s="21">
        <v>16</v>
      </c>
      <c r="B3392" t="s" s="22">
        <v>747</v>
      </c>
      <c r="C3392" s="23">
        <v>3</v>
      </c>
      <c r="D3392" t="s" s="24">
        <v>745</v>
      </c>
      <c r="E3392" s="25">
        <v>41</v>
      </c>
      <c r="F3392" s="23">
        <v>15</v>
      </c>
      <c r="G3392" s="152" cm="1">
        <f t="array" ref="G3392">SUM(E3392/F3392)</f>
        <v>2.73333333333333</v>
      </c>
      <c r="H3392" s="15"/>
    </row>
    <row r="3393" ht="13.65" customHeight="1">
      <c r="A3393" s="28"/>
      <c r="B3393" s="28"/>
      <c r="C3393" s="27"/>
      <c r="D3393" s="24"/>
      <c r="E3393" s="27"/>
      <c r="F3393" t="s" s="29">
        <v>118</v>
      </c>
      <c r="G3393" s="197" cm="1">
        <f t="array" ref="G3393">SUM(G3372:G3392)</f>
        <v>36.1829741468742</v>
      </c>
      <c r="H3393" s="15"/>
    </row>
    <row r="3394" ht="13.65" customHeight="1">
      <c r="A3394" s="129"/>
      <c r="B3394" s="129"/>
      <c r="C3394" s="129"/>
      <c r="D3394" s="129"/>
      <c r="E3394" s="129"/>
      <c r="F3394" s="31"/>
      <c r="G3394" s="31"/>
      <c r="H3394" s="3"/>
    </row>
    <row r="3395" ht="11.7" customHeight="1">
      <c r="A3395" t="s" s="167">
        <v>136</v>
      </c>
      <c r="B3395" t="s" s="167">
        <v>281</v>
      </c>
      <c r="C3395" t="s" s="167">
        <v>282</v>
      </c>
      <c r="D3395" t="s" s="168">
        <v>283</v>
      </c>
      <c r="E3395" s="169"/>
      <c r="F3395" s="170"/>
      <c r="G3395" s="171"/>
      <c r="H3395" s="171"/>
    </row>
    <row r="3396" ht="13.65" customHeight="1">
      <c r="A3396" s="23">
        <v>90</v>
      </c>
      <c r="B3396" s="172" cm="1">
        <f t="array" ref="B3396">SUM(H256)</f>
        <v>2.47496540404041</v>
      </c>
      <c r="C3396" s="172" cm="1">
        <f t="array" ref="C3396">SUM(G3393)</f>
        <v>36.1829741468742</v>
      </c>
      <c r="D3396" s="199" cm="1">
        <f t="array" ref="D3396">SUM(A3396*B3396)+(C3396)</f>
        <v>258.929860510511</v>
      </c>
      <c r="E3396" s="200"/>
      <c r="F3396" s="15"/>
      <c r="G3396" s="3"/>
      <c r="H3396" s="3"/>
    </row>
    <row r="3397" ht="13.65" customHeight="1">
      <c r="A3397" s="31"/>
      <c r="B3397" s="31"/>
      <c r="C3397" s="31"/>
      <c r="D3397" s="31"/>
      <c r="E3397" s="31"/>
      <c r="F3397" s="3"/>
      <c r="G3397" s="3"/>
      <c r="H3397" s="3"/>
    </row>
    <row r="3398" ht="13.65" customHeight="1">
      <c r="A3398" s="3"/>
      <c r="B3398" s="3"/>
      <c r="C3398" s="3"/>
      <c r="D3398" s="3"/>
      <c r="E3398" s="3"/>
      <c r="F3398" s="3"/>
      <c r="G3398" s="3"/>
      <c r="H3398" s="3"/>
    </row>
    <row r="3399" ht="13.65" customHeight="1">
      <c r="A3399" t="s" s="5">
        <v>761</v>
      </c>
      <c r="B3399" s="3"/>
      <c r="C3399" s="3"/>
      <c r="D3399" s="3"/>
      <c r="E3399" s="3"/>
      <c r="F3399" s="3"/>
      <c r="G3399" s="3"/>
      <c r="H3399" s="3"/>
    </row>
    <row r="3400" ht="13.65" customHeight="1">
      <c r="A3400" s="11"/>
      <c r="B3400" s="11"/>
      <c r="C3400" s="11"/>
      <c r="D3400" s="11"/>
      <c r="E3400" s="11"/>
      <c r="F3400" s="11"/>
      <c r="G3400" s="11"/>
      <c r="H3400" s="3"/>
    </row>
    <row r="3401" ht="13.65" customHeight="1">
      <c r="A3401" s="12"/>
      <c r="B3401" s="12"/>
      <c r="C3401" s="13"/>
      <c r="D3401" s="14"/>
      <c r="E3401" s="13"/>
      <c r="F3401" s="13"/>
      <c r="G3401" t="s" s="14">
        <v>252</v>
      </c>
      <c r="H3401" s="150"/>
    </row>
    <row r="3402" ht="13.65" customHeight="1">
      <c r="A3402" t="s" s="16">
        <v>93</v>
      </c>
      <c r="B3402" t="s" s="16">
        <v>94</v>
      </c>
      <c r="C3402" t="s" s="16">
        <v>95</v>
      </c>
      <c r="D3402" t="s" s="16">
        <v>96</v>
      </c>
      <c r="E3402" t="s" s="16">
        <v>97</v>
      </c>
      <c r="F3402" t="s" s="16">
        <v>98</v>
      </c>
      <c r="G3402" t="s" s="16">
        <v>99</v>
      </c>
      <c r="H3402" s="15"/>
    </row>
    <row r="3403" ht="13.65" customHeight="1">
      <c r="A3403" s="151"/>
      <c r="B3403" s="151"/>
      <c r="C3403" s="19"/>
      <c r="D3403" s="20"/>
      <c r="E3403" s="19"/>
      <c r="F3403" s="19"/>
      <c r="G3403" t="s" s="20">
        <v>100</v>
      </c>
      <c r="H3403" s="15"/>
    </row>
    <row r="3404" ht="13.65" customHeight="1">
      <c r="A3404" s="21">
        <v>72</v>
      </c>
      <c r="B3404" t="s" s="22">
        <v>101</v>
      </c>
      <c r="C3404" s="23">
        <v>50</v>
      </c>
      <c r="D3404" t="s" s="24">
        <v>274</v>
      </c>
      <c r="E3404" s="25">
        <v>1.93</v>
      </c>
      <c r="F3404" s="23">
        <v>12.5</v>
      </c>
      <c r="G3404" s="152" cm="1">
        <f t="array" ref="G3404">SUM(E3404/F3404)</f>
        <v>0.1544</v>
      </c>
      <c r="H3404" s="15"/>
    </row>
    <row r="3405" ht="13.65" customHeight="1">
      <c r="A3405" s="21">
        <v>123</v>
      </c>
      <c r="B3405" t="s" s="22">
        <v>103</v>
      </c>
      <c r="C3405" s="23">
        <v>40</v>
      </c>
      <c r="D3405" t="s" s="24">
        <v>102</v>
      </c>
      <c r="E3405" s="25">
        <v>3.2</v>
      </c>
      <c r="F3405" s="23">
        <v>20</v>
      </c>
      <c r="G3405" s="152" cm="1">
        <f t="array" ref="G3405">SUM(E3405/F3405)</f>
        <v>0.16</v>
      </c>
      <c r="H3405" s="15"/>
    </row>
    <row r="3406" ht="13.65" customHeight="1">
      <c r="A3406" s="21">
        <v>65</v>
      </c>
      <c r="B3406" t="s" s="22">
        <v>394</v>
      </c>
      <c r="C3406" s="23">
        <v>500</v>
      </c>
      <c r="D3406" t="s" s="24">
        <v>633</v>
      </c>
      <c r="E3406" s="25">
        <v>26</v>
      </c>
      <c r="F3406" s="23">
        <v>16.6</v>
      </c>
      <c r="G3406" s="152" cm="1">
        <f t="array" ref="G3406">SUM(E3406/F3406)</f>
        <v>1.56626506024096</v>
      </c>
      <c r="H3406" s="15"/>
    </row>
    <row r="3407" ht="13.65" customHeight="1">
      <c r="A3407" s="21">
        <v>140</v>
      </c>
      <c r="B3407" t="s" s="22">
        <v>470</v>
      </c>
      <c r="C3407" t="s" s="24">
        <v>108</v>
      </c>
      <c r="D3407" t="s" s="24">
        <v>102</v>
      </c>
      <c r="E3407" s="25">
        <v>1.12</v>
      </c>
      <c r="F3407" t="s" s="24">
        <v>387</v>
      </c>
      <c r="G3407" s="152" cm="1">
        <f t="array" ref="G3407">SUM(E3407*2)</f>
        <v>2.24</v>
      </c>
      <c r="H3407" s="15"/>
    </row>
    <row r="3408" ht="13.65" customHeight="1">
      <c r="A3408" s="21">
        <v>71</v>
      </c>
      <c r="B3408" t="s" s="22">
        <v>109</v>
      </c>
      <c r="C3408" s="23">
        <v>10</v>
      </c>
      <c r="D3408" t="s" s="24">
        <v>274</v>
      </c>
      <c r="E3408" s="25">
        <v>5.92</v>
      </c>
      <c r="F3408" s="23">
        <v>2.5</v>
      </c>
      <c r="G3408" s="152" cm="1">
        <f t="array" ref="G3408">SUM(E3408/F3408)</f>
        <v>2.368</v>
      </c>
      <c r="H3408" s="15"/>
    </row>
    <row r="3409" ht="13.65" customHeight="1">
      <c r="A3409" s="21">
        <v>87</v>
      </c>
      <c r="B3409" t="s" s="22">
        <v>110</v>
      </c>
      <c r="C3409" s="23">
        <v>50</v>
      </c>
      <c r="D3409" t="s" s="24">
        <v>274</v>
      </c>
      <c r="E3409" s="25">
        <v>9</v>
      </c>
      <c r="F3409" s="23">
        <v>12.5</v>
      </c>
      <c r="G3409" s="152" cm="1">
        <f t="array" ref="G3409">SUM(E3409/F3409)</f>
        <v>0.72</v>
      </c>
      <c r="H3409" s="15"/>
    </row>
    <row r="3410" ht="13.65" customHeight="1">
      <c r="A3410" s="21">
        <v>55</v>
      </c>
      <c r="B3410" t="s" s="22">
        <v>111</v>
      </c>
      <c r="C3410" t="s" s="24">
        <v>112</v>
      </c>
      <c r="D3410" t="s" s="24">
        <v>461</v>
      </c>
      <c r="E3410" s="25">
        <v>2.71</v>
      </c>
      <c r="F3410" s="23">
        <v>37.5</v>
      </c>
      <c r="G3410" s="152" cm="1">
        <f t="array" ref="G3410">SUM(E3410/F3410)</f>
        <v>0.0722666666666667</v>
      </c>
      <c r="H3410" s="15"/>
    </row>
    <row r="3411" ht="13.65" customHeight="1">
      <c r="A3411" s="21">
        <v>10</v>
      </c>
      <c r="B3411" t="s" s="22">
        <v>395</v>
      </c>
      <c r="C3411" t="s" s="24">
        <v>396</v>
      </c>
      <c r="D3411" t="s" s="24">
        <v>397</v>
      </c>
      <c r="E3411" s="25">
        <v>3.92</v>
      </c>
      <c r="F3411" s="23">
        <v>50</v>
      </c>
      <c r="G3411" s="152" cm="1">
        <f t="array" ref="G3411">SUM(E3411/F3411)</f>
        <v>0.0784</v>
      </c>
      <c r="H3411" s="15"/>
    </row>
    <row r="3412" ht="13.65" customHeight="1">
      <c r="A3412" s="21">
        <v>9</v>
      </c>
      <c r="B3412" t="s" s="22">
        <v>692</v>
      </c>
      <c r="C3412" s="23">
        <v>50</v>
      </c>
      <c r="D3412" t="s" s="24">
        <v>274</v>
      </c>
      <c r="E3412" s="25">
        <v>14</v>
      </c>
      <c r="F3412" s="23">
        <v>12.5</v>
      </c>
      <c r="G3412" s="152" cm="1">
        <f t="array" ref="G3412">SUM(E3412/F3412)</f>
        <v>1.12</v>
      </c>
      <c r="H3412" s="15"/>
    </row>
    <row r="3413" ht="13.65" customHeight="1">
      <c r="A3413" s="21">
        <v>6</v>
      </c>
      <c r="B3413" t="s" s="22">
        <v>399</v>
      </c>
      <c r="C3413" s="23">
        <v>100</v>
      </c>
      <c r="D3413" t="s" s="24">
        <v>104</v>
      </c>
      <c r="E3413" s="25">
        <v>19</v>
      </c>
      <c r="F3413" s="23">
        <v>100</v>
      </c>
      <c r="G3413" s="152" cm="1">
        <f t="array" ref="G3413">SUM(E3413/F3413)</f>
        <v>0.19</v>
      </c>
      <c r="H3413" s="15"/>
    </row>
    <row r="3414" ht="13.65" customHeight="1">
      <c r="A3414" s="21">
        <v>23</v>
      </c>
      <c r="B3414" t="s" s="22">
        <v>488</v>
      </c>
      <c r="C3414" s="23">
        <v>1</v>
      </c>
      <c r="D3414" t="s" s="24">
        <v>104</v>
      </c>
      <c r="E3414" s="25">
        <v>11</v>
      </c>
      <c r="F3414" s="23">
        <v>1</v>
      </c>
      <c r="G3414" s="152" cm="1">
        <f t="array" ref="G3414">SUM(E3414/F3414)</f>
        <v>11</v>
      </c>
      <c r="H3414" s="15"/>
    </row>
    <row r="3415" ht="13.65" customHeight="1">
      <c r="A3415" s="21">
        <v>119</v>
      </c>
      <c r="B3415" t="s" s="22">
        <v>467</v>
      </c>
      <c r="C3415" s="23">
        <v>1</v>
      </c>
      <c r="D3415" t="s" s="24">
        <v>468</v>
      </c>
      <c r="E3415" s="25">
        <v>0.45</v>
      </c>
      <c r="F3415" s="23">
        <v>1</v>
      </c>
      <c r="G3415" s="152" cm="1">
        <f t="array" ref="G3415">SUM(E3415/F3415)</f>
        <v>0.45</v>
      </c>
      <c r="H3415" s="15"/>
    </row>
    <row r="3416" ht="13.65" customHeight="1">
      <c r="A3416" s="21">
        <v>122</v>
      </c>
      <c r="B3416" t="s" s="22">
        <v>489</v>
      </c>
      <c r="C3416" t="s" s="24">
        <v>490</v>
      </c>
      <c r="D3416" t="s" s="24">
        <v>389</v>
      </c>
      <c r="E3416" s="25">
        <v>1.7</v>
      </c>
      <c r="F3416" s="23">
        <v>5</v>
      </c>
      <c r="G3416" s="152" cm="1">
        <f t="array" ref="G3416">SUM(E3416/F3416)</f>
        <v>0.34</v>
      </c>
      <c r="H3416" s="15"/>
    </row>
    <row r="3417" ht="13.65" customHeight="1">
      <c r="A3417" s="21">
        <v>56</v>
      </c>
      <c r="B3417" t="s" s="22">
        <v>471</v>
      </c>
      <c r="C3417" s="23">
        <v>1</v>
      </c>
      <c r="D3417" t="s" s="24">
        <v>104</v>
      </c>
      <c r="E3417" s="25">
        <v>3.5</v>
      </c>
      <c r="F3417" s="23">
        <v>1</v>
      </c>
      <c r="G3417" s="152" cm="1">
        <f t="array" ref="G3417">SUM(E3417/F3417)</f>
        <v>3.5</v>
      </c>
      <c r="H3417" s="15"/>
    </row>
    <row r="3418" ht="13.65" customHeight="1">
      <c r="A3418" s="21">
        <v>78</v>
      </c>
      <c r="B3418" t="s" s="22">
        <v>492</v>
      </c>
      <c r="C3418" s="23">
        <v>1</v>
      </c>
      <c r="D3418" t="s" s="24">
        <v>104</v>
      </c>
      <c r="E3418" s="25">
        <v>1</v>
      </c>
      <c r="F3418" s="23">
        <v>1</v>
      </c>
      <c r="G3418" s="152" cm="1">
        <f t="array" ref="G3418">SUM(E3418/F3418)</f>
        <v>1</v>
      </c>
      <c r="H3418" s="15"/>
    </row>
    <row r="3419" ht="13.65" customHeight="1">
      <c r="A3419" s="21">
        <v>36</v>
      </c>
      <c r="B3419" t="s" s="22">
        <v>496</v>
      </c>
      <c r="C3419" t="s" s="24">
        <v>497</v>
      </c>
      <c r="D3419" t="s" s="24">
        <v>498</v>
      </c>
      <c r="E3419" s="25">
        <v>13</v>
      </c>
      <c r="F3419" s="23">
        <v>16</v>
      </c>
      <c r="G3419" s="152" cm="1">
        <f t="array" ref="G3419">SUM(E3419/F3419)</f>
        <v>0.8125</v>
      </c>
      <c r="H3419" s="15"/>
    </row>
    <row r="3420" ht="13.65" customHeight="1">
      <c r="A3420" s="21">
        <v>16</v>
      </c>
      <c r="B3420" t="s" s="22">
        <v>693</v>
      </c>
      <c r="C3420" s="23">
        <v>6</v>
      </c>
      <c r="D3420" t="s" s="24">
        <v>444</v>
      </c>
      <c r="E3420" s="25">
        <v>41</v>
      </c>
      <c r="F3420" s="23">
        <v>10</v>
      </c>
      <c r="G3420" s="152" cm="1">
        <f t="array" ref="G3420">SUM(E3420/F3420)</f>
        <v>4.1</v>
      </c>
      <c r="H3420" s="15"/>
    </row>
    <row r="3421" ht="13.65" customHeight="1">
      <c r="A3421" s="28"/>
      <c r="B3421" s="28"/>
      <c r="C3421" s="27"/>
      <c r="D3421" s="24"/>
      <c r="E3421" s="27"/>
      <c r="F3421" t="s" s="29">
        <v>118</v>
      </c>
      <c r="G3421" s="197" cm="1">
        <f t="array" ref="G3421">SUM(G3404:G3420)</f>
        <v>29.8718317269076</v>
      </c>
      <c r="H3421" s="15"/>
    </row>
    <row r="3422" ht="13.65" customHeight="1">
      <c r="A3422" s="129"/>
      <c r="B3422" s="129"/>
      <c r="C3422" s="129"/>
      <c r="D3422" s="129"/>
      <c r="E3422" s="129"/>
      <c r="F3422" s="31"/>
      <c r="G3422" s="31"/>
      <c r="H3422" s="3"/>
    </row>
    <row r="3423" ht="11.7" customHeight="1">
      <c r="A3423" t="s" s="167">
        <v>136</v>
      </c>
      <c r="B3423" t="s" s="167">
        <v>281</v>
      </c>
      <c r="C3423" t="s" s="167">
        <v>282</v>
      </c>
      <c r="D3423" t="s" s="168">
        <v>283</v>
      </c>
      <c r="E3423" s="169"/>
      <c r="F3423" s="170"/>
      <c r="G3423" s="171"/>
      <c r="H3423" s="171"/>
    </row>
    <row r="3424" ht="13.65" customHeight="1">
      <c r="A3424" s="23">
        <v>130</v>
      </c>
      <c r="B3424" s="172" cm="1">
        <f t="array" ref="B3424">SUM(H256)</f>
        <v>2.47496540404041</v>
      </c>
      <c r="C3424" s="172" cm="1">
        <f t="array" ref="C3424">SUM(G3421)</f>
        <v>29.8718317269076</v>
      </c>
      <c r="D3424" s="199" cm="1">
        <f t="array" ref="D3424">SUM(A3424*B3424)+(C3424)</f>
        <v>351.617334252161</v>
      </c>
      <c r="E3424" s="200"/>
      <c r="F3424" s="282"/>
      <c r="G3424" s="203"/>
      <c r="H3424" s="203"/>
    </row>
    <row r="3425" ht="13.65" customHeight="1">
      <c r="A3425" t="s" s="283">
        <v>185</v>
      </c>
      <c r="B3425" s="284"/>
      <c r="C3425" s="284"/>
      <c r="D3425" s="284"/>
      <c r="E3425" s="291"/>
      <c r="F3425" s="275"/>
      <c r="G3425" s="275"/>
      <c r="H3425" s="277"/>
    </row>
    <row r="3426" ht="13.65" customHeight="1">
      <c r="A3426" s="278"/>
      <c r="B3426" s="278"/>
      <c r="C3426" s="278"/>
      <c r="D3426" s="278"/>
      <c r="E3426" s="278"/>
      <c r="F3426" s="278"/>
      <c r="G3426" s="278"/>
      <c r="H3426" s="278"/>
    </row>
    <row r="3427" ht="13.65" customHeight="1">
      <c r="A3427" s="3"/>
      <c r="B3427" s="3"/>
      <c r="C3427" s="3"/>
      <c r="D3427" s="3"/>
      <c r="E3427" s="3"/>
      <c r="F3427" s="3"/>
      <c r="G3427" s="3"/>
      <c r="H3427" s="3"/>
    </row>
    <row r="3428" ht="13.65" customHeight="1">
      <c r="A3428" t="s" s="5">
        <v>762</v>
      </c>
      <c r="B3428" s="3"/>
      <c r="C3428" s="3"/>
      <c r="D3428" s="3"/>
      <c r="E3428" s="3"/>
      <c r="F3428" s="3"/>
      <c r="G3428" s="3"/>
      <c r="H3428" s="3"/>
    </row>
    <row r="3429" ht="13.65" customHeight="1">
      <c r="A3429" s="11"/>
      <c r="B3429" s="11"/>
      <c r="C3429" s="11"/>
      <c r="D3429" s="11"/>
      <c r="E3429" s="11"/>
      <c r="F3429" s="11"/>
      <c r="G3429" s="11"/>
      <c r="H3429" s="3"/>
    </row>
    <row r="3430" ht="13.65" customHeight="1">
      <c r="A3430" s="12"/>
      <c r="B3430" s="12"/>
      <c r="C3430" s="13"/>
      <c r="D3430" s="14"/>
      <c r="E3430" s="13"/>
      <c r="F3430" s="13"/>
      <c r="G3430" t="s" s="14">
        <v>252</v>
      </c>
      <c r="H3430" s="150"/>
    </row>
    <row r="3431" ht="13.65" customHeight="1">
      <c r="A3431" t="s" s="16">
        <v>93</v>
      </c>
      <c r="B3431" t="s" s="16">
        <v>94</v>
      </c>
      <c r="C3431" t="s" s="16">
        <v>95</v>
      </c>
      <c r="D3431" t="s" s="16">
        <v>96</v>
      </c>
      <c r="E3431" t="s" s="16">
        <v>97</v>
      </c>
      <c r="F3431" t="s" s="16">
        <v>98</v>
      </c>
      <c r="G3431" t="s" s="16">
        <v>99</v>
      </c>
      <c r="H3431" s="15"/>
    </row>
    <row r="3432" ht="13.65" customHeight="1">
      <c r="A3432" s="151"/>
      <c r="B3432" s="151"/>
      <c r="C3432" s="19"/>
      <c r="D3432" s="20"/>
      <c r="E3432" s="19"/>
      <c r="F3432" s="19"/>
      <c r="G3432" t="s" s="20">
        <v>100</v>
      </c>
      <c r="H3432" s="15"/>
    </row>
    <row r="3433" ht="13.65" customHeight="1">
      <c r="A3433" s="21">
        <v>72</v>
      </c>
      <c r="B3433" t="s" s="22">
        <v>101</v>
      </c>
      <c r="C3433" s="23">
        <v>50</v>
      </c>
      <c r="D3433" t="s" s="24">
        <v>274</v>
      </c>
      <c r="E3433" s="25">
        <v>1.93</v>
      </c>
      <c r="F3433" s="23">
        <v>12.5</v>
      </c>
      <c r="G3433" s="152" cm="1">
        <f t="array" ref="G3433">SUM(E3433/F3433)</f>
        <v>0.1544</v>
      </c>
      <c r="H3433" s="15"/>
    </row>
    <row r="3434" ht="13.65" customHeight="1">
      <c r="A3434" s="21">
        <v>123</v>
      </c>
      <c r="B3434" t="s" s="22">
        <v>103</v>
      </c>
      <c r="C3434" s="23">
        <v>40</v>
      </c>
      <c r="D3434" t="s" s="24">
        <v>102</v>
      </c>
      <c r="E3434" s="25">
        <v>3.2</v>
      </c>
      <c r="F3434" s="23">
        <v>20</v>
      </c>
      <c r="G3434" s="152" cm="1">
        <f t="array" ref="G3434">SUM(E3434/F3434)</f>
        <v>0.16</v>
      </c>
      <c r="H3434" s="15"/>
    </row>
    <row r="3435" ht="13.65" customHeight="1">
      <c r="A3435" s="21">
        <v>65</v>
      </c>
      <c r="B3435" t="s" s="22">
        <v>394</v>
      </c>
      <c r="C3435" s="23">
        <v>500</v>
      </c>
      <c r="D3435" t="s" s="24">
        <v>633</v>
      </c>
      <c r="E3435" s="25">
        <v>26</v>
      </c>
      <c r="F3435" s="23">
        <v>16.6</v>
      </c>
      <c r="G3435" s="152" cm="1">
        <f t="array" ref="G3435">SUM(E3435/F3435)</f>
        <v>1.56626506024096</v>
      </c>
      <c r="H3435" s="15"/>
    </row>
    <row r="3436" ht="13.65" customHeight="1">
      <c r="A3436" s="21">
        <v>140</v>
      </c>
      <c r="B3436" t="s" s="22">
        <v>470</v>
      </c>
      <c r="C3436" t="s" s="24">
        <v>108</v>
      </c>
      <c r="D3436" t="s" s="24">
        <v>102</v>
      </c>
      <c r="E3436" s="25">
        <v>1.12</v>
      </c>
      <c r="F3436" t="s" s="24">
        <v>387</v>
      </c>
      <c r="G3436" s="152" cm="1">
        <f t="array" ref="G3436">SUM(E3436*2)</f>
        <v>2.24</v>
      </c>
      <c r="H3436" s="15"/>
    </row>
    <row r="3437" ht="13.65" customHeight="1">
      <c r="A3437" s="21">
        <v>71</v>
      </c>
      <c r="B3437" t="s" s="22">
        <v>109</v>
      </c>
      <c r="C3437" s="23">
        <v>10</v>
      </c>
      <c r="D3437" t="s" s="24">
        <v>274</v>
      </c>
      <c r="E3437" s="25">
        <v>5.92</v>
      </c>
      <c r="F3437" s="23">
        <v>2.5</v>
      </c>
      <c r="G3437" s="152" cm="1">
        <f t="array" ref="G3437">SUM(E3437/F3437)</f>
        <v>2.368</v>
      </c>
      <c r="H3437" s="15"/>
    </row>
    <row r="3438" ht="13.65" customHeight="1">
      <c r="A3438" s="21">
        <v>87</v>
      </c>
      <c r="B3438" t="s" s="22">
        <v>110</v>
      </c>
      <c r="C3438" s="23">
        <v>50</v>
      </c>
      <c r="D3438" t="s" s="24">
        <v>274</v>
      </c>
      <c r="E3438" s="25">
        <v>9</v>
      </c>
      <c r="F3438" s="23">
        <v>12.5</v>
      </c>
      <c r="G3438" s="152" cm="1">
        <f t="array" ref="G3438">SUM(E3438/F3438)</f>
        <v>0.72</v>
      </c>
      <c r="H3438" s="15"/>
    </row>
    <row r="3439" ht="13.65" customHeight="1">
      <c r="A3439" s="21">
        <v>55</v>
      </c>
      <c r="B3439" t="s" s="22">
        <v>111</v>
      </c>
      <c r="C3439" t="s" s="24">
        <v>112</v>
      </c>
      <c r="D3439" t="s" s="24">
        <v>461</v>
      </c>
      <c r="E3439" s="25">
        <v>2.71</v>
      </c>
      <c r="F3439" s="23">
        <v>37.5</v>
      </c>
      <c r="G3439" s="152" cm="1">
        <f t="array" ref="G3439">SUM(E3439/F3439)</f>
        <v>0.0722666666666667</v>
      </c>
      <c r="H3439" s="15"/>
    </row>
    <row r="3440" ht="13.65" customHeight="1">
      <c r="A3440" s="21">
        <v>10</v>
      </c>
      <c r="B3440" t="s" s="22">
        <v>395</v>
      </c>
      <c r="C3440" t="s" s="24">
        <v>396</v>
      </c>
      <c r="D3440" t="s" s="24">
        <v>397</v>
      </c>
      <c r="E3440" s="25">
        <v>3.92</v>
      </c>
      <c r="F3440" s="23">
        <v>50</v>
      </c>
      <c r="G3440" s="152" cm="1">
        <f t="array" ref="G3440">SUM(E3440/F3440)</f>
        <v>0.0784</v>
      </c>
      <c r="H3440" s="15"/>
    </row>
    <row r="3441" ht="13.65" customHeight="1">
      <c r="A3441" s="21">
        <v>9</v>
      </c>
      <c r="B3441" t="s" s="22">
        <v>692</v>
      </c>
      <c r="C3441" s="23">
        <v>50</v>
      </c>
      <c r="D3441" t="s" s="24">
        <v>274</v>
      </c>
      <c r="E3441" s="25">
        <v>14</v>
      </c>
      <c r="F3441" s="23">
        <v>12.5</v>
      </c>
      <c r="G3441" s="152" cm="1">
        <f t="array" ref="G3441">SUM(E3441/F3441)</f>
        <v>1.12</v>
      </c>
      <c r="H3441" s="15"/>
    </row>
    <row r="3442" ht="13.65" customHeight="1">
      <c r="A3442" s="21">
        <v>6</v>
      </c>
      <c r="B3442" t="s" s="22">
        <v>399</v>
      </c>
      <c r="C3442" s="23">
        <v>100</v>
      </c>
      <c r="D3442" t="s" s="24">
        <v>104</v>
      </c>
      <c r="E3442" s="25">
        <v>19</v>
      </c>
      <c r="F3442" s="23">
        <v>100</v>
      </c>
      <c r="G3442" s="152" cm="1">
        <f t="array" ref="G3442">SUM(E3442/F3442)</f>
        <v>0.19</v>
      </c>
      <c r="H3442" s="15"/>
    </row>
    <row r="3443" ht="13.65" customHeight="1">
      <c r="A3443" s="21">
        <v>23</v>
      </c>
      <c r="B3443" t="s" s="22">
        <v>488</v>
      </c>
      <c r="C3443" s="23">
        <v>1</v>
      </c>
      <c r="D3443" t="s" s="24">
        <v>104</v>
      </c>
      <c r="E3443" s="25">
        <v>11</v>
      </c>
      <c r="F3443" s="23">
        <v>1</v>
      </c>
      <c r="G3443" s="152" cm="1">
        <f t="array" ref="G3443">SUM(E3443/F3443)</f>
        <v>11</v>
      </c>
      <c r="H3443" s="15"/>
    </row>
    <row r="3444" ht="13.65" customHeight="1">
      <c r="A3444" s="21">
        <v>119</v>
      </c>
      <c r="B3444" t="s" s="22">
        <v>467</v>
      </c>
      <c r="C3444" s="23">
        <v>1</v>
      </c>
      <c r="D3444" t="s" s="24">
        <v>468</v>
      </c>
      <c r="E3444" s="25">
        <v>0.45</v>
      </c>
      <c r="F3444" s="23">
        <v>1</v>
      </c>
      <c r="G3444" s="152" cm="1">
        <f t="array" ref="G3444">SUM(E3444/F3444)</f>
        <v>0.45</v>
      </c>
      <c r="H3444" s="15"/>
    </row>
    <row r="3445" ht="13.65" customHeight="1">
      <c r="A3445" s="21">
        <v>122</v>
      </c>
      <c r="B3445" t="s" s="22">
        <v>489</v>
      </c>
      <c r="C3445" t="s" s="24">
        <v>490</v>
      </c>
      <c r="D3445" t="s" s="24">
        <v>389</v>
      </c>
      <c r="E3445" s="25">
        <v>1.7</v>
      </c>
      <c r="F3445" s="23">
        <v>5</v>
      </c>
      <c r="G3445" s="152" cm="1">
        <f t="array" ref="G3445">SUM(E3445/F3445)</f>
        <v>0.34</v>
      </c>
      <c r="H3445" s="15"/>
    </row>
    <row r="3446" ht="13.65" customHeight="1">
      <c r="A3446" s="21">
        <v>56</v>
      </c>
      <c r="B3446" t="s" s="22">
        <v>471</v>
      </c>
      <c r="C3446" s="23">
        <v>1</v>
      </c>
      <c r="D3446" t="s" s="24">
        <v>104</v>
      </c>
      <c r="E3446" s="25">
        <v>3.5</v>
      </c>
      <c r="F3446" s="23">
        <v>1</v>
      </c>
      <c r="G3446" s="152" cm="1">
        <f t="array" ref="G3446">SUM(E3446/F3446)</f>
        <v>3.5</v>
      </c>
      <c r="H3446" s="15"/>
    </row>
    <row r="3447" ht="13.65" customHeight="1">
      <c r="A3447" s="21">
        <v>78</v>
      </c>
      <c r="B3447" t="s" s="22">
        <v>492</v>
      </c>
      <c r="C3447" s="23">
        <v>1</v>
      </c>
      <c r="D3447" t="s" s="24">
        <v>104</v>
      </c>
      <c r="E3447" s="25">
        <v>1</v>
      </c>
      <c r="F3447" s="23">
        <v>1</v>
      </c>
      <c r="G3447" s="152" cm="1">
        <f t="array" ref="G3447">SUM(E3447/F3447)</f>
        <v>1</v>
      </c>
      <c r="H3447" s="15"/>
    </row>
    <row r="3448" ht="13.65" customHeight="1">
      <c r="A3448" s="21">
        <v>36</v>
      </c>
      <c r="B3448" t="s" s="22">
        <v>496</v>
      </c>
      <c r="C3448" t="s" s="24">
        <v>497</v>
      </c>
      <c r="D3448" t="s" s="24">
        <v>648</v>
      </c>
      <c r="E3448" s="25">
        <v>13</v>
      </c>
      <c r="F3448" s="23">
        <v>13</v>
      </c>
      <c r="G3448" s="152" cm="1">
        <f t="array" ref="G3448">SUM(E3448/F3448)</f>
        <v>1</v>
      </c>
      <c r="H3448" s="15"/>
    </row>
    <row r="3449" ht="13.65" customHeight="1">
      <c r="A3449" s="21">
        <v>16</v>
      </c>
      <c r="B3449" t="s" s="22">
        <v>693</v>
      </c>
      <c r="C3449" s="23">
        <v>6</v>
      </c>
      <c r="D3449" t="s" s="24">
        <v>444</v>
      </c>
      <c r="E3449" s="25">
        <v>41</v>
      </c>
      <c r="F3449" s="23">
        <v>10</v>
      </c>
      <c r="G3449" s="152" cm="1">
        <f t="array" ref="G3449">SUM(E3449/F3449)</f>
        <v>4.1</v>
      </c>
      <c r="H3449" s="15"/>
    </row>
    <row r="3450" ht="13.65" customHeight="1">
      <c r="A3450" s="21">
        <v>136</v>
      </c>
      <c r="B3450" t="s" s="22">
        <v>696</v>
      </c>
      <c r="C3450" t="s" s="24">
        <v>408</v>
      </c>
      <c r="D3450" t="s" s="24">
        <v>495</v>
      </c>
      <c r="E3450" s="25">
        <v>243</v>
      </c>
      <c r="F3450" s="23">
        <v>20</v>
      </c>
      <c r="G3450" s="152" cm="1">
        <f t="array" ref="G3450">SUM(E3450/F3450)</f>
        <v>12.15</v>
      </c>
      <c r="H3450" s="15"/>
    </row>
    <row r="3451" ht="13.65" customHeight="1">
      <c r="A3451" s="28"/>
      <c r="B3451" s="28"/>
      <c r="C3451" s="27"/>
      <c r="D3451" s="24"/>
      <c r="E3451" s="27"/>
      <c r="F3451" t="s" s="29">
        <v>118</v>
      </c>
      <c r="G3451" s="197" cm="1">
        <f t="array" ref="G3451">SUM(G3433:G3450)</f>
        <v>42.2093317269076</v>
      </c>
      <c r="H3451" s="15"/>
    </row>
    <row r="3452" ht="13.65" customHeight="1">
      <c r="A3452" s="129"/>
      <c r="B3452" s="129"/>
      <c r="C3452" s="129"/>
      <c r="D3452" s="129"/>
      <c r="E3452" s="129"/>
      <c r="F3452" s="31"/>
      <c r="G3452" s="31"/>
      <c r="H3452" s="3"/>
    </row>
    <row r="3453" ht="11.7" customHeight="1">
      <c r="A3453" t="s" s="167">
        <v>136</v>
      </c>
      <c r="B3453" t="s" s="167">
        <v>281</v>
      </c>
      <c r="C3453" t="s" s="167">
        <v>282</v>
      </c>
      <c r="D3453" t="s" s="168">
        <v>283</v>
      </c>
      <c r="E3453" s="169"/>
      <c r="F3453" s="170"/>
      <c r="G3453" s="171"/>
      <c r="H3453" s="171"/>
    </row>
    <row r="3454" ht="13.65" customHeight="1">
      <c r="A3454" s="23">
        <v>140</v>
      </c>
      <c r="B3454" s="172" cm="1">
        <f t="array" ref="B3454">SUM(H256)</f>
        <v>2.47496540404041</v>
      </c>
      <c r="C3454" s="172" cm="1">
        <f t="array" ref="C3454">SUM(G3451)</f>
        <v>42.2093317269076</v>
      </c>
      <c r="D3454" s="199" cm="1">
        <f t="array" ref="D3454">SUM(A3454*B3454)+(C3454)</f>
        <v>388.704488292565</v>
      </c>
      <c r="E3454" s="200"/>
      <c r="F3454" s="15"/>
      <c r="G3454" s="3"/>
      <c r="H3454" s="3"/>
    </row>
    <row r="3455" ht="13.65" customHeight="1">
      <c r="A3455" s="31"/>
      <c r="B3455" s="31"/>
      <c r="C3455" s="31"/>
      <c r="D3455" s="31"/>
      <c r="E3455" s="31"/>
      <c r="F3455" s="3"/>
      <c r="G3455" s="3"/>
      <c r="H3455" s="3"/>
    </row>
    <row r="3456" ht="13.65" customHeight="1">
      <c r="A3456" s="3"/>
      <c r="B3456" s="3"/>
      <c r="C3456" s="3"/>
      <c r="D3456" s="3"/>
      <c r="E3456" s="3"/>
      <c r="F3456" s="3"/>
      <c r="G3456" s="3"/>
      <c r="H3456" s="3"/>
    </row>
    <row r="3457" ht="13.65" customHeight="1">
      <c r="A3457" t="s" s="5">
        <v>763</v>
      </c>
      <c r="B3457" s="3"/>
      <c r="C3457" s="3"/>
      <c r="D3457" s="3"/>
      <c r="E3457" s="3"/>
      <c r="F3457" s="3"/>
      <c r="G3457" s="3"/>
      <c r="H3457" s="3"/>
    </row>
    <row r="3458" ht="13.65" customHeight="1">
      <c r="A3458" s="11"/>
      <c r="B3458" s="11"/>
      <c r="C3458" s="11"/>
      <c r="D3458" s="11"/>
      <c r="E3458" s="11"/>
      <c r="F3458" s="11"/>
      <c r="G3458" s="11"/>
      <c r="H3458" s="3"/>
    </row>
    <row r="3459" ht="13.65" customHeight="1">
      <c r="A3459" s="12"/>
      <c r="B3459" s="12"/>
      <c r="C3459" s="13"/>
      <c r="D3459" s="14"/>
      <c r="E3459" s="13"/>
      <c r="F3459" s="13"/>
      <c r="G3459" t="s" s="14">
        <v>252</v>
      </c>
      <c r="H3459" s="150"/>
    </row>
    <row r="3460" ht="13.65" customHeight="1">
      <c r="A3460" t="s" s="16">
        <v>93</v>
      </c>
      <c r="B3460" t="s" s="16">
        <v>94</v>
      </c>
      <c r="C3460" t="s" s="16">
        <v>95</v>
      </c>
      <c r="D3460" t="s" s="16">
        <v>96</v>
      </c>
      <c r="E3460" t="s" s="16">
        <v>97</v>
      </c>
      <c r="F3460" t="s" s="16">
        <v>98</v>
      </c>
      <c r="G3460" t="s" s="16">
        <v>99</v>
      </c>
      <c r="H3460" s="15"/>
    </row>
    <row r="3461" ht="13.65" customHeight="1">
      <c r="A3461" s="151"/>
      <c r="B3461" s="151"/>
      <c r="C3461" s="19"/>
      <c r="D3461" s="20"/>
      <c r="E3461" s="19"/>
      <c r="F3461" s="19"/>
      <c r="G3461" t="s" s="20">
        <v>100</v>
      </c>
      <c r="H3461" s="15"/>
    </row>
    <row r="3462" ht="13.65" customHeight="1">
      <c r="A3462" s="21">
        <v>72</v>
      </c>
      <c r="B3462" t="s" s="22">
        <v>101</v>
      </c>
      <c r="C3462" s="23">
        <v>50</v>
      </c>
      <c r="D3462" t="s" s="24">
        <v>102</v>
      </c>
      <c r="E3462" s="25">
        <v>1.93</v>
      </c>
      <c r="F3462" s="23">
        <v>25</v>
      </c>
      <c r="G3462" s="152" cm="1">
        <f t="array" ref="G3462">SUM(E3462/F3462)</f>
        <v>0.0772</v>
      </c>
      <c r="H3462" s="15"/>
    </row>
    <row r="3463" ht="13.65" customHeight="1">
      <c r="A3463" s="21">
        <v>123</v>
      </c>
      <c r="B3463" t="s" s="22">
        <v>103</v>
      </c>
      <c r="C3463" s="23">
        <v>40</v>
      </c>
      <c r="D3463" t="s" s="24">
        <v>104</v>
      </c>
      <c r="E3463" s="25">
        <v>3.2</v>
      </c>
      <c r="F3463" s="23">
        <v>40</v>
      </c>
      <c r="G3463" s="152" cm="1">
        <f t="array" ref="G3463">SUM(E3463/F3463)</f>
        <v>0.08</v>
      </c>
      <c r="H3463" s="15"/>
    </row>
    <row r="3464" ht="13.65" customHeight="1">
      <c r="A3464" s="21">
        <v>57</v>
      </c>
      <c r="B3464" t="s" s="22">
        <v>253</v>
      </c>
      <c r="C3464" t="s" s="24">
        <v>389</v>
      </c>
      <c r="D3464" t="s" s="24">
        <v>371</v>
      </c>
      <c r="E3464" s="25">
        <v>4.5</v>
      </c>
      <c r="F3464" s="23">
        <v>33</v>
      </c>
      <c r="G3464" s="152" cm="1">
        <f t="array" ref="G3464">SUM(E3464/F3464)</f>
        <v>0.136363636363636</v>
      </c>
      <c r="H3464" s="15"/>
    </row>
    <row r="3465" ht="13.65" customHeight="1">
      <c r="A3465" s="21">
        <v>65</v>
      </c>
      <c r="B3465" t="s" s="22">
        <v>394</v>
      </c>
      <c r="C3465" s="23">
        <v>500</v>
      </c>
      <c r="D3465" t="s" s="24">
        <v>102</v>
      </c>
      <c r="E3465" s="25">
        <v>26</v>
      </c>
      <c r="F3465" s="23">
        <v>250</v>
      </c>
      <c r="G3465" s="152" cm="1">
        <f t="array" ref="G3465">SUM(E3465/F3465)</f>
        <v>0.104</v>
      </c>
      <c r="H3465" s="15"/>
    </row>
    <row r="3466" ht="13.65" customHeight="1">
      <c r="A3466" s="21">
        <v>86</v>
      </c>
      <c r="B3466" t="s" s="22">
        <v>107</v>
      </c>
      <c r="C3466" s="23">
        <v>1</v>
      </c>
      <c r="D3466" t="s" s="24">
        <v>274</v>
      </c>
      <c r="E3466" s="25">
        <v>0.32</v>
      </c>
      <c r="F3466" t="s" s="24">
        <v>301</v>
      </c>
      <c r="G3466" s="152" cm="1">
        <f t="array" ref="G3466">SUM(E3466*4)</f>
        <v>1.28</v>
      </c>
      <c r="H3466" s="15"/>
    </row>
    <row r="3467" ht="13.65" customHeight="1">
      <c r="A3467" s="21">
        <v>71</v>
      </c>
      <c r="B3467" t="s" s="22">
        <v>109</v>
      </c>
      <c r="C3467" s="23">
        <v>10</v>
      </c>
      <c r="D3467" t="s" s="24">
        <v>274</v>
      </c>
      <c r="E3467" s="25">
        <v>5.92</v>
      </c>
      <c r="F3467" s="23">
        <v>2.5</v>
      </c>
      <c r="G3467" s="152" cm="1">
        <f t="array" ref="G3467">SUM(E3467/F3467)</f>
        <v>2.368</v>
      </c>
      <c r="H3467" s="15"/>
    </row>
    <row r="3468" ht="13.65" customHeight="1">
      <c r="A3468" s="21">
        <v>87</v>
      </c>
      <c r="B3468" t="s" s="22">
        <v>110</v>
      </c>
      <c r="C3468" s="23">
        <v>50</v>
      </c>
      <c r="D3468" t="s" s="24">
        <v>274</v>
      </c>
      <c r="E3468" s="25">
        <v>9</v>
      </c>
      <c r="F3468" s="23">
        <v>12.5</v>
      </c>
      <c r="G3468" s="152" cm="1">
        <f t="array" ref="G3468">SUM(E3468/F3468)</f>
        <v>0.72</v>
      </c>
      <c r="H3468" s="15"/>
    </row>
    <row r="3469" ht="13.65" customHeight="1">
      <c r="A3469" s="21">
        <v>55</v>
      </c>
      <c r="B3469" t="s" s="22">
        <v>111</v>
      </c>
      <c r="C3469" t="s" s="24">
        <v>112</v>
      </c>
      <c r="D3469" t="s" s="24">
        <v>113</v>
      </c>
      <c r="E3469" s="25">
        <v>2.71</v>
      </c>
      <c r="F3469" s="23">
        <v>75</v>
      </c>
      <c r="G3469" s="152" cm="1">
        <f t="array" ref="G3469">SUM(E3469/F3469)</f>
        <v>0.0361333333333333</v>
      </c>
      <c r="H3469" s="15"/>
    </row>
    <row r="3470" ht="13.65" customHeight="1">
      <c r="A3470" s="21">
        <v>44</v>
      </c>
      <c r="B3470" t="s" s="22">
        <v>400</v>
      </c>
      <c r="C3470" s="23">
        <v>1</v>
      </c>
      <c r="D3470" t="s" s="24">
        <v>401</v>
      </c>
      <c r="E3470" s="25">
        <v>74</v>
      </c>
      <c r="F3470" s="23">
        <v>30</v>
      </c>
      <c r="G3470" s="152" cm="1">
        <f t="array" ref="G3470">SUM(E3470/F3470)</f>
        <v>2.46666666666667</v>
      </c>
      <c r="H3470" s="15"/>
    </row>
    <row r="3471" ht="13.65" customHeight="1">
      <c r="A3471" s="21">
        <v>53</v>
      </c>
      <c r="B3471" t="s" s="22">
        <v>383</v>
      </c>
      <c r="C3471" t="s" s="24">
        <v>384</v>
      </c>
      <c r="D3471" t="s" s="24">
        <v>457</v>
      </c>
      <c r="E3471" s="25">
        <v>6.41</v>
      </c>
      <c r="F3471" s="23">
        <v>40</v>
      </c>
      <c r="G3471" s="152" cm="1">
        <f t="array" ref="G3471">SUM(E3471/F3471)</f>
        <v>0.16025</v>
      </c>
      <c r="H3471" s="15"/>
    </row>
    <row r="3472" ht="13.65" customHeight="1">
      <c r="A3472" s="21">
        <v>100</v>
      </c>
      <c r="B3472" t="s" s="22">
        <v>376</v>
      </c>
      <c r="C3472" t="s" s="24">
        <v>377</v>
      </c>
      <c r="D3472" t="s" s="24">
        <v>378</v>
      </c>
      <c r="E3472" s="25">
        <v>4.5</v>
      </c>
      <c r="F3472" s="23">
        <v>40</v>
      </c>
      <c r="G3472" s="152" cm="1">
        <f t="array" ref="G3472">SUM(E3472/F3472)</f>
        <v>0.1125</v>
      </c>
      <c r="H3472" s="15"/>
    </row>
    <row r="3473" ht="13.65" customHeight="1">
      <c r="A3473" s="21">
        <v>124</v>
      </c>
      <c r="B3473" t="s" s="22">
        <v>372</v>
      </c>
      <c r="C3473" s="23">
        <v>1</v>
      </c>
      <c r="D3473" t="s" s="24">
        <v>373</v>
      </c>
      <c r="E3473" s="25">
        <v>2.2</v>
      </c>
      <c r="F3473" s="23">
        <v>15</v>
      </c>
      <c r="G3473" s="152" cm="1">
        <f t="array" ref="G3473">SUM(E3473/F3473)</f>
        <v>0.146666666666667</v>
      </c>
      <c r="H3473" s="15"/>
    </row>
    <row r="3474" ht="13.65" customHeight="1">
      <c r="A3474" s="28"/>
      <c r="B3474" s="28"/>
      <c r="C3474" s="27"/>
      <c r="D3474" s="24"/>
      <c r="E3474" s="27"/>
      <c r="F3474" t="s" s="29">
        <v>118</v>
      </c>
      <c r="G3474" s="197" cm="1">
        <f t="array" ref="G3474">SUM(G3462:G3473)</f>
        <v>7.68778030303031</v>
      </c>
      <c r="H3474" s="15"/>
    </row>
    <row r="3475" ht="13.65" customHeight="1">
      <c r="A3475" s="129"/>
      <c r="B3475" s="129"/>
      <c r="C3475" s="129"/>
      <c r="D3475" s="129"/>
      <c r="E3475" s="129"/>
      <c r="F3475" s="31"/>
      <c r="G3475" s="31"/>
      <c r="H3475" s="3"/>
    </row>
    <row r="3476" ht="11.7" customHeight="1">
      <c r="A3476" t="s" s="167">
        <v>136</v>
      </c>
      <c r="B3476" t="s" s="167">
        <v>281</v>
      </c>
      <c r="C3476" t="s" s="167">
        <v>282</v>
      </c>
      <c r="D3476" t="s" s="168">
        <v>283</v>
      </c>
      <c r="E3476" s="169"/>
      <c r="F3476" s="170"/>
      <c r="G3476" s="171"/>
      <c r="H3476" s="171"/>
    </row>
    <row r="3477" ht="13.65" customHeight="1">
      <c r="A3477" s="23">
        <v>50</v>
      </c>
      <c r="B3477" s="172" cm="1">
        <f t="array" ref="B3477">SUM(H256)</f>
        <v>2.47496540404041</v>
      </c>
      <c r="C3477" s="172" cm="1">
        <f t="array" ref="C3477">SUM(G3474)</f>
        <v>7.68778030303031</v>
      </c>
      <c r="D3477" s="199" cm="1">
        <f t="array" ref="D3477">SUM(A3477*B3477)+(C3477)</f>
        <v>131.436050505051</v>
      </c>
      <c r="E3477" s="200"/>
      <c r="F3477" s="15"/>
      <c r="G3477" s="3"/>
      <c r="H3477" s="3"/>
    </row>
    <row r="3478" ht="13.65" customHeight="1">
      <c r="A3478" s="31"/>
      <c r="B3478" s="31"/>
      <c r="C3478" s="31"/>
      <c r="D3478" s="31"/>
      <c r="E3478" s="31"/>
      <c r="F3478" s="3"/>
      <c r="G3478" s="3"/>
      <c r="H3478" s="3"/>
    </row>
    <row r="3479" ht="13.65" customHeight="1">
      <c r="A3479" s="203"/>
      <c r="B3479" s="203"/>
      <c r="C3479" s="203"/>
      <c r="D3479" s="203"/>
      <c r="E3479" s="203"/>
      <c r="F3479" s="203"/>
      <c r="G3479" s="203"/>
      <c r="H3479" s="203"/>
    </row>
    <row r="3480" ht="13.65" customHeight="1">
      <c r="A3480" t="s" s="274">
        <v>185</v>
      </c>
      <c r="B3480" s="275"/>
      <c r="C3480" s="275"/>
      <c r="D3480" s="275"/>
      <c r="E3480" s="280"/>
      <c r="F3480" s="275"/>
      <c r="G3480" s="275"/>
      <c r="H3480" s="277"/>
    </row>
    <row r="3481" ht="13.65" customHeight="1">
      <c r="A3481" s="278"/>
      <c r="B3481" s="278"/>
      <c r="C3481" s="278"/>
      <c r="D3481" s="278"/>
      <c r="E3481" s="278"/>
      <c r="F3481" s="278"/>
      <c r="G3481" s="278"/>
      <c r="H3481" s="278"/>
    </row>
    <row r="3482" ht="13.65" customHeight="1">
      <c r="A3482" s="3"/>
      <c r="B3482" s="3"/>
      <c r="C3482" s="3"/>
      <c r="D3482" s="3"/>
      <c r="E3482" s="3"/>
      <c r="F3482" s="3"/>
      <c r="G3482" s="3"/>
      <c r="H3482" s="3"/>
    </row>
    <row r="3483" ht="13.65" customHeight="1">
      <c r="A3483" t="s" s="5">
        <v>764</v>
      </c>
      <c r="B3483" s="3"/>
      <c r="C3483" s="3"/>
      <c r="D3483" s="3"/>
      <c r="E3483" s="3"/>
      <c r="F3483" s="3"/>
      <c r="G3483" s="3"/>
      <c r="H3483" s="3"/>
    </row>
    <row r="3484" ht="13.65" customHeight="1">
      <c r="A3484" s="11"/>
      <c r="B3484" s="11"/>
      <c r="C3484" s="11"/>
      <c r="D3484" s="11"/>
      <c r="E3484" s="11"/>
      <c r="F3484" s="11"/>
      <c r="G3484" s="11"/>
      <c r="H3484" s="3"/>
    </row>
    <row r="3485" ht="13.65" customHeight="1">
      <c r="A3485" s="12"/>
      <c r="B3485" s="12"/>
      <c r="C3485" s="13"/>
      <c r="D3485" s="14"/>
      <c r="E3485" s="13"/>
      <c r="F3485" s="13"/>
      <c r="G3485" t="s" s="14">
        <v>252</v>
      </c>
      <c r="H3485" s="150"/>
    </row>
    <row r="3486" ht="13.65" customHeight="1">
      <c r="A3486" t="s" s="16">
        <v>93</v>
      </c>
      <c r="B3486" t="s" s="16">
        <v>94</v>
      </c>
      <c r="C3486" t="s" s="16">
        <v>95</v>
      </c>
      <c r="D3486" t="s" s="16">
        <v>96</v>
      </c>
      <c r="E3486" t="s" s="16">
        <v>97</v>
      </c>
      <c r="F3486" t="s" s="16">
        <v>98</v>
      </c>
      <c r="G3486" t="s" s="16">
        <v>99</v>
      </c>
      <c r="H3486" s="15"/>
    </row>
    <row r="3487" ht="13.65" customHeight="1">
      <c r="A3487" s="151"/>
      <c r="B3487" s="151"/>
      <c r="C3487" s="19"/>
      <c r="D3487" s="20"/>
      <c r="E3487" s="19"/>
      <c r="F3487" s="19"/>
      <c r="G3487" t="s" s="20">
        <v>100</v>
      </c>
      <c r="H3487" s="15"/>
    </row>
    <row r="3488" ht="13.65" customHeight="1">
      <c r="A3488" s="21">
        <v>72</v>
      </c>
      <c r="B3488" t="s" s="22">
        <v>101</v>
      </c>
      <c r="C3488" s="23">
        <v>50</v>
      </c>
      <c r="D3488" t="s" s="24">
        <v>274</v>
      </c>
      <c r="E3488" s="25">
        <v>1.93</v>
      </c>
      <c r="F3488" s="23">
        <v>12.5</v>
      </c>
      <c r="G3488" s="152" cm="1">
        <f t="array" ref="G3488">SUM(E3488/F3488)</f>
        <v>0.1544</v>
      </c>
      <c r="H3488" s="15"/>
    </row>
    <row r="3489" ht="13.65" customHeight="1">
      <c r="A3489" s="21">
        <v>123</v>
      </c>
      <c r="B3489" t="s" s="22">
        <v>103</v>
      </c>
      <c r="C3489" s="23">
        <v>40</v>
      </c>
      <c r="D3489" t="s" s="24">
        <v>102</v>
      </c>
      <c r="E3489" s="25">
        <v>3.2</v>
      </c>
      <c r="F3489" s="23">
        <v>20</v>
      </c>
      <c r="G3489" s="152" cm="1">
        <f t="array" ref="G3489">SUM(E3489/F3489)</f>
        <v>0.16</v>
      </c>
      <c r="H3489" s="15"/>
    </row>
    <row r="3490" ht="13.65" customHeight="1">
      <c r="A3490" s="21">
        <v>57</v>
      </c>
      <c r="B3490" t="s" s="22">
        <v>253</v>
      </c>
      <c r="C3490" t="s" s="24">
        <v>254</v>
      </c>
      <c r="D3490" t="s" s="24">
        <v>757</v>
      </c>
      <c r="E3490" s="25">
        <v>4.5</v>
      </c>
      <c r="F3490" s="23">
        <v>33</v>
      </c>
      <c r="G3490" s="152" cm="1">
        <f t="array" ref="G3490">SUM(E3490/F3490)</f>
        <v>0.136363636363636</v>
      </c>
      <c r="H3490" s="15"/>
    </row>
    <row r="3491" ht="13.65" customHeight="1">
      <c r="A3491" s="21">
        <v>65</v>
      </c>
      <c r="B3491" t="s" s="22">
        <v>394</v>
      </c>
      <c r="C3491" s="23">
        <v>500</v>
      </c>
      <c r="D3491" t="s" s="24">
        <v>460</v>
      </c>
      <c r="E3491" s="25">
        <v>26</v>
      </c>
      <c r="F3491" s="23">
        <v>100</v>
      </c>
      <c r="G3491" s="152" cm="1">
        <f t="array" ref="G3491">SUM(E3491/F3491)</f>
        <v>0.26</v>
      </c>
      <c r="H3491" s="15"/>
    </row>
    <row r="3492" ht="13.65" customHeight="1">
      <c r="A3492" s="21">
        <v>86</v>
      </c>
      <c r="B3492" t="s" s="22">
        <v>107</v>
      </c>
      <c r="C3492" s="23">
        <v>1</v>
      </c>
      <c r="D3492" t="s" s="24">
        <v>274</v>
      </c>
      <c r="E3492" s="25">
        <v>0.32</v>
      </c>
      <c r="F3492" t="s" s="24">
        <v>301</v>
      </c>
      <c r="G3492" s="152" cm="1">
        <f t="array" ref="G3492">SUM(E3492*4)</f>
        <v>1.28</v>
      </c>
      <c r="H3492" s="15"/>
    </row>
    <row r="3493" ht="13.65" customHeight="1">
      <c r="A3493" s="21">
        <v>71</v>
      </c>
      <c r="B3493" t="s" s="22">
        <v>109</v>
      </c>
      <c r="C3493" s="23">
        <v>10</v>
      </c>
      <c r="D3493" t="s" s="24">
        <v>274</v>
      </c>
      <c r="E3493" s="25">
        <v>5.92</v>
      </c>
      <c r="F3493" s="23">
        <v>2.5</v>
      </c>
      <c r="G3493" s="152" cm="1">
        <f t="array" ref="G3493">SUM(E3493/F3493)</f>
        <v>2.368</v>
      </c>
      <c r="H3493" s="15"/>
    </row>
    <row r="3494" ht="13.65" customHeight="1">
      <c r="A3494" s="21">
        <v>87</v>
      </c>
      <c r="B3494" t="s" s="22">
        <v>110</v>
      </c>
      <c r="C3494" s="23">
        <v>50</v>
      </c>
      <c r="D3494" t="s" s="24">
        <v>274</v>
      </c>
      <c r="E3494" s="25">
        <v>9</v>
      </c>
      <c r="F3494" s="23">
        <v>12.5</v>
      </c>
      <c r="G3494" s="152" cm="1">
        <f t="array" ref="G3494">SUM(E3494/F3494)</f>
        <v>0.72</v>
      </c>
      <c r="H3494" s="15"/>
    </row>
    <row r="3495" ht="13.65" customHeight="1">
      <c r="A3495" s="21">
        <v>55</v>
      </c>
      <c r="B3495" t="s" s="22">
        <v>111</v>
      </c>
      <c r="C3495" t="s" s="24">
        <v>112</v>
      </c>
      <c r="D3495" t="s" s="24">
        <v>113</v>
      </c>
      <c r="E3495" s="25">
        <v>2.71</v>
      </c>
      <c r="F3495" s="23">
        <v>75</v>
      </c>
      <c r="G3495" s="152" cm="1">
        <f t="array" ref="G3495">SUM(E3495/F3495)</f>
        <v>0.0361333333333333</v>
      </c>
      <c r="H3495" s="15"/>
    </row>
    <row r="3496" ht="13.65" customHeight="1">
      <c r="A3496" s="21">
        <v>10</v>
      </c>
      <c r="B3496" t="s" s="22">
        <v>395</v>
      </c>
      <c r="C3496" t="s" s="24">
        <v>396</v>
      </c>
      <c r="D3496" t="s" s="24">
        <v>397</v>
      </c>
      <c r="E3496" s="25">
        <v>3.92</v>
      </c>
      <c r="F3496" s="23">
        <v>50</v>
      </c>
      <c r="G3496" s="152" cm="1">
        <f t="array" ref="G3496">SUM(E3496/F3496)</f>
        <v>0.0784</v>
      </c>
      <c r="H3496" s="15"/>
    </row>
    <row r="3497" ht="13.65" customHeight="1">
      <c r="A3497" s="21">
        <v>9</v>
      </c>
      <c r="B3497" t="s" s="22">
        <v>692</v>
      </c>
      <c r="C3497" s="23">
        <v>50</v>
      </c>
      <c r="D3497" t="s" s="24">
        <v>274</v>
      </c>
      <c r="E3497" s="25">
        <v>14</v>
      </c>
      <c r="F3497" s="23">
        <v>12.5</v>
      </c>
      <c r="G3497" s="152" cm="1">
        <f t="array" ref="G3497">SUM(E3497/F3497)</f>
        <v>1.12</v>
      </c>
      <c r="H3497" s="15"/>
    </row>
    <row r="3498" ht="13.65" customHeight="1">
      <c r="A3498" s="21">
        <v>6</v>
      </c>
      <c r="B3498" t="s" s="22">
        <v>399</v>
      </c>
      <c r="C3498" s="23">
        <v>100</v>
      </c>
      <c r="D3498" t="s" s="24">
        <v>104</v>
      </c>
      <c r="E3498" s="25">
        <v>19</v>
      </c>
      <c r="F3498" s="23">
        <v>100</v>
      </c>
      <c r="G3498" s="152" cm="1">
        <f t="array" ref="G3498">SUM(E3498/F3498)</f>
        <v>0.19</v>
      </c>
      <c r="H3498" s="15"/>
    </row>
    <row r="3499" ht="13.65" customHeight="1">
      <c r="A3499" s="21">
        <v>44</v>
      </c>
      <c r="B3499" t="s" s="22">
        <v>400</v>
      </c>
      <c r="C3499" s="23">
        <v>30</v>
      </c>
      <c r="D3499" t="s" s="24">
        <v>401</v>
      </c>
      <c r="E3499" s="25">
        <v>74</v>
      </c>
      <c r="F3499" s="23">
        <v>30</v>
      </c>
      <c r="G3499" s="152" cm="1">
        <f t="array" ref="G3499">SUM(E3499/F3499)</f>
        <v>2.46666666666667</v>
      </c>
      <c r="H3499" s="15"/>
    </row>
    <row r="3500" ht="13.65" customHeight="1">
      <c r="A3500" s="21">
        <v>119</v>
      </c>
      <c r="B3500" t="s" s="22">
        <v>467</v>
      </c>
      <c r="C3500" s="23">
        <v>1</v>
      </c>
      <c r="D3500" t="s" s="24">
        <v>468</v>
      </c>
      <c r="E3500" s="25">
        <v>0.45</v>
      </c>
      <c r="F3500" s="23">
        <v>1</v>
      </c>
      <c r="G3500" s="152" cm="1">
        <f t="array" ref="G3500">SUM(E3500/F3500)</f>
        <v>0.45</v>
      </c>
      <c r="H3500" s="15"/>
    </row>
    <row r="3501" ht="13.65" customHeight="1">
      <c r="A3501" s="21">
        <v>122</v>
      </c>
      <c r="B3501" t="s" s="22">
        <v>489</v>
      </c>
      <c r="C3501" t="s" s="24">
        <v>490</v>
      </c>
      <c r="D3501" t="s" s="24">
        <v>389</v>
      </c>
      <c r="E3501" s="25">
        <v>1.7</v>
      </c>
      <c r="F3501" s="23">
        <v>5</v>
      </c>
      <c r="G3501" s="152" cm="1">
        <f t="array" ref="G3501">SUM(E3501/F3501)</f>
        <v>0.34</v>
      </c>
      <c r="H3501" s="15"/>
    </row>
    <row r="3502" ht="13.65" customHeight="1">
      <c r="A3502" s="21">
        <v>56</v>
      </c>
      <c r="B3502" t="s" s="22">
        <v>471</v>
      </c>
      <c r="C3502" s="23">
        <v>1</v>
      </c>
      <c r="D3502" t="s" s="24">
        <v>102</v>
      </c>
      <c r="E3502" s="25">
        <v>3.5</v>
      </c>
      <c r="F3502" t="s" s="24">
        <v>387</v>
      </c>
      <c r="G3502" s="152" cm="1">
        <f t="array" ref="G3502">SUM(E3502*2)</f>
        <v>7</v>
      </c>
      <c r="H3502" s="15"/>
    </row>
    <row r="3503" ht="13.65" customHeight="1">
      <c r="A3503" s="21">
        <v>78</v>
      </c>
      <c r="B3503" t="s" s="22">
        <v>492</v>
      </c>
      <c r="C3503" s="23">
        <v>1</v>
      </c>
      <c r="D3503" t="s" s="24">
        <v>102</v>
      </c>
      <c r="E3503" s="25">
        <v>1</v>
      </c>
      <c r="F3503" t="s" s="24">
        <v>387</v>
      </c>
      <c r="G3503" s="152" cm="1">
        <f t="array" ref="G3503">SUM(E3503*2)</f>
        <v>2</v>
      </c>
      <c r="H3503" s="15"/>
    </row>
    <row r="3504" ht="13.65" customHeight="1">
      <c r="A3504" s="21">
        <v>116</v>
      </c>
      <c r="B3504" t="s" s="22">
        <v>721</v>
      </c>
      <c r="C3504" t="s" s="24">
        <v>384</v>
      </c>
      <c r="D3504" t="s" s="24">
        <v>640</v>
      </c>
      <c r="E3504" s="25">
        <v>12</v>
      </c>
      <c r="F3504" s="23">
        <v>4</v>
      </c>
      <c r="G3504" s="152" cm="1">
        <f t="array" ref="G3504">SUM(E3504/F3504)</f>
        <v>3</v>
      </c>
      <c r="H3504" s="15"/>
    </row>
    <row r="3505" ht="13.65" customHeight="1">
      <c r="A3505" s="21">
        <v>3</v>
      </c>
      <c r="B3505" t="s" s="22">
        <v>758</v>
      </c>
      <c r="C3505" t="s" s="24">
        <v>753</v>
      </c>
      <c r="D3505" t="s" s="24">
        <v>457</v>
      </c>
      <c r="E3505" s="25">
        <v>8</v>
      </c>
      <c r="F3505" s="23">
        <v>10</v>
      </c>
      <c r="G3505" s="152" cm="1">
        <f t="array" ref="G3505">SUM(E3505/F3505)</f>
        <v>0.8</v>
      </c>
      <c r="H3505" s="15"/>
    </row>
    <row r="3506" ht="13.65" customHeight="1">
      <c r="A3506" s="21">
        <v>100</v>
      </c>
      <c r="B3506" t="s" s="22">
        <v>765</v>
      </c>
      <c r="C3506" t="s" s="24">
        <v>377</v>
      </c>
      <c r="D3506" t="s" s="24">
        <v>378</v>
      </c>
      <c r="E3506" s="25">
        <v>4.5</v>
      </c>
      <c r="F3506" s="23">
        <v>40</v>
      </c>
      <c r="G3506" s="152" cm="1">
        <f t="array" ref="G3506">SUM(E3506/F3506)</f>
        <v>0.1125</v>
      </c>
      <c r="H3506" s="15"/>
    </row>
    <row r="3507" ht="13.65" customHeight="1">
      <c r="A3507" s="21">
        <v>124</v>
      </c>
      <c r="B3507" t="s" s="22">
        <v>766</v>
      </c>
      <c r="C3507" s="23">
        <v>1</v>
      </c>
      <c r="D3507" t="s" s="24">
        <v>373</v>
      </c>
      <c r="E3507" s="25">
        <v>2.2</v>
      </c>
      <c r="F3507" s="23">
        <v>15</v>
      </c>
      <c r="G3507" s="152" cm="1">
        <f t="array" ref="G3507">SUM(E3507/F3507)</f>
        <v>0.146666666666667</v>
      </c>
      <c r="H3507" s="15"/>
    </row>
    <row r="3508" ht="13.65" customHeight="1">
      <c r="A3508" s="28"/>
      <c r="B3508" s="28"/>
      <c r="C3508" s="27"/>
      <c r="D3508" s="24"/>
      <c r="E3508" s="27"/>
      <c r="F3508" t="s" s="29">
        <v>118</v>
      </c>
      <c r="G3508" s="197" cm="1">
        <f t="array" ref="G3508">SUM(G3488:G3507)</f>
        <v>22.8191303030303</v>
      </c>
      <c r="H3508" s="15"/>
    </row>
    <row r="3509" ht="13.65" customHeight="1">
      <c r="A3509" s="129"/>
      <c r="B3509" s="129"/>
      <c r="C3509" s="129"/>
      <c r="D3509" s="129"/>
      <c r="E3509" s="129"/>
      <c r="F3509" s="31"/>
      <c r="G3509" s="31"/>
      <c r="H3509" s="3"/>
    </row>
    <row r="3510" ht="11.7" customHeight="1">
      <c r="A3510" t="s" s="167">
        <v>136</v>
      </c>
      <c r="B3510" t="s" s="167">
        <v>281</v>
      </c>
      <c r="C3510" t="s" s="167">
        <v>282</v>
      </c>
      <c r="D3510" t="s" s="168">
        <v>283</v>
      </c>
      <c r="E3510" s="169"/>
      <c r="F3510" s="170"/>
      <c r="G3510" s="171"/>
      <c r="H3510" s="171"/>
    </row>
    <row r="3511" ht="13.65" customHeight="1">
      <c r="A3511" s="23">
        <v>120</v>
      </c>
      <c r="B3511" s="172" cm="1">
        <f t="array" ref="B3511">SUM(H256)</f>
        <v>2.47496540404041</v>
      </c>
      <c r="C3511" s="172" cm="1">
        <f t="array" ref="C3511">SUM(G3508)</f>
        <v>22.8191303030303</v>
      </c>
      <c r="D3511" s="199" cm="1">
        <f t="array" ref="D3511">SUM(A3511*B3511)+(C3511)</f>
        <v>319.814978787880</v>
      </c>
      <c r="E3511" s="200"/>
      <c r="F3511" s="15"/>
      <c r="G3511" s="3"/>
      <c r="H3511" s="3"/>
    </row>
    <row r="3512" ht="13.65" customHeight="1">
      <c r="A3512" s="31"/>
      <c r="B3512" s="31"/>
      <c r="C3512" s="31"/>
      <c r="D3512" s="31"/>
      <c r="E3512" s="31"/>
      <c r="F3512" s="3"/>
      <c r="G3512" s="3"/>
      <c r="H3512" s="3"/>
    </row>
    <row r="3513" ht="13.65" customHeight="1">
      <c r="A3513" s="203"/>
      <c r="B3513" s="203"/>
      <c r="C3513" s="203"/>
      <c r="D3513" s="203"/>
      <c r="E3513" s="203"/>
      <c r="F3513" s="203"/>
      <c r="G3513" s="203"/>
      <c r="H3513" s="203"/>
    </row>
    <row r="3514" ht="13.65" customHeight="1">
      <c r="A3514" t="s" s="274">
        <v>185</v>
      </c>
      <c r="B3514" s="275"/>
      <c r="C3514" s="275"/>
      <c r="D3514" s="275"/>
      <c r="E3514" s="280"/>
      <c r="F3514" s="275"/>
      <c r="G3514" s="275"/>
      <c r="H3514" s="277"/>
    </row>
    <row r="3515" ht="13.65" customHeight="1">
      <c r="A3515" s="278"/>
      <c r="B3515" s="278"/>
      <c r="C3515" s="278"/>
      <c r="D3515" s="278"/>
      <c r="E3515" s="278"/>
      <c r="F3515" s="278"/>
      <c r="G3515" s="278"/>
      <c r="H3515" s="278"/>
    </row>
    <row r="3516" ht="13.65" customHeight="1">
      <c r="A3516" s="3"/>
      <c r="B3516" s="3"/>
      <c r="C3516" s="3"/>
      <c r="D3516" s="3"/>
      <c r="E3516" s="3"/>
      <c r="F3516" s="3"/>
      <c r="G3516" s="3"/>
      <c r="H3516" s="3"/>
    </row>
    <row r="3517" ht="13.65" customHeight="1">
      <c r="A3517" t="s" s="5">
        <v>767</v>
      </c>
      <c r="B3517" s="3"/>
      <c r="C3517" s="3"/>
      <c r="D3517" s="3"/>
      <c r="E3517" s="3"/>
      <c r="F3517" s="3"/>
      <c r="G3517" s="3"/>
      <c r="H3517" s="3"/>
    </row>
    <row r="3518" ht="13.65" customHeight="1">
      <c r="A3518" s="11"/>
      <c r="B3518" s="11"/>
      <c r="C3518" s="11"/>
      <c r="D3518" s="11"/>
      <c r="E3518" s="11"/>
      <c r="F3518" s="11"/>
      <c r="G3518" s="11"/>
      <c r="H3518" s="3"/>
    </row>
    <row r="3519" ht="13.65" customHeight="1">
      <c r="A3519" s="12"/>
      <c r="B3519" s="12"/>
      <c r="C3519" s="13"/>
      <c r="D3519" s="14"/>
      <c r="E3519" s="13"/>
      <c r="F3519" s="13"/>
      <c r="G3519" t="s" s="14">
        <v>252</v>
      </c>
      <c r="H3519" s="150"/>
    </row>
    <row r="3520" ht="13.65" customHeight="1">
      <c r="A3520" t="s" s="16">
        <v>93</v>
      </c>
      <c r="B3520" t="s" s="16">
        <v>94</v>
      </c>
      <c r="C3520" t="s" s="16">
        <v>95</v>
      </c>
      <c r="D3520" t="s" s="16">
        <v>96</v>
      </c>
      <c r="E3520" t="s" s="16">
        <v>97</v>
      </c>
      <c r="F3520" t="s" s="16">
        <v>98</v>
      </c>
      <c r="G3520" t="s" s="16">
        <v>99</v>
      </c>
      <c r="H3520" s="15"/>
    </row>
    <row r="3521" ht="13.65" customHeight="1">
      <c r="A3521" s="151"/>
      <c r="B3521" s="151"/>
      <c r="C3521" s="19"/>
      <c r="D3521" s="20"/>
      <c r="E3521" s="19"/>
      <c r="F3521" s="19"/>
      <c r="G3521" t="s" s="20">
        <v>100</v>
      </c>
      <c r="H3521" s="15"/>
    </row>
    <row r="3522" ht="13.65" customHeight="1">
      <c r="A3522" s="21">
        <v>72</v>
      </c>
      <c r="B3522" t="s" s="22">
        <v>101</v>
      </c>
      <c r="C3522" s="23">
        <v>50</v>
      </c>
      <c r="D3522" t="s" s="24">
        <v>274</v>
      </c>
      <c r="E3522" s="25">
        <v>1.93</v>
      </c>
      <c r="F3522" s="23">
        <v>12.5</v>
      </c>
      <c r="G3522" s="152" cm="1">
        <f t="array" ref="G3522">SUM(E3522/F3522)</f>
        <v>0.1544</v>
      </c>
      <c r="H3522" s="15"/>
    </row>
    <row r="3523" ht="13.65" customHeight="1">
      <c r="A3523" s="21">
        <v>123</v>
      </c>
      <c r="B3523" t="s" s="22">
        <v>103</v>
      </c>
      <c r="C3523" s="23">
        <v>40</v>
      </c>
      <c r="D3523" t="s" s="24">
        <v>102</v>
      </c>
      <c r="E3523" s="25">
        <v>3.2</v>
      </c>
      <c r="F3523" s="23">
        <v>20</v>
      </c>
      <c r="G3523" s="152" cm="1">
        <f t="array" ref="G3523">SUM(E3523/F3523)</f>
        <v>0.16</v>
      </c>
      <c r="H3523" s="15"/>
    </row>
    <row r="3524" ht="13.65" customHeight="1">
      <c r="A3524" s="21">
        <v>57</v>
      </c>
      <c r="B3524" t="s" s="22">
        <v>253</v>
      </c>
      <c r="C3524" t="s" s="24">
        <v>254</v>
      </c>
      <c r="D3524" t="s" s="24">
        <v>757</v>
      </c>
      <c r="E3524" s="25">
        <v>4.5</v>
      </c>
      <c r="F3524" s="23">
        <v>33</v>
      </c>
      <c r="G3524" s="152" cm="1">
        <f t="array" ref="G3524">SUM(E3524/F3524)</f>
        <v>0.136363636363636</v>
      </c>
      <c r="H3524" s="15"/>
    </row>
    <row r="3525" ht="13.65" customHeight="1">
      <c r="A3525" s="21">
        <v>65</v>
      </c>
      <c r="B3525" t="s" s="22">
        <v>394</v>
      </c>
      <c r="C3525" s="23">
        <v>500</v>
      </c>
      <c r="D3525" t="s" s="24">
        <v>460</v>
      </c>
      <c r="E3525" s="25">
        <v>26</v>
      </c>
      <c r="F3525" s="23">
        <v>100</v>
      </c>
      <c r="G3525" s="152" cm="1">
        <f t="array" ref="G3525">SUM(E3525/F3525)</f>
        <v>0.26</v>
      </c>
      <c r="H3525" s="15"/>
    </row>
    <row r="3526" ht="13.65" customHeight="1">
      <c r="A3526" s="21">
        <v>86</v>
      </c>
      <c r="B3526" t="s" s="22">
        <v>107</v>
      </c>
      <c r="C3526" s="23">
        <v>1</v>
      </c>
      <c r="D3526" t="s" s="24">
        <v>274</v>
      </c>
      <c r="E3526" s="25">
        <v>0.32</v>
      </c>
      <c r="F3526" t="s" s="24">
        <v>301</v>
      </c>
      <c r="G3526" s="152" cm="1">
        <f t="array" ref="G3526">SUM(E3526*4)</f>
        <v>1.28</v>
      </c>
      <c r="H3526" s="15"/>
    </row>
    <row r="3527" ht="13.65" customHeight="1">
      <c r="A3527" s="21">
        <v>71</v>
      </c>
      <c r="B3527" t="s" s="22">
        <v>109</v>
      </c>
      <c r="C3527" s="23">
        <v>10</v>
      </c>
      <c r="D3527" t="s" s="24">
        <v>274</v>
      </c>
      <c r="E3527" s="25">
        <v>5.92</v>
      </c>
      <c r="F3527" s="23">
        <v>2.5</v>
      </c>
      <c r="G3527" s="152" cm="1">
        <f t="array" ref="G3527">SUM(E3527/F3527)</f>
        <v>2.368</v>
      </c>
      <c r="H3527" s="15"/>
    </row>
    <row r="3528" ht="13.65" customHeight="1">
      <c r="A3528" s="21">
        <v>87</v>
      </c>
      <c r="B3528" t="s" s="22">
        <v>110</v>
      </c>
      <c r="C3528" s="23">
        <v>50</v>
      </c>
      <c r="D3528" t="s" s="24">
        <v>274</v>
      </c>
      <c r="E3528" s="25">
        <v>9</v>
      </c>
      <c r="F3528" s="23">
        <v>12.5</v>
      </c>
      <c r="G3528" s="152" cm="1">
        <f t="array" ref="G3528">SUM(E3528/F3528)</f>
        <v>0.72</v>
      </c>
      <c r="H3528" s="15"/>
    </row>
    <row r="3529" ht="13.65" customHeight="1">
      <c r="A3529" s="21">
        <v>55</v>
      </c>
      <c r="B3529" t="s" s="22">
        <v>111</v>
      </c>
      <c r="C3529" t="s" s="24">
        <v>112</v>
      </c>
      <c r="D3529" t="s" s="24">
        <v>113</v>
      </c>
      <c r="E3529" s="25">
        <v>2.71</v>
      </c>
      <c r="F3529" s="23">
        <v>75</v>
      </c>
      <c r="G3529" s="152" cm="1">
        <f t="array" ref="G3529">SUM(E3529/F3529)</f>
        <v>0.0361333333333333</v>
      </c>
      <c r="H3529" s="15"/>
    </row>
    <row r="3530" ht="13.65" customHeight="1">
      <c r="A3530" s="21">
        <v>10</v>
      </c>
      <c r="B3530" t="s" s="22">
        <v>395</v>
      </c>
      <c r="C3530" t="s" s="24">
        <v>396</v>
      </c>
      <c r="D3530" t="s" s="24">
        <v>397</v>
      </c>
      <c r="E3530" s="25">
        <v>3.92</v>
      </c>
      <c r="F3530" s="23">
        <v>50</v>
      </c>
      <c r="G3530" s="152" cm="1">
        <f t="array" ref="G3530">SUM(E3530/F3530)</f>
        <v>0.0784</v>
      </c>
      <c r="H3530" s="15"/>
    </row>
    <row r="3531" ht="13.65" customHeight="1">
      <c r="A3531" s="21">
        <v>9</v>
      </c>
      <c r="B3531" t="s" s="22">
        <v>692</v>
      </c>
      <c r="C3531" s="23">
        <v>50</v>
      </c>
      <c r="D3531" t="s" s="24">
        <v>274</v>
      </c>
      <c r="E3531" s="25">
        <v>14</v>
      </c>
      <c r="F3531" s="23">
        <v>12.5</v>
      </c>
      <c r="G3531" s="152" cm="1">
        <f t="array" ref="G3531">SUM(E3531/F3531)</f>
        <v>1.12</v>
      </c>
      <c r="H3531" s="15"/>
    </row>
    <row r="3532" ht="13.65" customHeight="1">
      <c r="A3532" s="21">
        <v>6</v>
      </c>
      <c r="B3532" t="s" s="22">
        <v>399</v>
      </c>
      <c r="C3532" s="23">
        <v>100</v>
      </c>
      <c r="D3532" t="s" s="24">
        <v>104</v>
      </c>
      <c r="E3532" s="25">
        <v>19</v>
      </c>
      <c r="F3532" s="23">
        <v>100</v>
      </c>
      <c r="G3532" s="152" cm="1">
        <f t="array" ref="G3532">SUM(E3532/F3532)</f>
        <v>0.19</v>
      </c>
      <c r="H3532" s="15"/>
    </row>
    <row r="3533" ht="13.65" customHeight="1">
      <c r="A3533" s="21">
        <v>44</v>
      </c>
      <c r="B3533" t="s" s="22">
        <v>400</v>
      </c>
      <c r="C3533" s="23">
        <v>30</v>
      </c>
      <c r="D3533" t="s" s="24">
        <v>401</v>
      </c>
      <c r="E3533" s="25">
        <v>74</v>
      </c>
      <c r="F3533" s="23">
        <v>30</v>
      </c>
      <c r="G3533" s="152" cm="1">
        <f t="array" ref="G3533">SUM(E3533/F3533)</f>
        <v>2.46666666666667</v>
      </c>
      <c r="H3533" s="15"/>
    </row>
    <row r="3534" ht="13.65" customHeight="1">
      <c r="A3534" s="21">
        <v>119</v>
      </c>
      <c r="B3534" t="s" s="22">
        <v>467</v>
      </c>
      <c r="C3534" s="23">
        <v>1</v>
      </c>
      <c r="D3534" t="s" s="24">
        <v>468</v>
      </c>
      <c r="E3534" s="25">
        <v>0.45</v>
      </c>
      <c r="F3534" s="23">
        <v>1</v>
      </c>
      <c r="G3534" s="152" cm="1">
        <f t="array" ref="G3534">SUM(E3534/F3534)</f>
        <v>0.45</v>
      </c>
      <c r="H3534" s="15"/>
    </row>
    <row r="3535" ht="13.65" customHeight="1">
      <c r="A3535" s="21">
        <v>122</v>
      </c>
      <c r="B3535" t="s" s="22">
        <v>489</v>
      </c>
      <c r="C3535" t="s" s="24">
        <v>490</v>
      </c>
      <c r="D3535" t="s" s="24">
        <v>389</v>
      </c>
      <c r="E3535" s="25">
        <v>1.7</v>
      </c>
      <c r="F3535" s="23">
        <v>5</v>
      </c>
      <c r="G3535" s="152" cm="1">
        <f t="array" ref="G3535">SUM(E3535/F3535)</f>
        <v>0.34</v>
      </c>
      <c r="H3535" s="15"/>
    </row>
    <row r="3536" ht="13.65" customHeight="1">
      <c r="A3536" s="21">
        <v>56</v>
      </c>
      <c r="B3536" t="s" s="22">
        <v>471</v>
      </c>
      <c r="C3536" s="23">
        <v>1</v>
      </c>
      <c r="D3536" t="s" s="24">
        <v>102</v>
      </c>
      <c r="E3536" s="25">
        <v>3.5</v>
      </c>
      <c r="F3536" t="s" s="24">
        <v>387</v>
      </c>
      <c r="G3536" s="152" cm="1">
        <f t="array" ref="G3536">SUM(E3536*2)</f>
        <v>7</v>
      </c>
      <c r="H3536" s="15"/>
    </row>
    <row r="3537" ht="13.65" customHeight="1">
      <c r="A3537" s="21">
        <v>78</v>
      </c>
      <c r="B3537" t="s" s="22">
        <v>492</v>
      </c>
      <c r="C3537" s="23">
        <v>1</v>
      </c>
      <c r="D3537" t="s" s="24">
        <v>102</v>
      </c>
      <c r="E3537" s="25">
        <v>1</v>
      </c>
      <c r="F3537" t="s" s="24">
        <v>387</v>
      </c>
      <c r="G3537" s="152" cm="1">
        <f t="array" ref="G3537">SUM(E3537*2)</f>
        <v>2</v>
      </c>
      <c r="H3537" s="15"/>
    </row>
    <row r="3538" ht="13.65" customHeight="1">
      <c r="A3538" s="21">
        <v>116</v>
      </c>
      <c r="B3538" t="s" s="22">
        <v>721</v>
      </c>
      <c r="C3538" t="s" s="24">
        <v>384</v>
      </c>
      <c r="D3538" t="s" s="24">
        <v>640</v>
      </c>
      <c r="E3538" s="25">
        <v>12</v>
      </c>
      <c r="F3538" s="23">
        <v>4</v>
      </c>
      <c r="G3538" s="152" cm="1">
        <f t="array" ref="G3538">SUM(E3538/F3538)</f>
        <v>3</v>
      </c>
      <c r="H3538" s="15"/>
    </row>
    <row r="3539" ht="13.65" customHeight="1">
      <c r="A3539" s="21">
        <v>3</v>
      </c>
      <c r="B3539" t="s" s="22">
        <v>758</v>
      </c>
      <c r="C3539" t="s" s="24">
        <v>753</v>
      </c>
      <c r="D3539" t="s" s="24">
        <v>457</v>
      </c>
      <c r="E3539" s="25">
        <v>8</v>
      </c>
      <c r="F3539" s="23">
        <v>10</v>
      </c>
      <c r="G3539" s="152" cm="1">
        <f t="array" ref="G3539">SUM(E3539/F3539)</f>
        <v>0.8</v>
      </c>
      <c r="H3539" s="15"/>
    </row>
    <row r="3540" ht="13.65" customHeight="1">
      <c r="A3540" s="21">
        <v>100</v>
      </c>
      <c r="B3540" t="s" s="22">
        <v>765</v>
      </c>
      <c r="C3540" t="s" s="24">
        <v>377</v>
      </c>
      <c r="D3540" t="s" s="24">
        <v>378</v>
      </c>
      <c r="E3540" s="25">
        <v>4.5</v>
      </c>
      <c r="F3540" s="23">
        <v>40</v>
      </c>
      <c r="G3540" s="152" cm="1">
        <f t="array" ref="G3540">SUM(E3540/F3540)</f>
        <v>0.1125</v>
      </c>
      <c r="H3540" s="15"/>
    </row>
    <row r="3541" ht="13.65" customHeight="1">
      <c r="A3541" s="21">
        <v>124</v>
      </c>
      <c r="B3541" t="s" s="22">
        <v>766</v>
      </c>
      <c r="C3541" s="23">
        <v>1</v>
      </c>
      <c r="D3541" t="s" s="24">
        <v>373</v>
      </c>
      <c r="E3541" s="25">
        <v>2.2</v>
      </c>
      <c r="F3541" s="23">
        <v>15</v>
      </c>
      <c r="G3541" s="152" cm="1">
        <f t="array" ref="G3541">SUM(E3541/F3541)</f>
        <v>0.146666666666667</v>
      </c>
      <c r="H3541" s="15"/>
    </row>
    <row r="3542" ht="13.65" customHeight="1">
      <c r="A3542" s="28"/>
      <c r="B3542" s="28"/>
      <c r="C3542" s="27"/>
      <c r="D3542" s="24"/>
      <c r="E3542" s="27"/>
      <c r="F3542" t="s" s="29">
        <v>118</v>
      </c>
      <c r="G3542" s="197" cm="1">
        <f t="array" ref="G3542">SUM(G3522:G3541)</f>
        <v>22.8191303030303</v>
      </c>
      <c r="H3542" s="15"/>
    </row>
    <row r="3543" ht="13.65" customHeight="1">
      <c r="A3543" s="129"/>
      <c r="B3543" s="129"/>
      <c r="C3543" s="129"/>
      <c r="D3543" s="129"/>
      <c r="E3543" s="129"/>
      <c r="F3543" s="31"/>
      <c r="G3543" s="31"/>
      <c r="H3543" s="3"/>
    </row>
    <row r="3544" ht="11.7" customHeight="1">
      <c r="A3544" t="s" s="167">
        <v>136</v>
      </c>
      <c r="B3544" t="s" s="167">
        <v>281</v>
      </c>
      <c r="C3544" t="s" s="167">
        <v>282</v>
      </c>
      <c r="D3544" t="s" s="168">
        <v>283</v>
      </c>
      <c r="E3544" s="169"/>
      <c r="F3544" s="170"/>
      <c r="G3544" s="171"/>
      <c r="H3544" s="171"/>
    </row>
    <row r="3545" ht="13.65" customHeight="1">
      <c r="A3545" s="23">
        <v>120</v>
      </c>
      <c r="B3545" s="172" cm="1">
        <f t="array" ref="B3545">SUM(H256)</f>
        <v>2.47496540404041</v>
      </c>
      <c r="C3545" s="172" cm="1">
        <f t="array" ref="C3545">SUM(G3542)</f>
        <v>22.8191303030303</v>
      </c>
      <c r="D3545" s="199" cm="1">
        <f t="array" ref="D3545">SUM(A3545*B3545)+(C3545)</f>
        <v>319.814978787880</v>
      </c>
      <c r="E3545" s="200"/>
      <c r="F3545" s="15"/>
      <c r="G3545" s="3"/>
      <c r="H3545" s="3"/>
    </row>
    <row r="3546" ht="13.65" customHeight="1">
      <c r="A3546" s="31"/>
      <c r="B3546" s="31"/>
      <c r="C3546" s="31"/>
      <c r="D3546" s="31"/>
      <c r="E3546" s="31"/>
      <c r="F3546" s="3"/>
      <c r="G3546" s="3"/>
      <c r="H3546" s="3"/>
    </row>
    <row r="3547" ht="13.65" customHeight="1">
      <c r="A3547" s="203"/>
      <c r="B3547" s="203"/>
      <c r="C3547" s="203"/>
      <c r="D3547" s="203"/>
      <c r="E3547" s="203"/>
      <c r="F3547" s="203"/>
      <c r="G3547" s="203"/>
      <c r="H3547" s="203"/>
    </row>
    <row r="3548" ht="13.65" customHeight="1">
      <c r="A3548" t="s" s="274">
        <v>185</v>
      </c>
      <c r="B3548" s="275"/>
      <c r="C3548" s="275"/>
      <c r="D3548" s="275"/>
      <c r="E3548" s="280"/>
      <c r="F3548" s="275"/>
      <c r="G3548" s="275"/>
      <c r="H3548" s="277"/>
    </row>
    <row r="3549" ht="13.65" customHeight="1">
      <c r="A3549" s="278"/>
      <c r="B3549" s="278"/>
      <c r="C3549" s="278"/>
      <c r="D3549" s="278"/>
      <c r="E3549" s="278"/>
      <c r="F3549" s="278"/>
      <c r="G3549" s="278"/>
      <c r="H3549" s="278"/>
    </row>
    <row r="3550" ht="13.65" customHeight="1">
      <c r="A3550" s="3"/>
      <c r="B3550" s="3"/>
      <c r="C3550" s="3"/>
      <c r="D3550" s="3"/>
      <c r="E3550" s="3"/>
      <c r="F3550" s="3"/>
      <c r="G3550" s="3"/>
      <c r="H3550" s="3"/>
    </row>
    <row r="3551" ht="13.65" customHeight="1">
      <c r="A3551" t="s" s="5">
        <v>768</v>
      </c>
      <c r="B3551" s="3"/>
      <c r="C3551" s="3"/>
      <c r="D3551" s="3"/>
      <c r="E3551" s="3"/>
      <c r="F3551" s="3"/>
      <c r="G3551" s="3"/>
      <c r="H3551" s="3"/>
    </row>
    <row r="3552" ht="13.65" customHeight="1">
      <c r="A3552" s="11"/>
      <c r="B3552" s="11"/>
      <c r="C3552" s="11"/>
      <c r="D3552" s="11"/>
      <c r="E3552" s="11"/>
      <c r="F3552" s="11"/>
      <c r="G3552" s="11"/>
      <c r="H3552" s="3"/>
    </row>
    <row r="3553" ht="13.65" customHeight="1">
      <c r="A3553" s="12"/>
      <c r="B3553" s="12"/>
      <c r="C3553" s="13"/>
      <c r="D3553" s="14"/>
      <c r="E3553" s="13"/>
      <c r="F3553" s="13"/>
      <c r="G3553" t="s" s="14">
        <v>252</v>
      </c>
      <c r="H3553" s="150"/>
    </row>
    <row r="3554" ht="13.65" customHeight="1">
      <c r="A3554" t="s" s="16">
        <v>93</v>
      </c>
      <c r="B3554" t="s" s="16">
        <v>94</v>
      </c>
      <c r="C3554" t="s" s="16">
        <v>95</v>
      </c>
      <c r="D3554" t="s" s="16">
        <v>96</v>
      </c>
      <c r="E3554" t="s" s="16">
        <v>97</v>
      </c>
      <c r="F3554" t="s" s="16">
        <v>98</v>
      </c>
      <c r="G3554" t="s" s="16">
        <v>99</v>
      </c>
      <c r="H3554" s="15"/>
    </row>
    <row r="3555" ht="13.65" customHeight="1">
      <c r="A3555" s="151"/>
      <c r="B3555" s="151"/>
      <c r="C3555" s="19"/>
      <c r="D3555" s="20"/>
      <c r="E3555" s="19"/>
      <c r="F3555" s="19"/>
      <c r="G3555" t="s" s="20">
        <v>100</v>
      </c>
      <c r="H3555" s="15"/>
    </row>
    <row r="3556" ht="13.65" customHeight="1">
      <c r="A3556" s="21">
        <v>72</v>
      </c>
      <c r="B3556" t="s" s="22">
        <v>101</v>
      </c>
      <c r="C3556" s="23">
        <v>50</v>
      </c>
      <c r="D3556" t="s" s="24">
        <v>274</v>
      </c>
      <c r="E3556" s="25">
        <v>1.93</v>
      </c>
      <c r="F3556" s="23">
        <v>12.5</v>
      </c>
      <c r="G3556" s="152" cm="1">
        <f t="array" ref="G3556">SUM(E3556/F3556)</f>
        <v>0.1544</v>
      </c>
      <c r="H3556" s="15"/>
    </row>
    <row r="3557" ht="13.65" customHeight="1">
      <c r="A3557" s="21">
        <v>123</v>
      </c>
      <c r="B3557" t="s" s="22">
        <v>103</v>
      </c>
      <c r="C3557" s="23">
        <v>40</v>
      </c>
      <c r="D3557" t="s" s="24">
        <v>102</v>
      </c>
      <c r="E3557" s="25">
        <v>3.2</v>
      </c>
      <c r="F3557" s="23">
        <v>20</v>
      </c>
      <c r="G3557" s="152" cm="1">
        <f t="array" ref="G3557">SUM(E3557/F3557)</f>
        <v>0.16</v>
      </c>
      <c r="H3557" s="15"/>
    </row>
    <row r="3558" ht="13.65" customHeight="1">
      <c r="A3558" s="21">
        <v>57</v>
      </c>
      <c r="B3558" t="s" s="22">
        <v>253</v>
      </c>
      <c r="C3558" t="s" s="24">
        <v>254</v>
      </c>
      <c r="D3558" t="s" s="24">
        <v>757</v>
      </c>
      <c r="E3558" s="25">
        <v>4.5</v>
      </c>
      <c r="F3558" s="23">
        <v>33</v>
      </c>
      <c r="G3558" s="152" cm="1">
        <f t="array" ref="G3558">SUM(E3558/F3558)</f>
        <v>0.136363636363636</v>
      </c>
      <c r="H3558" s="15"/>
    </row>
    <row r="3559" ht="13.65" customHeight="1">
      <c r="A3559" s="21">
        <v>65</v>
      </c>
      <c r="B3559" t="s" s="22">
        <v>394</v>
      </c>
      <c r="C3559" s="23">
        <v>500</v>
      </c>
      <c r="D3559" t="s" s="24">
        <v>460</v>
      </c>
      <c r="E3559" s="25">
        <v>26</v>
      </c>
      <c r="F3559" s="23">
        <v>100</v>
      </c>
      <c r="G3559" s="152" cm="1">
        <f t="array" ref="G3559">SUM(E3559/F3559)</f>
        <v>0.26</v>
      </c>
      <c r="H3559" s="15"/>
    </row>
    <row r="3560" ht="13.65" customHeight="1">
      <c r="A3560" s="21">
        <v>86</v>
      </c>
      <c r="B3560" t="s" s="22">
        <v>107</v>
      </c>
      <c r="C3560" s="23">
        <v>1</v>
      </c>
      <c r="D3560" t="s" s="24">
        <v>274</v>
      </c>
      <c r="E3560" s="25">
        <v>0.32</v>
      </c>
      <c r="F3560" t="s" s="24">
        <v>301</v>
      </c>
      <c r="G3560" s="152" cm="1">
        <f t="array" ref="G3560">SUM(E3560*4)</f>
        <v>1.28</v>
      </c>
      <c r="H3560" s="15"/>
    </row>
    <row r="3561" ht="13.65" customHeight="1">
      <c r="A3561" s="21">
        <v>71</v>
      </c>
      <c r="B3561" t="s" s="22">
        <v>109</v>
      </c>
      <c r="C3561" s="23">
        <v>10</v>
      </c>
      <c r="D3561" t="s" s="24">
        <v>274</v>
      </c>
      <c r="E3561" s="25">
        <v>5.92</v>
      </c>
      <c r="F3561" s="23">
        <v>2.5</v>
      </c>
      <c r="G3561" s="152" cm="1">
        <f t="array" ref="G3561">SUM(E3561/F3561)</f>
        <v>2.368</v>
      </c>
      <c r="H3561" s="15"/>
    </row>
    <row r="3562" ht="13.65" customHeight="1">
      <c r="A3562" s="21">
        <v>87</v>
      </c>
      <c r="B3562" t="s" s="22">
        <v>110</v>
      </c>
      <c r="C3562" s="23">
        <v>50</v>
      </c>
      <c r="D3562" t="s" s="24">
        <v>274</v>
      </c>
      <c r="E3562" s="25">
        <v>9</v>
      </c>
      <c r="F3562" s="23">
        <v>12.5</v>
      </c>
      <c r="G3562" s="152" cm="1">
        <f t="array" ref="G3562">SUM(E3562/F3562)</f>
        <v>0.72</v>
      </c>
      <c r="H3562" s="15"/>
    </row>
    <row r="3563" ht="13.65" customHeight="1">
      <c r="A3563" s="21">
        <v>55</v>
      </c>
      <c r="B3563" t="s" s="22">
        <v>111</v>
      </c>
      <c r="C3563" t="s" s="24">
        <v>112</v>
      </c>
      <c r="D3563" t="s" s="24">
        <v>113</v>
      </c>
      <c r="E3563" s="25">
        <v>2.71</v>
      </c>
      <c r="F3563" s="23">
        <v>75</v>
      </c>
      <c r="G3563" s="152" cm="1">
        <f t="array" ref="G3563">SUM(E3563/F3563)</f>
        <v>0.0361333333333333</v>
      </c>
      <c r="H3563" s="15"/>
    </row>
    <row r="3564" ht="13.65" customHeight="1">
      <c r="A3564" s="21">
        <v>10</v>
      </c>
      <c r="B3564" t="s" s="22">
        <v>395</v>
      </c>
      <c r="C3564" t="s" s="24">
        <v>396</v>
      </c>
      <c r="D3564" t="s" s="24">
        <v>397</v>
      </c>
      <c r="E3564" s="25">
        <v>3.92</v>
      </c>
      <c r="F3564" s="23">
        <v>50</v>
      </c>
      <c r="G3564" s="152" cm="1">
        <f t="array" ref="G3564">SUM(E3564/F3564)</f>
        <v>0.0784</v>
      </c>
      <c r="H3564" s="15"/>
    </row>
    <row r="3565" ht="13.65" customHeight="1">
      <c r="A3565" s="21">
        <v>9</v>
      </c>
      <c r="B3565" t="s" s="22">
        <v>692</v>
      </c>
      <c r="C3565" s="23">
        <v>50</v>
      </c>
      <c r="D3565" t="s" s="24">
        <v>274</v>
      </c>
      <c r="E3565" s="25">
        <v>14</v>
      </c>
      <c r="F3565" s="23">
        <v>12.5</v>
      </c>
      <c r="G3565" s="152" cm="1">
        <f t="array" ref="G3565">SUM(E3565/F3565)</f>
        <v>1.12</v>
      </c>
      <c r="H3565" s="15"/>
    </row>
    <row r="3566" ht="13.65" customHeight="1">
      <c r="A3566" s="21">
        <v>6</v>
      </c>
      <c r="B3566" t="s" s="22">
        <v>399</v>
      </c>
      <c r="C3566" s="23">
        <v>100</v>
      </c>
      <c r="D3566" t="s" s="24">
        <v>104</v>
      </c>
      <c r="E3566" s="25">
        <v>19</v>
      </c>
      <c r="F3566" s="23">
        <v>100</v>
      </c>
      <c r="G3566" s="152" cm="1">
        <f t="array" ref="G3566">SUM(E3566/F3566)</f>
        <v>0.19</v>
      </c>
      <c r="H3566" s="15"/>
    </row>
    <row r="3567" ht="13.65" customHeight="1">
      <c r="A3567" s="21">
        <v>44</v>
      </c>
      <c r="B3567" t="s" s="22">
        <v>400</v>
      </c>
      <c r="C3567" s="23">
        <v>30</v>
      </c>
      <c r="D3567" t="s" s="24">
        <v>401</v>
      </c>
      <c r="E3567" s="25">
        <v>74</v>
      </c>
      <c r="F3567" s="23">
        <v>30</v>
      </c>
      <c r="G3567" s="152" cm="1">
        <f t="array" ref="G3567">SUM(E3567/F3567)</f>
        <v>2.46666666666667</v>
      </c>
      <c r="H3567" s="15"/>
    </row>
    <row r="3568" ht="13.65" customHeight="1">
      <c r="A3568" s="21">
        <v>119</v>
      </c>
      <c r="B3568" t="s" s="22">
        <v>467</v>
      </c>
      <c r="C3568" s="23">
        <v>1</v>
      </c>
      <c r="D3568" t="s" s="24">
        <v>468</v>
      </c>
      <c r="E3568" s="25">
        <v>0.45</v>
      </c>
      <c r="F3568" s="23">
        <v>1</v>
      </c>
      <c r="G3568" s="152" cm="1">
        <f t="array" ref="G3568">SUM(E3568/F3568)</f>
        <v>0.45</v>
      </c>
      <c r="H3568" s="15"/>
    </row>
    <row r="3569" ht="13.65" customHeight="1">
      <c r="A3569" s="21">
        <v>122</v>
      </c>
      <c r="B3569" t="s" s="22">
        <v>489</v>
      </c>
      <c r="C3569" t="s" s="24">
        <v>490</v>
      </c>
      <c r="D3569" t="s" s="24">
        <v>389</v>
      </c>
      <c r="E3569" s="25">
        <v>1.7</v>
      </c>
      <c r="F3569" s="23">
        <v>5</v>
      </c>
      <c r="G3569" s="152" cm="1">
        <f t="array" ref="G3569">SUM(E3569/F3569)</f>
        <v>0.34</v>
      </c>
      <c r="H3569" s="15"/>
    </row>
    <row r="3570" ht="13.65" customHeight="1">
      <c r="A3570" s="21">
        <v>56</v>
      </c>
      <c r="B3570" t="s" s="22">
        <v>471</v>
      </c>
      <c r="C3570" s="23">
        <v>1</v>
      </c>
      <c r="D3570" t="s" s="24">
        <v>102</v>
      </c>
      <c r="E3570" s="25">
        <v>3.5</v>
      </c>
      <c r="F3570" t="s" s="24">
        <v>387</v>
      </c>
      <c r="G3570" s="152" cm="1">
        <f t="array" ref="G3570">SUM(E3570*2)</f>
        <v>7</v>
      </c>
      <c r="H3570" s="15"/>
    </row>
    <row r="3571" ht="13.65" customHeight="1">
      <c r="A3571" s="21">
        <v>78</v>
      </c>
      <c r="B3571" t="s" s="22">
        <v>492</v>
      </c>
      <c r="C3571" s="23">
        <v>1</v>
      </c>
      <c r="D3571" t="s" s="24">
        <v>102</v>
      </c>
      <c r="E3571" s="25">
        <v>1</v>
      </c>
      <c r="F3571" t="s" s="24">
        <v>387</v>
      </c>
      <c r="G3571" s="152" cm="1">
        <f t="array" ref="G3571">SUM(E3571*2)</f>
        <v>2</v>
      </c>
      <c r="H3571" s="15"/>
    </row>
    <row r="3572" ht="13.65" customHeight="1">
      <c r="A3572" s="21">
        <v>116</v>
      </c>
      <c r="B3572" t="s" s="22">
        <v>721</v>
      </c>
      <c r="C3572" t="s" s="24">
        <v>384</v>
      </c>
      <c r="D3572" t="s" s="24">
        <v>640</v>
      </c>
      <c r="E3572" s="25">
        <v>12</v>
      </c>
      <c r="F3572" s="23">
        <v>4</v>
      </c>
      <c r="G3572" s="152" cm="1">
        <f t="array" ref="G3572">SUM(E3572/F3572)</f>
        <v>3</v>
      </c>
      <c r="H3572" s="15"/>
    </row>
    <row r="3573" ht="13.65" customHeight="1">
      <c r="A3573" s="21">
        <v>3</v>
      </c>
      <c r="B3573" t="s" s="22">
        <v>758</v>
      </c>
      <c r="C3573" t="s" s="24">
        <v>753</v>
      </c>
      <c r="D3573" t="s" s="24">
        <v>457</v>
      </c>
      <c r="E3573" s="25">
        <v>8</v>
      </c>
      <c r="F3573" s="23">
        <v>10</v>
      </c>
      <c r="G3573" s="152" cm="1">
        <f t="array" ref="G3573">SUM(E3573/F3573)</f>
        <v>0.8</v>
      </c>
      <c r="H3573" s="15"/>
    </row>
    <row r="3574" ht="13.65" customHeight="1">
      <c r="A3574" s="21">
        <v>100</v>
      </c>
      <c r="B3574" t="s" s="22">
        <v>765</v>
      </c>
      <c r="C3574" t="s" s="24">
        <v>377</v>
      </c>
      <c r="D3574" t="s" s="24">
        <v>378</v>
      </c>
      <c r="E3574" s="25">
        <v>4.5</v>
      </c>
      <c r="F3574" s="23">
        <v>40</v>
      </c>
      <c r="G3574" s="152" cm="1">
        <f t="array" ref="G3574">SUM(E3574/F3574)</f>
        <v>0.1125</v>
      </c>
      <c r="H3574" s="15"/>
    </row>
    <row r="3575" ht="13.65" customHeight="1">
      <c r="A3575" s="21">
        <v>124</v>
      </c>
      <c r="B3575" t="s" s="22">
        <v>766</v>
      </c>
      <c r="C3575" s="23">
        <v>1</v>
      </c>
      <c r="D3575" t="s" s="24">
        <v>373</v>
      </c>
      <c r="E3575" s="25">
        <v>2.2</v>
      </c>
      <c r="F3575" s="23">
        <v>15</v>
      </c>
      <c r="G3575" s="152" cm="1">
        <f t="array" ref="G3575">SUM(E3575/F3575)</f>
        <v>0.146666666666667</v>
      </c>
      <c r="H3575" s="15"/>
    </row>
    <row r="3576" ht="13.65" customHeight="1">
      <c r="A3576" s="28"/>
      <c r="B3576" s="28"/>
      <c r="C3576" s="27"/>
      <c r="D3576" s="24"/>
      <c r="E3576" s="27"/>
      <c r="F3576" t="s" s="29">
        <v>118</v>
      </c>
      <c r="G3576" s="197" cm="1">
        <f t="array" ref="G3576">SUM(G3556:G3575)</f>
        <v>22.8191303030303</v>
      </c>
      <c r="H3576" s="15"/>
    </row>
    <row r="3577" ht="13.65" customHeight="1">
      <c r="A3577" s="129"/>
      <c r="B3577" s="129"/>
      <c r="C3577" s="129"/>
      <c r="D3577" s="129"/>
      <c r="E3577" s="129"/>
      <c r="F3577" s="31"/>
      <c r="G3577" s="31"/>
      <c r="H3577" s="3"/>
    </row>
    <row r="3578" ht="11.7" customHeight="1">
      <c r="A3578" t="s" s="167">
        <v>136</v>
      </c>
      <c r="B3578" t="s" s="167">
        <v>281</v>
      </c>
      <c r="C3578" t="s" s="167">
        <v>282</v>
      </c>
      <c r="D3578" t="s" s="168">
        <v>283</v>
      </c>
      <c r="E3578" s="169"/>
      <c r="F3578" s="170"/>
      <c r="G3578" s="171"/>
      <c r="H3578" s="171"/>
    </row>
    <row r="3579" ht="13.65" customHeight="1">
      <c r="A3579" s="23">
        <v>120</v>
      </c>
      <c r="B3579" s="172" cm="1">
        <f t="array" ref="B3579">SUM(H256)</f>
        <v>2.47496540404041</v>
      </c>
      <c r="C3579" s="172" cm="1">
        <f t="array" ref="C3579">SUM(G3576)</f>
        <v>22.8191303030303</v>
      </c>
      <c r="D3579" s="199" cm="1">
        <f t="array" ref="D3579">SUM(A3579*B3579)+(C3579)</f>
        <v>319.814978787880</v>
      </c>
      <c r="E3579" s="200"/>
      <c r="F3579" s="15"/>
      <c r="G3579" s="3"/>
      <c r="H3579" s="3"/>
    </row>
    <row r="3580" ht="13.65" customHeight="1">
      <c r="A3580" s="31"/>
      <c r="B3580" s="31"/>
      <c r="C3580" s="31"/>
      <c r="D3580" s="31"/>
      <c r="E3580" s="31"/>
      <c r="F3580" s="3"/>
      <c r="G3580" s="3"/>
      <c r="H3580" s="3"/>
    </row>
    <row r="3581" ht="13.65" customHeight="1">
      <c r="A3581" s="203"/>
      <c r="B3581" s="203"/>
      <c r="C3581" s="203"/>
      <c r="D3581" s="203"/>
      <c r="E3581" s="203"/>
      <c r="F3581" s="203"/>
      <c r="G3581" s="203"/>
      <c r="H3581" s="203"/>
    </row>
    <row r="3582" ht="13.65" customHeight="1">
      <c r="A3582" t="s" s="274">
        <v>185</v>
      </c>
      <c r="B3582" s="275"/>
      <c r="C3582" s="275"/>
      <c r="D3582" s="275"/>
      <c r="E3582" s="280"/>
      <c r="F3582" s="275"/>
      <c r="G3582" s="275"/>
      <c r="H3582" s="277"/>
    </row>
    <row r="3583" ht="13.65" customHeight="1">
      <c r="A3583" s="278"/>
      <c r="B3583" s="278"/>
      <c r="C3583" s="278"/>
      <c r="D3583" s="278"/>
      <c r="E3583" s="278"/>
      <c r="F3583" s="278"/>
      <c r="G3583" s="278"/>
      <c r="H3583" s="278"/>
    </row>
    <row r="3584" ht="13.65" customHeight="1">
      <c r="A3584" s="3"/>
      <c r="B3584" s="3"/>
      <c r="C3584" s="3"/>
      <c r="D3584" s="3"/>
      <c r="E3584" s="3"/>
      <c r="F3584" s="3"/>
      <c r="G3584" s="3"/>
      <c r="H3584" s="3"/>
    </row>
    <row r="3585" ht="13.65" customHeight="1">
      <c r="A3585" t="s" s="5">
        <v>769</v>
      </c>
      <c r="B3585" s="3"/>
      <c r="C3585" s="3"/>
      <c r="D3585" s="3"/>
      <c r="E3585" s="3"/>
      <c r="F3585" s="3"/>
      <c r="G3585" s="3"/>
      <c r="H3585" s="3"/>
    </row>
    <row r="3586" ht="13.65" customHeight="1">
      <c r="A3586" s="11"/>
      <c r="B3586" s="11"/>
      <c r="C3586" s="11"/>
      <c r="D3586" s="11"/>
      <c r="E3586" s="11"/>
      <c r="F3586" s="11"/>
      <c r="G3586" s="11"/>
      <c r="H3586" s="3"/>
    </row>
    <row r="3587" ht="12" customHeight="1">
      <c r="A3587" s="12"/>
      <c r="B3587" s="12"/>
      <c r="C3587" s="13"/>
      <c r="D3587" s="14"/>
      <c r="E3587" s="13"/>
      <c r="F3587" s="13"/>
      <c r="G3587" t="s" s="14">
        <v>252</v>
      </c>
      <c r="H3587" s="150"/>
    </row>
    <row r="3588" ht="13.65" customHeight="1">
      <c r="A3588" t="s" s="16">
        <v>93</v>
      </c>
      <c r="B3588" t="s" s="16">
        <v>94</v>
      </c>
      <c r="C3588" t="s" s="16">
        <v>95</v>
      </c>
      <c r="D3588" t="s" s="16">
        <v>96</v>
      </c>
      <c r="E3588" t="s" s="16">
        <v>97</v>
      </c>
      <c r="F3588" t="s" s="16">
        <v>98</v>
      </c>
      <c r="G3588" t="s" s="16">
        <v>99</v>
      </c>
      <c r="H3588" s="15"/>
    </row>
    <row r="3589" ht="13.65" customHeight="1">
      <c r="A3589" s="151"/>
      <c r="B3589" s="151"/>
      <c r="C3589" s="19"/>
      <c r="D3589" s="20"/>
      <c r="E3589" s="19"/>
      <c r="F3589" s="19"/>
      <c r="G3589" t="s" s="20">
        <v>100</v>
      </c>
      <c r="H3589" s="15"/>
    </row>
    <row r="3590" ht="13.65" customHeight="1">
      <c r="A3590" s="21">
        <v>72</v>
      </c>
      <c r="B3590" t="s" s="22">
        <v>101</v>
      </c>
      <c r="C3590" s="23">
        <v>50</v>
      </c>
      <c r="D3590" t="s" s="24">
        <v>274</v>
      </c>
      <c r="E3590" s="25">
        <v>1.93</v>
      </c>
      <c r="F3590" s="23">
        <v>12.5</v>
      </c>
      <c r="G3590" s="152" cm="1">
        <f t="array" ref="G3590">SUM(E3590/F3590)</f>
        <v>0.1544</v>
      </c>
      <c r="H3590" s="15"/>
    </row>
    <row r="3591" ht="13.65" customHeight="1">
      <c r="A3591" s="21">
        <v>123</v>
      </c>
      <c r="B3591" t="s" s="22">
        <v>103</v>
      </c>
      <c r="C3591" s="23">
        <v>40</v>
      </c>
      <c r="D3591" t="s" s="24">
        <v>102</v>
      </c>
      <c r="E3591" s="25">
        <v>3.2</v>
      </c>
      <c r="F3591" s="23">
        <v>20</v>
      </c>
      <c r="G3591" s="152" cm="1">
        <f t="array" ref="G3591">SUM(E3591/F3591)</f>
        <v>0.16</v>
      </c>
      <c r="H3591" s="15"/>
    </row>
    <row r="3592" ht="13.65" customHeight="1">
      <c r="A3592" s="21">
        <v>57</v>
      </c>
      <c r="B3592" t="s" s="22">
        <v>253</v>
      </c>
      <c r="C3592" t="s" s="24">
        <v>254</v>
      </c>
      <c r="D3592" t="s" s="24">
        <v>371</v>
      </c>
      <c r="E3592" s="25">
        <v>4.5</v>
      </c>
      <c r="F3592" s="23">
        <v>33</v>
      </c>
      <c r="G3592" s="152" cm="1">
        <f t="array" ref="G3592">SUM(E3592/F3592)</f>
        <v>0.136363636363636</v>
      </c>
      <c r="H3592" s="15"/>
    </row>
    <row r="3593" ht="13.65" customHeight="1">
      <c r="A3593" s="21">
        <v>65</v>
      </c>
      <c r="B3593" t="s" s="22">
        <v>394</v>
      </c>
      <c r="C3593" s="23">
        <v>500</v>
      </c>
      <c r="D3593" t="s" s="24">
        <v>261</v>
      </c>
      <c r="E3593" s="25">
        <v>26</v>
      </c>
      <c r="F3593" s="23">
        <v>25</v>
      </c>
      <c r="G3593" s="152" cm="1">
        <f t="array" ref="G3593">SUM(E3593/F3593)</f>
        <v>1.04</v>
      </c>
      <c r="H3593" s="15"/>
    </row>
    <row r="3594" ht="13.65" customHeight="1">
      <c r="A3594" s="21">
        <v>140</v>
      </c>
      <c r="B3594" t="s" s="22">
        <v>470</v>
      </c>
      <c r="C3594" t="s" s="24">
        <v>108</v>
      </c>
      <c r="D3594" t="s" s="24">
        <v>102</v>
      </c>
      <c r="E3594" s="25">
        <v>1.12</v>
      </c>
      <c r="F3594" t="s" s="24">
        <v>387</v>
      </c>
      <c r="G3594" s="152" cm="1">
        <f t="array" ref="G3594">SUM(E3594*2)</f>
        <v>2.24</v>
      </c>
      <c r="H3594" s="15"/>
    </row>
    <row r="3595" ht="13.65" customHeight="1">
      <c r="A3595" s="21">
        <v>71</v>
      </c>
      <c r="B3595" t="s" s="22">
        <v>109</v>
      </c>
      <c r="C3595" s="23">
        <v>10</v>
      </c>
      <c r="D3595" t="s" s="24">
        <v>274</v>
      </c>
      <c r="E3595" s="25">
        <v>5.92</v>
      </c>
      <c r="F3595" s="23">
        <v>2.5</v>
      </c>
      <c r="G3595" s="152" cm="1">
        <f t="array" ref="G3595">SUM(E3595/F3595)</f>
        <v>2.368</v>
      </c>
      <c r="H3595" s="15"/>
    </row>
    <row r="3596" ht="13.65" customHeight="1">
      <c r="A3596" s="21">
        <v>87</v>
      </c>
      <c r="B3596" t="s" s="22">
        <v>110</v>
      </c>
      <c r="C3596" s="23">
        <v>50</v>
      </c>
      <c r="D3596" t="s" s="24">
        <v>274</v>
      </c>
      <c r="E3596" s="25">
        <v>9</v>
      </c>
      <c r="F3596" s="23">
        <v>12.5</v>
      </c>
      <c r="G3596" s="152" cm="1">
        <f t="array" ref="G3596">SUM(E3596/F3596)</f>
        <v>0.72</v>
      </c>
      <c r="H3596" s="15"/>
    </row>
    <row r="3597" ht="13.65" customHeight="1">
      <c r="A3597" s="21">
        <v>55</v>
      </c>
      <c r="B3597" t="s" s="22">
        <v>111</v>
      </c>
      <c r="C3597" t="s" s="24">
        <v>112</v>
      </c>
      <c r="D3597" t="s" s="24">
        <v>113</v>
      </c>
      <c r="E3597" s="25">
        <v>2.71</v>
      </c>
      <c r="F3597" s="23">
        <v>75</v>
      </c>
      <c r="G3597" s="152" cm="1">
        <f t="array" ref="G3597">SUM(E3597/F3597)</f>
        <v>0.0361333333333333</v>
      </c>
      <c r="H3597" s="15"/>
    </row>
    <row r="3598" ht="13.65" customHeight="1">
      <c r="A3598" s="21">
        <v>10</v>
      </c>
      <c r="B3598" t="s" s="22">
        <v>395</v>
      </c>
      <c r="C3598" t="s" s="24">
        <v>396</v>
      </c>
      <c r="D3598" t="s" s="24">
        <v>397</v>
      </c>
      <c r="E3598" s="25">
        <v>3.92</v>
      </c>
      <c r="F3598" s="23">
        <v>50</v>
      </c>
      <c r="G3598" s="152" cm="1">
        <f t="array" ref="G3598">SUM(E3598/F3598)</f>
        <v>0.0784</v>
      </c>
      <c r="H3598" s="15"/>
    </row>
    <row r="3599" ht="13.65" customHeight="1">
      <c r="A3599" s="21">
        <v>9</v>
      </c>
      <c r="B3599" t="s" s="22">
        <v>692</v>
      </c>
      <c r="C3599" s="23">
        <v>50</v>
      </c>
      <c r="D3599" t="s" s="24">
        <v>274</v>
      </c>
      <c r="E3599" s="25">
        <v>14</v>
      </c>
      <c r="F3599" s="23">
        <v>12.5</v>
      </c>
      <c r="G3599" s="152" cm="1">
        <f t="array" ref="G3599">SUM(E3599/F3599)</f>
        <v>1.12</v>
      </c>
      <c r="H3599" s="15"/>
    </row>
    <row r="3600" ht="13.65" customHeight="1">
      <c r="A3600" s="21">
        <v>6</v>
      </c>
      <c r="B3600" t="s" s="22">
        <v>399</v>
      </c>
      <c r="C3600" s="23">
        <v>100</v>
      </c>
      <c r="D3600" t="s" s="24">
        <v>104</v>
      </c>
      <c r="E3600" s="25">
        <v>19</v>
      </c>
      <c r="F3600" s="23">
        <v>100</v>
      </c>
      <c r="G3600" s="152" cm="1">
        <f t="array" ref="G3600">SUM(E3600/F3600)</f>
        <v>0.19</v>
      </c>
      <c r="H3600" s="15"/>
    </row>
    <row r="3601" ht="13.65" customHeight="1">
      <c r="A3601" s="21">
        <v>23</v>
      </c>
      <c r="B3601" t="s" s="22">
        <v>488</v>
      </c>
      <c r="C3601" s="23">
        <v>1</v>
      </c>
      <c r="D3601" t="s" s="24">
        <v>104</v>
      </c>
      <c r="E3601" s="25">
        <v>11</v>
      </c>
      <c r="F3601" s="23">
        <v>1</v>
      </c>
      <c r="G3601" s="152" cm="1">
        <f t="array" ref="G3601">SUM(E3601/F3601)</f>
        <v>11</v>
      </c>
      <c r="H3601" s="15"/>
    </row>
    <row r="3602" ht="13.65" customHeight="1">
      <c r="A3602" s="21">
        <v>44</v>
      </c>
      <c r="B3602" t="s" s="22">
        <v>400</v>
      </c>
      <c r="C3602" s="23">
        <v>1</v>
      </c>
      <c r="D3602" t="s" s="24">
        <v>401</v>
      </c>
      <c r="E3602" s="25">
        <v>74</v>
      </c>
      <c r="F3602" s="23">
        <v>30</v>
      </c>
      <c r="G3602" s="152" cm="1">
        <f t="array" ref="G3602">SUM(E3602/F3602)</f>
        <v>2.46666666666667</v>
      </c>
      <c r="H3602" s="15"/>
    </row>
    <row r="3603" ht="13.65" customHeight="1">
      <c r="A3603" s="21">
        <v>119</v>
      </c>
      <c r="B3603" t="s" s="22">
        <v>467</v>
      </c>
      <c r="C3603" s="23">
        <v>1</v>
      </c>
      <c r="D3603" t="s" s="24">
        <v>468</v>
      </c>
      <c r="E3603" s="25">
        <v>0.45</v>
      </c>
      <c r="F3603" s="23">
        <v>1</v>
      </c>
      <c r="G3603" s="152" cm="1">
        <f t="array" ref="G3603">SUM(E3603/F3603)</f>
        <v>0.45</v>
      </c>
      <c r="H3603" s="15"/>
    </row>
    <row r="3604" ht="13.65" customHeight="1">
      <c r="A3604" s="21">
        <v>122</v>
      </c>
      <c r="B3604" t="s" s="22">
        <v>489</v>
      </c>
      <c r="C3604" t="s" s="24">
        <v>490</v>
      </c>
      <c r="D3604" t="s" s="24">
        <v>389</v>
      </c>
      <c r="E3604" s="25">
        <v>1.7</v>
      </c>
      <c r="F3604" s="23">
        <v>5</v>
      </c>
      <c r="G3604" s="152" cm="1">
        <f t="array" ref="G3604">SUM(E3604/F3604)</f>
        <v>0.34</v>
      </c>
      <c r="H3604" s="15"/>
    </row>
    <row r="3605" ht="13.65" customHeight="1">
      <c r="A3605" s="21">
        <v>56</v>
      </c>
      <c r="B3605" t="s" s="22">
        <v>471</v>
      </c>
      <c r="C3605" s="23">
        <v>1</v>
      </c>
      <c r="D3605" t="s" s="24">
        <v>104</v>
      </c>
      <c r="E3605" s="25">
        <v>3.5</v>
      </c>
      <c r="F3605" s="23">
        <v>1</v>
      </c>
      <c r="G3605" s="152" cm="1">
        <f t="array" ref="G3605">SUM(E3605/F3605)</f>
        <v>3.5</v>
      </c>
      <c r="H3605" s="15"/>
    </row>
    <row r="3606" ht="13.65" customHeight="1">
      <c r="A3606" s="21">
        <v>16</v>
      </c>
      <c r="B3606" t="s" s="22">
        <v>747</v>
      </c>
      <c r="C3606" s="23">
        <v>3</v>
      </c>
      <c r="D3606" t="s" s="24">
        <v>575</v>
      </c>
      <c r="E3606" s="25">
        <v>41</v>
      </c>
      <c r="F3606" s="23">
        <v>15</v>
      </c>
      <c r="G3606" s="152" cm="1">
        <f t="array" ref="G3606">SUM(E3606/F3606)</f>
        <v>2.73333333333333</v>
      </c>
      <c r="H3606" s="15"/>
    </row>
    <row r="3607" ht="13.65" customHeight="1">
      <c r="A3607" s="21">
        <v>29</v>
      </c>
      <c r="B3607" t="s" s="22">
        <v>493</v>
      </c>
      <c r="C3607" s="23">
        <v>1</v>
      </c>
      <c r="D3607" t="s" s="24">
        <v>401</v>
      </c>
      <c r="E3607" s="25">
        <v>74</v>
      </c>
      <c r="F3607" s="23">
        <v>30</v>
      </c>
      <c r="G3607" s="152" cm="1">
        <f t="array" ref="G3607">SUM(E3607/F3607)</f>
        <v>2.46666666666667</v>
      </c>
      <c r="H3607" s="15"/>
    </row>
    <row r="3608" ht="13.65" customHeight="1">
      <c r="A3608" s="21">
        <v>36</v>
      </c>
      <c r="B3608" t="s" s="22">
        <v>496</v>
      </c>
      <c r="C3608" t="s" s="24">
        <v>497</v>
      </c>
      <c r="D3608" t="s" s="24">
        <v>498</v>
      </c>
      <c r="E3608" s="25">
        <v>13</v>
      </c>
      <c r="F3608" s="23">
        <v>16</v>
      </c>
      <c r="G3608" s="152" cm="1">
        <f t="array" ref="G3608">SUM(E3608/F3608)</f>
        <v>0.8125</v>
      </c>
      <c r="H3608" s="15"/>
    </row>
    <row r="3609" ht="13.65" customHeight="1">
      <c r="A3609" s="21">
        <v>78</v>
      </c>
      <c r="B3609" t="s" s="22">
        <v>492</v>
      </c>
      <c r="C3609" s="23">
        <v>1</v>
      </c>
      <c r="D3609" t="s" s="24">
        <v>104</v>
      </c>
      <c r="E3609" s="25">
        <v>1</v>
      </c>
      <c r="F3609" s="23">
        <v>1</v>
      </c>
      <c r="G3609" s="152" cm="1">
        <f t="array" ref="G3609">SUM(E3609/F3609)</f>
        <v>1</v>
      </c>
      <c r="H3609" s="15"/>
    </row>
    <row r="3610" ht="13.65" customHeight="1">
      <c r="A3610" s="28"/>
      <c r="B3610" s="28"/>
      <c r="C3610" s="27"/>
      <c r="D3610" s="24"/>
      <c r="E3610" s="27"/>
      <c r="F3610" t="s" s="29">
        <v>118</v>
      </c>
      <c r="G3610" s="197" cm="1">
        <f t="array" ref="G3610">SUM(G3590:G3609)</f>
        <v>33.0124636363636</v>
      </c>
      <c r="H3610" s="15"/>
    </row>
    <row r="3611" ht="13.65" customHeight="1">
      <c r="A3611" s="129"/>
      <c r="B3611" s="129"/>
      <c r="C3611" s="129"/>
      <c r="D3611" s="129"/>
      <c r="E3611" s="129"/>
      <c r="F3611" s="31"/>
      <c r="G3611" s="31"/>
      <c r="H3611" s="3"/>
    </row>
    <row r="3612" ht="11.7" customHeight="1">
      <c r="A3612" t="s" s="167">
        <v>136</v>
      </c>
      <c r="B3612" t="s" s="167">
        <v>281</v>
      </c>
      <c r="C3612" t="s" s="167">
        <v>282</v>
      </c>
      <c r="D3612" t="s" s="168">
        <v>283</v>
      </c>
      <c r="E3612" s="169"/>
      <c r="F3612" s="170"/>
      <c r="G3612" s="171"/>
      <c r="H3612" s="171"/>
    </row>
    <row r="3613" ht="13.65" customHeight="1">
      <c r="A3613" s="23">
        <v>95</v>
      </c>
      <c r="B3613" s="172" cm="1">
        <f t="array" ref="B3613">SUM(H256)</f>
        <v>2.47496540404041</v>
      </c>
      <c r="C3613" s="172" cm="1">
        <f t="array" ref="C3613">SUM(G3610)</f>
        <v>33.0124636363636</v>
      </c>
      <c r="D3613" s="199" cm="1">
        <f t="array" ref="D3613">SUM(A3613*B3613)+(C3613)</f>
        <v>268.134177020203</v>
      </c>
      <c r="E3613" s="200"/>
      <c r="F3613" s="15"/>
      <c r="G3613" s="3"/>
      <c r="H3613" s="3"/>
    </row>
    <row r="3614" ht="13.65" customHeight="1">
      <c r="A3614" s="176"/>
      <c r="B3614" s="176"/>
      <c r="C3614" s="292"/>
      <c r="D3614" s="176"/>
      <c r="E3614" s="290"/>
      <c r="F3614" s="3"/>
      <c r="G3614" s="3"/>
      <c r="H3614" s="3"/>
    </row>
    <row r="3615" ht="13.65" customHeight="1">
      <c r="A3615" s="203"/>
      <c r="B3615" s="203"/>
      <c r="C3615" s="203"/>
      <c r="D3615" s="203"/>
      <c r="E3615" s="203"/>
      <c r="F3615" s="203"/>
      <c r="G3615" s="203"/>
      <c r="H3615" s="203"/>
    </row>
    <row r="3616" ht="13.65" customHeight="1">
      <c r="A3616" t="s" s="274">
        <v>185</v>
      </c>
      <c r="B3616" s="275"/>
      <c r="C3616" s="275"/>
      <c r="D3616" s="275"/>
      <c r="E3616" s="280"/>
      <c r="F3616" s="275"/>
      <c r="G3616" s="275"/>
      <c r="H3616" s="277"/>
    </row>
    <row r="3617" ht="13.65" customHeight="1">
      <c r="A3617" s="278"/>
      <c r="B3617" s="278"/>
      <c r="C3617" s="278"/>
      <c r="D3617" s="278"/>
      <c r="E3617" s="278"/>
      <c r="F3617" s="278"/>
      <c r="G3617" s="278"/>
      <c r="H3617" s="278"/>
    </row>
    <row r="3618" ht="13.65" customHeight="1">
      <c r="A3618" s="3"/>
      <c r="B3618" s="3"/>
      <c r="C3618" s="3"/>
      <c r="D3618" s="3"/>
      <c r="E3618" s="3"/>
      <c r="F3618" s="3"/>
      <c r="G3618" s="3"/>
      <c r="H3618" s="3"/>
    </row>
    <row r="3619" ht="13.65" customHeight="1">
      <c r="A3619" t="s" s="5">
        <v>770</v>
      </c>
      <c r="B3619" s="3"/>
      <c r="C3619" s="3"/>
      <c r="D3619" s="3"/>
      <c r="E3619" s="3"/>
      <c r="F3619" s="3"/>
      <c r="G3619" s="3"/>
      <c r="H3619" s="3"/>
    </row>
    <row r="3620" ht="13.65" customHeight="1">
      <c r="A3620" s="11"/>
      <c r="B3620" s="11"/>
      <c r="C3620" s="11"/>
      <c r="D3620" s="11"/>
      <c r="E3620" s="11"/>
      <c r="F3620" s="11"/>
      <c r="G3620" s="11"/>
      <c r="H3620" s="3"/>
    </row>
    <row r="3621" ht="13.65" customHeight="1">
      <c r="A3621" s="12"/>
      <c r="B3621" s="12"/>
      <c r="C3621" s="13"/>
      <c r="D3621" s="14"/>
      <c r="E3621" s="13"/>
      <c r="F3621" s="13"/>
      <c r="G3621" t="s" s="14">
        <v>252</v>
      </c>
      <c r="H3621" s="150"/>
    </row>
    <row r="3622" ht="13.65" customHeight="1">
      <c r="A3622" t="s" s="16">
        <v>93</v>
      </c>
      <c r="B3622" t="s" s="16">
        <v>94</v>
      </c>
      <c r="C3622" t="s" s="16">
        <v>95</v>
      </c>
      <c r="D3622" t="s" s="16">
        <v>96</v>
      </c>
      <c r="E3622" t="s" s="16">
        <v>97</v>
      </c>
      <c r="F3622" t="s" s="16">
        <v>98</v>
      </c>
      <c r="G3622" t="s" s="16">
        <v>99</v>
      </c>
      <c r="H3622" s="15"/>
    </row>
    <row r="3623" ht="13.65" customHeight="1">
      <c r="A3623" s="151"/>
      <c r="B3623" s="151"/>
      <c r="C3623" s="19"/>
      <c r="D3623" s="20"/>
      <c r="E3623" s="19"/>
      <c r="F3623" s="19"/>
      <c r="G3623" t="s" s="20">
        <v>100</v>
      </c>
      <c r="H3623" s="15"/>
    </row>
    <row r="3624" ht="13.65" customHeight="1">
      <c r="A3624" s="21">
        <v>72</v>
      </c>
      <c r="B3624" t="s" s="22">
        <v>101</v>
      </c>
      <c r="C3624" s="23">
        <v>50</v>
      </c>
      <c r="D3624" t="s" s="24">
        <v>608</v>
      </c>
      <c r="E3624" s="25">
        <v>1.93</v>
      </c>
      <c r="F3624" s="23">
        <v>6.25</v>
      </c>
      <c r="G3624" s="152" cm="1">
        <f t="array" ref="G3624">SUM(E3624/F3624)</f>
        <v>0.3088</v>
      </c>
      <c r="H3624" s="15"/>
    </row>
    <row r="3625" ht="13.65" customHeight="1">
      <c r="A3625" s="21">
        <v>123</v>
      </c>
      <c r="B3625" t="s" s="22">
        <v>103</v>
      </c>
      <c r="C3625" s="23">
        <v>40</v>
      </c>
      <c r="D3625" t="s" s="24">
        <v>274</v>
      </c>
      <c r="E3625" s="25">
        <v>3.2</v>
      </c>
      <c r="F3625" s="23">
        <v>10</v>
      </c>
      <c r="G3625" s="152" cm="1">
        <f t="array" ref="G3625">SUM(E3625/F3625)</f>
        <v>0.32</v>
      </c>
      <c r="H3625" s="15"/>
    </row>
    <row r="3626" ht="13.65" customHeight="1">
      <c r="A3626" s="21">
        <v>57</v>
      </c>
      <c r="B3626" t="s" s="22">
        <v>253</v>
      </c>
      <c r="C3626" t="s" s="24">
        <v>254</v>
      </c>
      <c r="D3626" t="s" s="24">
        <v>675</v>
      </c>
      <c r="E3626" s="25">
        <v>4.5</v>
      </c>
      <c r="F3626" s="23">
        <v>16</v>
      </c>
      <c r="G3626" s="152" cm="1">
        <f t="array" ref="G3626">SUM(E3626/F3626)</f>
        <v>0.28125</v>
      </c>
      <c r="H3626" s="15"/>
    </row>
    <row r="3627" ht="13.65" customHeight="1">
      <c r="A3627" s="21">
        <v>65</v>
      </c>
      <c r="B3627" t="s" s="22">
        <v>394</v>
      </c>
      <c r="C3627" s="23">
        <v>500</v>
      </c>
      <c r="D3627" t="s" s="24">
        <v>272</v>
      </c>
      <c r="E3627" s="25">
        <v>26</v>
      </c>
      <c r="F3627" s="23">
        <v>8.33</v>
      </c>
      <c r="G3627" s="152" cm="1">
        <f t="array" ref="G3627">SUM(E3627/F3627)</f>
        <v>3.12124849939976</v>
      </c>
      <c r="H3627" s="15"/>
    </row>
    <row r="3628" ht="13.65" customHeight="1">
      <c r="A3628" s="21">
        <v>140</v>
      </c>
      <c r="B3628" t="s" s="22">
        <v>470</v>
      </c>
      <c r="C3628" t="s" s="24">
        <v>108</v>
      </c>
      <c r="D3628" t="s" s="24">
        <v>102</v>
      </c>
      <c r="E3628" s="25">
        <v>1.12</v>
      </c>
      <c r="F3628" t="s" s="24">
        <v>387</v>
      </c>
      <c r="G3628" s="152" cm="1">
        <f t="array" ref="G3628">SUM(E3628*2)</f>
        <v>2.24</v>
      </c>
      <c r="H3628" s="15"/>
    </row>
    <row r="3629" ht="13.65" customHeight="1">
      <c r="A3629" s="21">
        <v>71</v>
      </c>
      <c r="B3629" t="s" s="22">
        <v>109</v>
      </c>
      <c r="C3629" s="23">
        <v>10</v>
      </c>
      <c r="D3629" t="s" s="24">
        <v>608</v>
      </c>
      <c r="E3629" s="25">
        <v>5.92</v>
      </c>
      <c r="F3629" s="23">
        <v>1.25</v>
      </c>
      <c r="G3629" s="152" cm="1">
        <f t="array" ref="G3629">SUM(E3629/F3629)</f>
        <v>4.736</v>
      </c>
      <c r="H3629" s="15"/>
    </row>
    <row r="3630" ht="13.65" customHeight="1">
      <c r="A3630" s="21">
        <v>87</v>
      </c>
      <c r="B3630" t="s" s="22">
        <v>110</v>
      </c>
      <c r="C3630" s="23">
        <v>50</v>
      </c>
      <c r="D3630" t="s" s="24">
        <v>608</v>
      </c>
      <c r="E3630" s="25">
        <v>9</v>
      </c>
      <c r="F3630" s="23">
        <v>6.25</v>
      </c>
      <c r="G3630" s="152" cm="1">
        <f t="array" ref="G3630">SUM(E3630/F3630)</f>
        <v>1.44</v>
      </c>
      <c r="H3630" s="15"/>
    </row>
    <row r="3631" ht="13.65" customHeight="1">
      <c r="A3631" s="21">
        <v>55</v>
      </c>
      <c r="B3631" t="s" s="22">
        <v>111</v>
      </c>
      <c r="C3631" t="s" s="24">
        <v>112</v>
      </c>
      <c r="D3631" t="s" s="24">
        <v>461</v>
      </c>
      <c r="E3631" s="25">
        <v>2.71</v>
      </c>
      <c r="F3631" s="23">
        <v>37.5</v>
      </c>
      <c r="G3631" s="152" cm="1">
        <f t="array" ref="G3631">SUM(E3631/F3631)</f>
        <v>0.0722666666666667</v>
      </c>
      <c r="H3631" s="15"/>
    </row>
    <row r="3632" ht="13.65" customHeight="1">
      <c r="A3632" s="21">
        <v>10</v>
      </c>
      <c r="B3632" t="s" s="22">
        <v>395</v>
      </c>
      <c r="C3632" t="s" s="24">
        <v>396</v>
      </c>
      <c r="D3632" t="s" s="24">
        <v>462</v>
      </c>
      <c r="E3632" s="25">
        <v>3.92</v>
      </c>
      <c r="F3632" s="23">
        <v>25</v>
      </c>
      <c r="G3632" s="152" cm="1">
        <f t="array" ref="G3632">SUM(E3632/F3632)</f>
        <v>0.1568</v>
      </c>
      <c r="H3632" s="15"/>
    </row>
    <row r="3633" ht="13.65" customHeight="1">
      <c r="A3633" s="21">
        <v>9</v>
      </c>
      <c r="B3633" t="s" s="22">
        <v>692</v>
      </c>
      <c r="C3633" s="23">
        <v>50</v>
      </c>
      <c r="D3633" t="s" s="24">
        <v>608</v>
      </c>
      <c r="E3633" s="25">
        <v>14</v>
      </c>
      <c r="F3633" s="23">
        <v>6.25</v>
      </c>
      <c r="G3633" s="152" cm="1">
        <f t="array" ref="G3633">SUM(E3633/F3633)</f>
        <v>2.24</v>
      </c>
      <c r="H3633" s="15"/>
    </row>
    <row r="3634" ht="13.65" customHeight="1">
      <c r="A3634" s="21">
        <v>6</v>
      </c>
      <c r="B3634" t="s" s="22">
        <v>399</v>
      </c>
      <c r="C3634" s="23">
        <v>100</v>
      </c>
      <c r="D3634" t="s" s="24">
        <v>102</v>
      </c>
      <c r="E3634" s="25">
        <v>19</v>
      </c>
      <c r="F3634" s="23">
        <v>50</v>
      </c>
      <c r="G3634" s="152" cm="1">
        <f t="array" ref="G3634">SUM(E3634/F3634)</f>
        <v>0.38</v>
      </c>
      <c r="H3634" s="15"/>
    </row>
    <row r="3635" ht="13.65" customHeight="1">
      <c r="A3635" s="21">
        <v>23</v>
      </c>
      <c r="B3635" t="s" s="22">
        <v>488</v>
      </c>
      <c r="C3635" s="23">
        <v>1</v>
      </c>
      <c r="D3635" t="s" s="24">
        <v>102</v>
      </c>
      <c r="E3635" s="25">
        <v>11</v>
      </c>
      <c r="F3635" t="s" s="24">
        <v>387</v>
      </c>
      <c r="G3635" s="152" cm="1">
        <f t="array" ref="G3635">SUM(E3635*2)</f>
        <v>22</v>
      </c>
      <c r="H3635" s="15"/>
    </row>
    <row r="3636" ht="13.65" customHeight="1">
      <c r="A3636" s="21">
        <v>44</v>
      </c>
      <c r="B3636" t="s" s="22">
        <v>400</v>
      </c>
      <c r="C3636" s="23">
        <v>1</v>
      </c>
      <c r="D3636" t="s" s="24">
        <v>373</v>
      </c>
      <c r="E3636" s="25">
        <v>74</v>
      </c>
      <c r="F3636" s="23">
        <v>15</v>
      </c>
      <c r="G3636" s="152" cm="1">
        <f t="array" ref="G3636">SUM(E3636/F3636)</f>
        <v>4.93333333333333</v>
      </c>
      <c r="H3636" s="15"/>
    </row>
    <row r="3637" ht="13.65" customHeight="1">
      <c r="A3637" s="21">
        <v>119</v>
      </c>
      <c r="B3637" t="s" s="22">
        <v>467</v>
      </c>
      <c r="C3637" s="23">
        <v>1</v>
      </c>
      <c r="D3637" t="s" s="24">
        <v>102</v>
      </c>
      <c r="E3637" s="25">
        <v>0.45</v>
      </c>
      <c r="F3637" t="s" s="24">
        <v>387</v>
      </c>
      <c r="G3637" s="152" cm="1">
        <f t="array" ref="G3637">SUM(E3637*2)</f>
        <v>0.9</v>
      </c>
      <c r="H3637" s="15"/>
    </row>
    <row r="3638" ht="13.65" customHeight="1">
      <c r="A3638" s="21">
        <v>122</v>
      </c>
      <c r="B3638" t="s" s="22">
        <v>489</v>
      </c>
      <c r="C3638" t="s" s="24">
        <v>490</v>
      </c>
      <c r="D3638" t="s" s="24">
        <v>389</v>
      </c>
      <c r="E3638" s="25">
        <v>1.7</v>
      </c>
      <c r="F3638" s="23">
        <v>5</v>
      </c>
      <c r="G3638" s="152" cm="1">
        <f t="array" ref="G3638">SUM(E3638/F3638)</f>
        <v>0.34</v>
      </c>
      <c r="H3638" s="15"/>
    </row>
    <row r="3639" ht="13.65" customHeight="1">
      <c r="A3639" s="21">
        <v>56</v>
      </c>
      <c r="B3639" t="s" s="22">
        <v>471</v>
      </c>
      <c r="C3639" s="23">
        <v>1</v>
      </c>
      <c r="D3639" t="s" s="24">
        <v>102</v>
      </c>
      <c r="E3639" s="25">
        <v>3.5</v>
      </c>
      <c r="F3639" t="s" s="24">
        <v>387</v>
      </c>
      <c r="G3639" s="152" cm="1">
        <f t="array" ref="G3639">SUM(E3639*2)</f>
        <v>7</v>
      </c>
      <c r="H3639" s="15"/>
    </row>
    <row r="3640" ht="13.65" customHeight="1">
      <c r="A3640" s="21">
        <v>16</v>
      </c>
      <c r="B3640" t="s" s="22">
        <v>693</v>
      </c>
      <c r="C3640" s="23">
        <v>3</v>
      </c>
      <c r="D3640" t="s" s="24">
        <v>771</v>
      </c>
      <c r="E3640" s="25">
        <v>41</v>
      </c>
      <c r="F3640" s="23">
        <v>7.5</v>
      </c>
      <c r="G3640" s="152" cm="1">
        <f t="array" ref="G3640">SUM(E3640/F3640)</f>
        <v>5.46666666666667</v>
      </c>
      <c r="H3640" s="15"/>
    </row>
    <row r="3641" ht="13.65" customHeight="1">
      <c r="A3641" s="21">
        <v>29</v>
      </c>
      <c r="B3641" t="s" s="22">
        <v>493</v>
      </c>
      <c r="C3641" s="23">
        <v>1</v>
      </c>
      <c r="D3641" t="s" s="24">
        <v>373</v>
      </c>
      <c r="E3641" s="25">
        <v>74</v>
      </c>
      <c r="F3641" s="23">
        <v>15</v>
      </c>
      <c r="G3641" s="152" cm="1">
        <f t="array" ref="G3641">SUM(E3641/F3641)</f>
        <v>4.93333333333333</v>
      </c>
      <c r="H3641" s="15"/>
    </row>
    <row r="3642" ht="13.65" customHeight="1">
      <c r="A3642" s="21">
        <v>36</v>
      </c>
      <c r="B3642" t="s" s="22">
        <v>496</v>
      </c>
      <c r="C3642" t="s" s="24">
        <v>497</v>
      </c>
      <c r="D3642" t="s" s="24">
        <v>648</v>
      </c>
      <c r="E3642" s="25">
        <v>13</v>
      </c>
      <c r="F3642" s="23">
        <v>8</v>
      </c>
      <c r="G3642" s="152" cm="1">
        <f t="array" ref="G3642">SUM(E3642/F3642)</f>
        <v>1.625</v>
      </c>
      <c r="H3642" s="15"/>
    </row>
    <row r="3643" ht="13.65" customHeight="1">
      <c r="A3643" s="21">
        <v>78</v>
      </c>
      <c r="B3643" t="s" s="22">
        <v>492</v>
      </c>
      <c r="C3643" s="23">
        <v>1</v>
      </c>
      <c r="D3643" t="s" s="24">
        <v>274</v>
      </c>
      <c r="E3643" s="25">
        <v>1</v>
      </c>
      <c r="F3643" t="s" s="24">
        <v>301</v>
      </c>
      <c r="G3643" s="152" cm="1">
        <f t="array" ref="G3643">SUM(E3643*4)</f>
        <v>4</v>
      </c>
      <c r="H3643" s="15"/>
    </row>
    <row r="3644" ht="13.65" customHeight="1">
      <c r="A3644" s="21">
        <v>116</v>
      </c>
      <c r="B3644" t="s" s="22">
        <v>721</v>
      </c>
      <c r="C3644" t="s" s="24">
        <v>384</v>
      </c>
      <c r="D3644" t="s" s="24">
        <v>772</v>
      </c>
      <c r="E3644" s="25">
        <v>12</v>
      </c>
      <c r="F3644" s="23">
        <v>2</v>
      </c>
      <c r="G3644" s="152" cm="1">
        <f t="array" ref="G3644">SUM(E3644/F3644)</f>
        <v>6</v>
      </c>
      <c r="H3644" s="15"/>
    </row>
    <row r="3645" ht="13.65" customHeight="1">
      <c r="A3645" s="21">
        <v>137</v>
      </c>
      <c r="B3645" t="s" s="22">
        <v>773</v>
      </c>
      <c r="C3645" s="23">
        <v>1</v>
      </c>
      <c r="D3645" t="s" s="24">
        <v>104</v>
      </c>
      <c r="E3645" s="25">
        <v>130</v>
      </c>
      <c r="F3645" s="23">
        <v>1</v>
      </c>
      <c r="G3645" s="152" cm="1">
        <f t="array" ref="G3645">SUM(E3645/F3645)</f>
        <v>130</v>
      </c>
      <c r="H3645" s="15"/>
    </row>
    <row r="3646" ht="13.65" customHeight="1">
      <c r="A3646" s="28"/>
      <c r="B3646" s="28"/>
      <c r="C3646" s="27"/>
      <c r="D3646" s="24"/>
      <c r="E3646" s="27"/>
      <c r="F3646" t="s" s="29">
        <v>118</v>
      </c>
      <c r="G3646" s="197" cm="1">
        <f t="array" ref="G3646">SUM(G3624:G3645)</f>
        <v>202.4946984994</v>
      </c>
      <c r="H3646" s="15"/>
    </row>
    <row r="3647" ht="13.65" customHeight="1">
      <c r="A3647" s="129"/>
      <c r="B3647" s="129"/>
      <c r="C3647" s="129"/>
      <c r="D3647" s="129"/>
      <c r="E3647" s="129"/>
      <c r="F3647" s="31"/>
      <c r="G3647" s="31"/>
      <c r="H3647" s="3"/>
    </row>
    <row r="3648" ht="11.7" customHeight="1">
      <c r="A3648" t="s" s="167">
        <v>136</v>
      </c>
      <c r="B3648" t="s" s="167">
        <v>281</v>
      </c>
      <c r="C3648" t="s" s="167">
        <v>282</v>
      </c>
      <c r="D3648" t="s" s="168">
        <v>283</v>
      </c>
      <c r="E3648" s="169"/>
      <c r="F3648" s="170"/>
      <c r="G3648" s="171"/>
      <c r="H3648" s="171"/>
    </row>
    <row r="3649" ht="13.65" customHeight="1">
      <c r="A3649" s="23">
        <v>180</v>
      </c>
      <c r="B3649" s="172" cm="1">
        <f t="array" ref="B3649">SUM(H256)</f>
        <v>2.47496540404041</v>
      </c>
      <c r="C3649" s="172" cm="1">
        <f t="array" ref="C3649">SUM(G3646)</f>
        <v>202.4946984994</v>
      </c>
      <c r="D3649" s="199" cm="1">
        <f t="array" ref="D3649">SUM(A3649*B3649)+(C3649)</f>
        <v>647.9884712266741</v>
      </c>
      <c r="E3649" s="200"/>
      <c r="F3649" s="15"/>
      <c r="G3649" s="3"/>
      <c r="H3649" s="3"/>
    </row>
    <row r="3650" ht="13.65" customHeight="1">
      <c r="A3650" s="31"/>
      <c r="B3650" s="31"/>
      <c r="C3650" s="31"/>
      <c r="D3650" s="31"/>
      <c r="E3650" s="31"/>
      <c r="F3650" s="3"/>
      <c r="G3650" s="3"/>
      <c r="H3650" s="3"/>
    </row>
    <row r="3651" ht="13.65" customHeight="1">
      <c r="A3651" s="203"/>
      <c r="B3651" s="203"/>
      <c r="C3651" s="203"/>
      <c r="D3651" s="203"/>
      <c r="E3651" s="203"/>
      <c r="F3651" s="203"/>
      <c r="G3651" s="203"/>
      <c r="H3651" s="203"/>
    </row>
    <row r="3652" ht="13.65" customHeight="1">
      <c r="A3652" t="s" s="274">
        <v>185</v>
      </c>
      <c r="B3652" s="275"/>
      <c r="C3652" s="275"/>
      <c r="D3652" s="275"/>
      <c r="E3652" s="280"/>
      <c r="F3652" s="275"/>
      <c r="G3652" s="275"/>
      <c r="H3652" s="277"/>
    </row>
    <row r="3653" ht="13.65" customHeight="1">
      <c r="A3653" s="278"/>
      <c r="B3653" s="278"/>
      <c r="C3653" s="278"/>
      <c r="D3653" s="278"/>
      <c r="E3653" s="278"/>
      <c r="F3653" s="278"/>
      <c r="G3653" s="278"/>
      <c r="H3653" s="278"/>
    </row>
    <row r="3654" ht="13.65" customHeight="1">
      <c r="A3654" s="3"/>
      <c r="B3654" s="3"/>
      <c r="C3654" s="3"/>
      <c r="D3654" s="3"/>
      <c r="E3654" s="3"/>
      <c r="F3654" s="3"/>
      <c r="G3654" s="3"/>
      <c r="H3654" s="3"/>
    </row>
    <row r="3655" ht="13.65" customHeight="1">
      <c r="A3655" t="s" s="5">
        <v>774</v>
      </c>
      <c r="B3655" s="3"/>
      <c r="C3655" s="3"/>
      <c r="D3655" s="3"/>
      <c r="E3655" s="3"/>
      <c r="F3655" s="3"/>
      <c r="G3655" s="3"/>
      <c r="H3655" s="3"/>
    </row>
    <row r="3656" ht="13.65" customHeight="1">
      <c r="A3656" s="11"/>
      <c r="B3656" s="11"/>
      <c r="C3656" s="11"/>
      <c r="D3656" s="11"/>
      <c r="E3656" s="11"/>
      <c r="F3656" s="11"/>
      <c r="G3656" s="11"/>
      <c r="H3656" s="3"/>
    </row>
    <row r="3657" ht="13.65" customHeight="1">
      <c r="A3657" s="12"/>
      <c r="B3657" s="12"/>
      <c r="C3657" s="13"/>
      <c r="D3657" s="14"/>
      <c r="E3657" s="13"/>
      <c r="F3657" s="13"/>
      <c r="G3657" t="s" s="14">
        <v>252</v>
      </c>
      <c r="H3657" s="150"/>
    </row>
    <row r="3658" ht="13.65" customHeight="1">
      <c r="A3658" t="s" s="16">
        <v>93</v>
      </c>
      <c r="B3658" t="s" s="16">
        <v>94</v>
      </c>
      <c r="C3658" t="s" s="16">
        <v>95</v>
      </c>
      <c r="D3658" t="s" s="16">
        <v>96</v>
      </c>
      <c r="E3658" t="s" s="16">
        <v>97</v>
      </c>
      <c r="F3658" t="s" s="16">
        <v>98</v>
      </c>
      <c r="G3658" t="s" s="16">
        <v>99</v>
      </c>
      <c r="H3658" s="15"/>
    </row>
    <row r="3659" ht="13.65" customHeight="1">
      <c r="A3659" s="151"/>
      <c r="B3659" s="151"/>
      <c r="C3659" s="19"/>
      <c r="D3659" s="20"/>
      <c r="E3659" s="19"/>
      <c r="F3659" s="19"/>
      <c r="G3659" t="s" s="20">
        <v>100</v>
      </c>
      <c r="H3659" s="15"/>
    </row>
    <row r="3660" ht="13.65" customHeight="1">
      <c r="A3660" s="21">
        <v>72</v>
      </c>
      <c r="B3660" t="s" s="22">
        <v>101</v>
      </c>
      <c r="C3660" s="23">
        <v>50</v>
      </c>
      <c r="D3660" t="s" s="24">
        <v>608</v>
      </c>
      <c r="E3660" s="25">
        <v>1.93</v>
      </c>
      <c r="F3660" s="23">
        <v>6.25</v>
      </c>
      <c r="G3660" s="152" cm="1">
        <f t="array" ref="G3660">SUM(E3660/F3660)</f>
        <v>0.3088</v>
      </c>
      <c r="H3660" s="15"/>
    </row>
    <row r="3661" ht="13.65" customHeight="1">
      <c r="A3661" s="21">
        <v>123</v>
      </c>
      <c r="B3661" t="s" s="22">
        <v>103</v>
      </c>
      <c r="C3661" s="23">
        <v>40</v>
      </c>
      <c r="D3661" t="s" s="24">
        <v>274</v>
      </c>
      <c r="E3661" s="25">
        <v>3.2</v>
      </c>
      <c r="F3661" s="23">
        <v>10</v>
      </c>
      <c r="G3661" s="152" cm="1">
        <f t="array" ref="G3661">SUM(E3661/F3661)</f>
        <v>0.32</v>
      </c>
      <c r="H3661" s="15"/>
    </row>
    <row r="3662" ht="13.65" customHeight="1">
      <c r="A3662" s="21">
        <v>57</v>
      </c>
      <c r="B3662" t="s" s="22">
        <v>253</v>
      </c>
      <c r="C3662" t="s" s="24">
        <v>254</v>
      </c>
      <c r="D3662" t="s" s="24">
        <v>675</v>
      </c>
      <c r="E3662" s="25">
        <v>4.5</v>
      </c>
      <c r="F3662" s="23">
        <v>16</v>
      </c>
      <c r="G3662" s="152" cm="1">
        <f t="array" ref="G3662">SUM(E3662/F3662)</f>
        <v>0.28125</v>
      </c>
      <c r="H3662" s="15"/>
    </row>
    <row r="3663" ht="13.65" customHeight="1">
      <c r="A3663" s="21">
        <v>65</v>
      </c>
      <c r="B3663" t="s" s="22">
        <v>394</v>
      </c>
      <c r="C3663" s="23">
        <v>500</v>
      </c>
      <c r="D3663" t="s" s="24">
        <v>272</v>
      </c>
      <c r="E3663" s="25">
        <v>26</v>
      </c>
      <c r="F3663" s="23">
        <v>8.33</v>
      </c>
      <c r="G3663" s="152" cm="1">
        <f t="array" ref="G3663">SUM(E3663/F3663)</f>
        <v>3.12124849939976</v>
      </c>
      <c r="H3663" s="15"/>
    </row>
    <row r="3664" ht="13.65" customHeight="1">
      <c r="A3664" s="21">
        <v>140</v>
      </c>
      <c r="B3664" t="s" s="22">
        <v>470</v>
      </c>
      <c r="C3664" t="s" s="24">
        <v>108</v>
      </c>
      <c r="D3664" t="s" s="24">
        <v>102</v>
      </c>
      <c r="E3664" s="25">
        <v>1.12</v>
      </c>
      <c r="F3664" t="s" s="24">
        <v>387</v>
      </c>
      <c r="G3664" s="152" cm="1">
        <f t="array" ref="G3664">SUM(E3664*2)</f>
        <v>2.24</v>
      </c>
      <c r="H3664" s="15"/>
    </row>
    <row r="3665" ht="13.65" customHeight="1">
      <c r="A3665" s="21">
        <v>71</v>
      </c>
      <c r="B3665" t="s" s="22">
        <v>109</v>
      </c>
      <c r="C3665" s="23">
        <v>10</v>
      </c>
      <c r="D3665" t="s" s="24">
        <v>608</v>
      </c>
      <c r="E3665" s="25">
        <v>5.92</v>
      </c>
      <c r="F3665" s="23">
        <v>1.25</v>
      </c>
      <c r="G3665" s="152" cm="1">
        <f t="array" ref="G3665">SUM(E3665/F3665)</f>
        <v>4.736</v>
      </c>
      <c r="H3665" s="15"/>
    </row>
    <row r="3666" ht="13.65" customHeight="1">
      <c r="A3666" s="21">
        <v>87</v>
      </c>
      <c r="B3666" t="s" s="22">
        <v>110</v>
      </c>
      <c r="C3666" s="23">
        <v>50</v>
      </c>
      <c r="D3666" t="s" s="24">
        <v>608</v>
      </c>
      <c r="E3666" s="25">
        <v>9</v>
      </c>
      <c r="F3666" s="23">
        <v>6.25</v>
      </c>
      <c r="G3666" s="152" cm="1">
        <f t="array" ref="G3666">SUM(E3666/F3666)</f>
        <v>1.44</v>
      </c>
      <c r="H3666" s="15"/>
    </row>
    <row r="3667" ht="13.65" customHeight="1">
      <c r="A3667" s="21">
        <v>55</v>
      </c>
      <c r="B3667" t="s" s="22">
        <v>111</v>
      </c>
      <c r="C3667" t="s" s="24">
        <v>112</v>
      </c>
      <c r="D3667" t="s" s="24">
        <v>461</v>
      </c>
      <c r="E3667" s="25">
        <v>2.71</v>
      </c>
      <c r="F3667" s="23">
        <v>37.5</v>
      </c>
      <c r="G3667" s="152" cm="1">
        <f t="array" ref="G3667">SUM(E3667/F3667)</f>
        <v>0.0722666666666667</v>
      </c>
      <c r="H3667" s="15"/>
    </row>
    <row r="3668" ht="13.65" customHeight="1">
      <c r="A3668" s="21">
        <v>10</v>
      </c>
      <c r="B3668" t="s" s="22">
        <v>395</v>
      </c>
      <c r="C3668" t="s" s="24">
        <v>396</v>
      </c>
      <c r="D3668" t="s" s="24">
        <v>462</v>
      </c>
      <c r="E3668" s="25">
        <v>3.92</v>
      </c>
      <c r="F3668" s="23">
        <v>25</v>
      </c>
      <c r="G3668" s="152" cm="1">
        <f t="array" ref="G3668">SUM(E3668/F3668)</f>
        <v>0.1568</v>
      </c>
      <c r="H3668" s="15"/>
    </row>
    <row r="3669" ht="13.65" customHeight="1">
      <c r="A3669" s="21">
        <v>9</v>
      </c>
      <c r="B3669" t="s" s="22">
        <v>692</v>
      </c>
      <c r="C3669" s="23">
        <v>50</v>
      </c>
      <c r="D3669" t="s" s="24">
        <v>608</v>
      </c>
      <c r="E3669" s="25">
        <v>14</v>
      </c>
      <c r="F3669" s="23">
        <v>6.25</v>
      </c>
      <c r="G3669" s="152" cm="1">
        <f t="array" ref="G3669">SUM(E3669/F3669)</f>
        <v>2.24</v>
      </c>
      <c r="H3669" s="15"/>
    </row>
    <row r="3670" ht="13.65" customHeight="1">
      <c r="A3670" s="21">
        <v>6</v>
      </c>
      <c r="B3670" t="s" s="22">
        <v>399</v>
      </c>
      <c r="C3670" s="23">
        <v>100</v>
      </c>
      <c r="D3670" t="s" s="24">
        <v>102</v>
      </c>
      <c r="E3670" s="25">
        <v>19</v>
      </c>
      <c r="F3670" s="23">
        <v>50</v>
      </c>
      <c r="G3670" s="152" cm="1">
        <f t="array" ref="G3670">SUM(E3670/F3670)</f>
        <v>0.38</v>
      </c>
      <c r="H3670" s="15"/>
    </row>
    <row r="3671" ht="13.65" customHeight="1">
      <c r="A3671" s="21">
        <v>23</v>
      </c>
      <c r="B3671" t="s" s="22">
        <v>488</v>
      </c>
      <c r="C3671" s="23">
        <v>1</v>
      </c>
      <c r="D3671" t="s" s="24">
        <v>102</v>
      </c>
      <c r="E3671" s="25">
        <v>11</v>
      </c>
      <c r="F3671" t="s" s="24">
        <v>387</v>
      </c>
      <c r="G3671" s="152" cm="1">
        <f t="array" ref="G3671">SUM(E3671*2)</f>
        <v>22</v>
      </c>
      <c r="H3671" s="15"/>
    </row>
    <row r="3672" ht="13.65" customHeight="1">
      <c r="A3672" s="21">
        <v>44</v>
      </c>
      <c r="B3672" t="s" s="22">
        <v>400</v>
      </c>
      <c r="C3672" s="23">
        <v>1</v>
      </c>
      <c r="D3672" t="s" s="24">
        <v>373</v>
      </c>
      <c r="E3672" s="25">
        <v>74</v>
      </c>
      <c r="F3672" s="23">
        <v>15</v>
      </c>
      <c r="G3672" s="152" cm="1">
        <f t="array" ref="G3672">SUM(E3672/F3672)</f>
        <v>4.93333333333333</v>
      </c>
      <c r="H3672" s="15"/>
    </row>
    <row r="3673" ht="13.65" customHeight="1">
      <c r="A3673" s="21">
        <v>119</v>
      </c>
      <c r="B3673" t="s" s="22">
        <v>467</v>
      </c>
      <c r="C3673" s="23">
        <v>1</v>
      </c>
      <c r="D3673" t="s" s="24">
        <v>102</v>
      </c>
      <c r="E3673" s="25">
        <v>0.45</v>
      </c>
      <c r="F3673" t="s" s="24">
        <v>387</v>
      </c>
      <c r="G3673" s="152" cm="1">
        <f t="array" ref="G3673">SUM(E3673*2)</f>
        <v>0.9</v>
      </c>
      <c r="H3673" s="15"/>
    </row>
    <row r="3674" ht="13.65" customHeight="1">
      <c r="A3674" s="21">
        <v>122</v>
      </c>
      <c r="B3674" t="s" s="22">
        <v>489</v>
      </c>
      <c r="C3674" t="s" s="24">
        <v>490</v>
      </c>
      <c r="D3674" t="s" s="24">
        <v>389</v>
      </c>
      <c r="E3674" s="25">
        <v>1.7</v>
      </c>
      <c r="F3674" s="23">
        <v>5</v>
      </c>
      <c r="G3674" s="152" cm="1">
        <f t="array" ref="G3674">SUM(E3674/F3674)</f>
        <v>0.34</v>
      </c>
      <c r="H3674" s="15"/>
    </row>
    <row r="3675" ht="13.65" customHeight="1">
      <c r="A3675" s="21">
        <v>56</v>
      </c>
      <c r="B3675" t="s" s="22">
        <v>471</v>
      </c>
      <c r="C3675" s="23">
        <v>1</v>
      </c>
      <c r="D3675" t="s" s="24">
        <v>102</v>
      </c>
      <c r="E3675" s="25">
        <v>3.5</v>
      </c>
      <c r="F3675" t="s" s="24">
        <v>387</v>
      </c>
      <c r="G3675" s="152" cm="1">
        <f t="array" ref="G3675">SUM(E3675*2)</f>
        <v>7</v>
      </c>
      <c r="H3675" s="15"/>
    </row>
    <row r="3676" ht="13.65" customHeight="1">
      <c r="A3676" s="21">
        <v>16</v>
      </c>
      <c r="B3676" t="s" s="22">
        <v>693</v>
      </c>
      <c r="C3676" s="23">
        <v>3</v>
      </c>
      <c r="D3676" t="s" s="24">
        <v>771</v>
      </c>
      <c r="E3676" s="25">
        <v>41</v>
      </c>
      <c r="F3676" s="23">
        <v>7.5</v>
      </c>
      <c r="G3676" s="152" cm="1">
        <f t="array" ref="G3676">SUM(E3676/F3676)</f>
        <v>5.46666666666667</v>
      </c>
      <c r="H3676" s="15"/>
    </row>
    <row r="3677" ht="13.65" customHeight="1">
      <c r="A3677" s="21">
        <v>29</v>
      </c>
      <c r="B3677" t="s" s="22">
        <v>493</v>
      </c>
      <c r="C3677" s="23">
        <v>1</v>
      </c>
      <c r="D3677" t="s" s="24">
        <v>373</v>
      </c>
      <c r="E3677" s="25">
        <v>74</v>
      </c>
      <c r="F3677" s="23">
        <v>15</v>
      </c>
      <c r="G3677" s="152" cm="1">
        <f t="array" ref="G3677">SUM(E3677/F3677)</f>
        <v>4.93333333333333</v>
      </c>
      <c r="H3677" s="15"/>
    </row>
    <row r="3678" ht="13.65" customHeight="1">
      <c r="A3678" s="21">
        <v>36</v>
      </c>
      <c r="B3678" t="s" s="22">
        <v>496</v>
      </c>
      <c r="C3678" t="s" s="24">
        <v>497</v>
      </c>
      <c r="D3678" t="s" s="24">
        <v>648</v>
      </c>
      <c r="E3678" s="25">
        <v>13</v>
      </c>
      <c r="F3678" s="23">
        <v>8</v>
      </c>
      <c r="G3678" s="152" cm="1">
        <f t="array" ref="G3678">SUM(E3678/F3678)</f>
        <v>1.625</v>
      </c>
      <c r="H3678" s="15"/>
    </row>
    <row r="3679" ht="13.65" customHeight="1">
      <c r="A3679" s="21">
        <v>78</v>
      </c>
      <c r="B3679" t="s" s="22">
        <v>492</v>
      </c>
      <c r="C3679" s="23">
        <v>1</v>
      </c>
      <c r="D3679" t="s" s="24">
        <v>274</v>
      </c>
      <c r="E3679" s="25">
        <v>1</v>
      </c>
      <c r="F3679" t="s" s="24">
        <v>301</v>
      </c>
      <c r="G3679" s="152" cm="1">
        <f t="array" ref="G3679">SUM(E3679*4)</f>
        <v>4</v>
      </c>
      <c r="H3679" s="15"/>
    </row>
    <row r="3680" ht="13.65" customHeight="1">
      <c r="A3680" s="21">
        <v>116</v>
      </c>
      <c r="B3680" t="s" s="22">
        <v>721</v>
      </c>
      <c r="C3680" t="s" s="24">
        <v>384</v>
      </c>
      <c r="D3680" t="s" s="24">
        <v>772</v>
      </c>
      <c r="E3680" s="25">
        <v>12</v>
      </c>
      <c r="F3680" s="23">
        <v>2</v>
      </c>
      <c r="G3680" s="152" cm="1">
        <f t="array" ref="G3680">SUM(E3680/F3680)</f>
        <v>6</v>
      </c>
      <c r="H3680" s="15"/>
    </row>
    <row r="3681" ht="13.65" customHeight="1">
      <c r="A3681" s="28"/>
      <c r="B3681" s="28"/>
      <c r="C3681" s="27"/>
      <c r="D3681" s="24"/>
      <c r="E3681" s="27"/>
      <c r="F3681" t="s" s="29">
        <v>118</v>
      </c>
      <c r="G3681" s="197" cm="1">
        <f t="array" ref="G3681">SUM(G3660:G3680)</f>
        <v>72.4946984993998</v>
      </c>
      <c r="H3681" s="15"/>
    </row>
    <row r="3682" ht="13.65" customHeight="1">
      <c r="A3682" s="129"/>
      <c r="B3682" s="129"/>
      <c r="C3682" s="129"/>
      <c r="D3682" s="129"/>
      <c r="E3682" s="129"/>
      <c r="F3682" s="31"/>
      <c r="G3682" s="31"/>
      <c r="H3682" s="3"/>
    </row>
    <row r="3683" ht="11.7" customHeight="1">
      <c r="A3683" t="s" s="167">
        <v>136</v>
      </c>
      <c r="B3683" t="s" s="167">
        <v>281</v>
      </c>
      <c r="C3683" t="s" s="167">
        <v>282</v>
      </c>
      <c r="D3683" t="s" s="168">
        <v>283</v>
      </c>
      <c r="E3683" s="169"/>
      <c r="F3683" s="170"/>
      <c r="G3683" s="171"/>
      <c r="H3683" s="171"/>
    </row>
    <row r="3684" ht="13.65" customHeight="1">
      <c r="A3684" s="23">
        <v>180</v>
      </c>
      <c r="B3684" s="172" cm="1">
        <f t="array" ref="B3684">SUM(H256)</f>
        <v>2.47496540404041</v>
      </c>
      <c r="C3684" s="172" cm="1">
        <f t="array" ref="C3684">SUM(G3681)</f>
        <v>72.4946984993998</v>
      </c>
      <c r="D3684" s="199" cm="1">
        <f t="array" ref="D3684">SUM(A3684*B3684)+(C3684)</f>
        <v>517.9884712266741</v>
      </c>
      <c r="E3684" s="200"/>
      <c r="F3684" s="15"/>
      <c r="G3684" s="3"/>
      <c r="H3684" s="3"/>
    </row>
    <row r="3685" ht="13.65" customHeight="1">
      <c r="A3685" s="31"/>
      <c r="B3685" s="31"/>
      <c r="C3685" s="31"/>
      <c r="D3685" s="31"/>
      <c r="E3685" s="31"/>
      <c r="F3685" s="3"/>
      <c r="G3685" s="3"/>
      <c r="H3685" s="3"/>
    </row>
    <row r="3686" ht="13.65" customHeight="1">
      <c r="A3686" s="203"/>
      <c r="B3686" s="203"/>
      <c r="C3686" s="203"/>
      <c r="D3686" s="203"/>
      <c r="E3686" s="203"/>
      <c r="F3686" s="203"/>
      <c r="G3686" s="203"/>
      <c r="H3686" s="203"/>
    </row>
    <row r="3687" ht="9" customHeight="1" hidden="1">
      <c r="A3687" s="301"/>
      <c r="B3687" s="301"/>
      <c r="C3687" s="301"/>
      <c r="D3687" s="301"/>
      <c r="E3687" s="301"/>
      <c r="F3687" s="301"/>
      <c r="G3687" s="301"/>
      <c r="H3687" s="301"/>
    </row>
    <row r="3688" ht="9" customHeight="1" hidden="1">
      <c r="A3688" s="301"/>
      <c r="B3688" s="301"/>
      <c r="C3688" s="301"/>
      <c r="D3688" s="301"/>
      <c r="E3688" s="301"/>
      <c r="F3688" s="301"/>
      <c r="G3688" s="301"/>
      <c r="H3688" s="301"/>
    </row>
    <row r="3689" ht="13.65" customHeight="1">
      <c r="A3689" t="s" s="274">
        <v>185</v>
      </c>
      <c r="B3689" s="275"/>
      <c r="C3689" s="275"/>
      <c r="D3689" s="275"/>
      <c r="E3689" s="280"/>
      <c r="F3689" s="275"/>
      <c r="G3689" s="275"/>
      <c r="H3689" s="277"/>
    </row>
    <row r="3690" ht="13.65" customHeight="1">
      <c r="A3690" s="278"/>
      <c r="B3690" s="278"/>
      <c r="C3690" s="278"/>
      <c r="D3690" s="278"/>
      <c r="E3690" s="278"/>
      <c r="F3690" s="278"/>
      <c r="G3690" s="278"/>
      <c r="H3690" s="278"/>
    </row>
    <row r="3691" ht="13.65" customHeight="1">
      <c r="A3691" s="3"/>
      <c r="B3691" s="3"/>
      <c r="C3691" s="3"/>
      <c r="D3691" s="3"/>
      <c r="E3691" s="3"/>
      <c r="F3691" s="3"/>
      <c r="G3691" s="3"/>
      <c r="H3691" s="3"/>
    </row>
    <row r="3692" ht="13.65" customHeight="1">
      <c r="A3692" t="s" s="5">
        <v>775</v>
      </c>
      <c r="B3692" s="3"/>
      <c r="C3692" s="3"/>
      <c r="D3692" s="3"/>
      <c r="E3692" s="3"/>
      <c r="F3692" s="3"/>
      <c r="G3692" s="3"/>
      <c r="H3692" s="3"/>
    </row>
    <row r="3693" ht="13.65" customHeight="1">
      <c r="A3693" s="11"/>
      <c r="B3693" s="11"/>
      <c r="C3693" s="11"/>
      <c r="D3693" s="11"/>
      <c r="E3693" s="11"/>
      <c r="F3693" s="11"/>
      <c r="G3693" s="11"/>
      <c r="H3693" s="3"/>
    </row>
    <row r="3694" ht="13.65" customHeight="1">
      <c r="A3694" s="12"/>
      <c r="B3694" s="12"/>
      <c r="C3694" s="13"/>
      <c r="D3694" s="14"/>
      <c r="E3694" s="13"/>
      <c r="F3694" s="13"/>
      <c r="G3694" t="s" s="14">
        <v>252</v>
      </c>
      <c r="H3694" s="150"/>
    </row>
    <row r="3695" ht="13.65" customHeight="1">
      <c r="A3695" t="s" s="16">
        <v>93</v>
      </c>
      <c r="B3695" t="s" s="16">
        <v>94</v>
      </c>
      <c r="C3695" t="s" s="16">
        <v>95</v>
      </c>
      <c r="D3695" t="s" s="16">
        <v>96</v>
      </c>
      <c r="E3695" t="s" s="16">
        <v>97</v>
      </c>
      <c r="F3695" t="s" s="16">
        <v>98</v>
      </c>
      <c r="G3695" t="s" s="16">
        <v>99</v>
      </c>
      <c r="H3695" s="15"/>
    </row>
    <row r="3696" ht="13.65" customHeight="1">
      <c r="A3696" s="151"/>
      <c r="B3696" s="151"/>
      <c r="C3696" s="19"/>
      <c r="D3696" s="20"/>
      <c r="E3696" s="19"/>
      <c r="F3696" s="19"/>
      <c r="G3696" t="s" s="20">
        <v>100</v>
      </c>
      <c r="H3696" s="15"/>
    </row>
    <row r="3697" ht="13.65" customHeight="1">
      <c r="A3697" s="21">
        <v>72</v>
      </c>
      <c r="B3697" t="s" s="22">
        <v>101</v>
      </c>
      <c r="C3697" s="23">
        <v>50</v>
      </c>
      <c r="D3697" t="s" s="24">
        <v>608</v>
      </c>
      <c r="E3697" s="25">
        <v>1.93</v>
      </c>
      <c r="F3697" s="23">
        <v>6.25</v>
      </c>
      <c r="G3697" s="152" cm="1">
        <f t="array" ref="G3697">SUM(E3697/F3697)</f>
        <v>0.3088</v>
      </c>
      <c r="H3697" s="15"/>
    </row>
    <row r="3698" ht="13.65" customHeight="1">
      <c r="A3698" s="21">
        <v>123</v>
      </c>
      <c r="B3698" t="s" s="22">
        <v>103</v>
      </c>
      <c r="C3698" s="23">
        <v>40</v>
      </c>
      <c r="D3698" t="s" s="24">
        <v>274</v>
      </c>
      <c r="E3698" s="25">
        <v>3.2</v>
      </c>
      <c r="F3698" s="23">
        <v>10</v>
      </c>
      <c r="G3698" s="152" cm="1">
        <f t="array" ref="G3698">SUM(E3698/F3698)</f>
        <v>0.32</v>
      </c>
      <c r="H3698" s="15"/>
    </row>
    <row r="3699" ht="13.65" customHeight="1">
      <c r="A3699" s="21">
        <v>57</v>
      </c>
      <c r="B3699" t="s" s="22">
        <v>253</v>
      </c>
      <c r="C3699" t="s" s="24">
        <v>254</v>
      </c>
      <c r="D3699" t="s" s="24">
        <v>675</v>
      </c>
      <c r="E3699" s="25">
        <v>4.5</v>
      </c>
      <c r="F3699" s="23">
        <v>16</v>
      </c>
      <c r="G3699" s="152" cm="1">
        <f t="array" ref="G3699">SUM(E3699/F3699)</f>
        <v>0.28125</v>
      </c>
      <c r="H3699" s="15"/>
    </row>
    <row r="3700" ht="13.65" customHeight="1">
      <c r="A3700" s="21">
        <v>65</v>
      </c>
      <c r="B3700" t="s" s="22">
        <v>394</v>
      </c>
      <c r="C3700" s="23">
        <v>500</v>
      </c>
      <c r="D3700" t="s" s="24">
        <v>272</v>
      </c>
      <c r="E3700" s="25">
        <v>26</v>
      </c>
      <c r="F3700" s="23">
        <v>8.33</v>
      </c>
      <c r="G3700" s="152" cm="1">
        <f t="array" ref="G3700">SUM(E3700/F3700)</f>
        <v>3.12124849939976</v>
      </c>
      <c r="H3700" s="15"/>
    </row>
    <row r="3701" ht="13.65" customHeight="1">
      <c r="A3701" s="21">
        <v>140</v>
      </c>
      <c r="B3701" t="s" s="22">
        <v>470</v>
      </c>
      <c r="C3701" t="s" s="24">
        <v>108</v>
      </c>
      <c r="D3701" t="s" s="24">
        <v>102</v>
      </c>
      <c r="E3701" s="25">
        <v>1.12</v>
      </c>
      <c r="F3701" t="s" s="24">
        <v>387</v>
      </c>
      <c r="G3701" s="152" cm="1">
        <f t="array" ref="G3701">SUM(E3701*2)</f>
        <v>2.24</v>
      </c>
      <c r="H3701" s="15"/>
    </row>
    <row r="3702" ht="13.65" customHeight="1">
      <c r="A3702" s="21">
        <v>71</v>
      </c>
      <c r="B3702" t="s" s="22">
        <v>109</v>
      </c>
      <c r="C3702" s="23">
        <v>10</v>
      </c>
      <c r="D3702" t="s" s="24">
        <v>608</v>
      </c>
      <c r="E3702" s="25">
        <v>5.92</v>
      </c>
      <c r="F3702" s="23">
        <v>1.25</v>
      </c>
      <c r="G3702" s="152" cm="1">
        <f t="array" ref="G3702">SUM(E3702/F3702)</f>
        <v>4.736</v>
      </c>
      <c r="H3702" s="15"/>
    </row>
    <row r="3703" ht="13.65" customHeight="1">
      <c r="A3703" s="21">
        <v>87</v>
      </c>
      <c r="B3703" t="s" s="22">
        <v>110</v>
      </c>
      <c r="C3703" s="23">
        <v>50</v>
      </c>
      <c r="D3703" t="s" s="24">
        <v>608</v>
      </c>
      <c r="E3703" s="25">
        <v>9</v>
      </c>
      <c r="F3703" s="23">
        <v>6.25</v>
      </c>
      <c r="G3703" s="152" cm="1">
        <f t="array" ref="G3703">SUM(E3703/F3703)</f>
        <v>1.44</v>
      </c>
      <c r="H3703" s="15"/>
    </row>
    <row r="3704" ht="13.65" customHeight="1">
      <c r="A3704" s="21">
        <v>55</v>
      </c>
      <c r="B3704" t="s" s="22">
        <v>111</v>
      </c>
      <c r="C3704" t="s" s="24">
        <v>112</v>
      </c>
      <c r="D3704" t="s" s="24">
        <v>461</v>
      </c>
      <c r="E3704" s="25">
        <v>2.71</v>
      </c>
      <c r="F3704" s="23">
        <v>37.5</v>
      </c>
      <c r="G3704" s="152" cm="1">
        <f t="array" ref="G3704">SUM(E3704/F3704)</f>
        <v>0.0722666666666667</v>
      </c>
      <c r="H3704" s="15"/>
    </row>
    <row r="3705" ht="13.65" customHeight="1">
      <c r="A3705" s="21">
        <v>10</v>
      </c>
      <c r="B3705" t="s" s="22">
        <v>395</v>
      </c>
      <c r="C3705" t="s" s="24">
        <v>396</v>
      </c>
      <c r="D3705" t="s" s="24">
        <v>462</v>
      </c>
      <c r="E3705" s="25">
        <v>3.92</v>
      </c>
      <c r="F3705" s="23">
        <v>25</v>
      </c>
      <c r="G3705" s="152" cm="1">
        <f t="array" ref="G3705">SUM(E3705/F3705)</f>
        <v>0.1568</v>
      </c>
      <c r="H3705" s="15"/>
    </row>
    <row r="3706" ht="13.65" customHeight="1">
      <c r="A3706" s="21">
        <v>9</v>
      </c>
      <c r="B3706" t="s" s="22">
        <v>692</v>
      </c>
      <c r="C3706" s="23">
        <v>50</v>
      </c>
      <c r="D3706" t="s" s="24">
        <v>608</v>
      </c>
      <c r="E3706" s="25">
        <v>14</v>
      </c>
      <c r="F3706" s="23">
        <v>6.25</v>
      </c>
      <c r="G3706" s="152" cm="1">
        <f t="array" ref="G3706">SUM(E3706/F3706)</f>
        <v>2.24</v>
      </c>
      <c r="H3706" s="15"/>
    </row>
    <row r="3707" ht="13.65" customHeight="1">
      <c r="A3707" s="21">
        <v>6</v>
      </c>
      <c r="B3707" t="s" s="22">
        <v>399</v>
      </c>
      <c r="C3707" s="23">
        <v>100</v>
      </c>
      <c r="D3707" t="s" s="24">
        <v>102</v>
      </c>
      <c r="E3707" s="25">
        <v>19</v>
      </c>
      <c r="F3707" s="23">
        <v>50</v>
      </c>
      <c r="G3707" s="152" cm="1">
        <f t="array" ref="G3707">SUM(E3707/F3707)</f>
        <v>0.38</v>
      </c>
      <c r="H3707" s="15"/>
    </row>
    <row r="3708" ht="13.65" customHeight="1">
      <c r="A3708" s="21">
        <v>23</v>
      </c>
      <c r="B3708" t="s" s="22">
        <v>488</v>
      </c>
      <c r="C3708" s="23">
        <v>1</v>
      </c>
      <c r="D3708" t="s" s="24">
        <v>102</v>
      </c>
      <c r="E3708" s="25">
        <v>11</v>
      </c>
      <c r="F3708" t="s" s="24">
        <v>387</v>
      </c>
      <c r="G3708" s="152" cm="1">
        <f t="array" ref="G3708">SUM(E3708*2)</f>
        <v>22</v>
      </c>
      <c r="H3708" s="15"/>
    </row>
    <row r="3709" ht="13.65" customHeight="1">
      <c r="A3709" s="21">
        <v>44</v>
      </c>
      <c r="B3709" t="s" s="22">
        <v>400</v>
      </c>
      <c r="C3709" s="23">
        <v>1</v>
      </c>
      <c r="D3709" t="s" s="24">
        <v>373</v>
      </c>
      <c r="E3709" s="25">
        <v>74</v>
      </c>
      <c r="F3709" s="23">
        <v>15</v>
      </c>
      <c r="G3709" s="152" cm="1">
        <f t="array" ref="G3709">SUM(E3709/F3709)</f>
        <v>4.93333333333333</v>
      </c>
      <c r="H3709" s="15"/>
    </row>
    <row r="3710" ht="13.65" customHeight="1">
      <c r="A3710" s="21">
        <v>119</v>
      </c>
      <c r="B3710" t="s" s="22">
        <v>467</v>
      </c>
      <c r="C3710" s="23">
        <v>1</v>
      </c>
      <c r="D3710" t="s" s="24">
        <v>102</v>
      </c>
      <c r="E3710" s="25">
        <v>0.45</v>
      </c>
      <c r="F3710" t="s" s="24">
        <v>387</v>
      </c>
      <c r="G3710" s="152" cm="1">
        <f t="array" ref="G3710">SUM(E3710*2)</f>
        <v>0.9</v>
      </c>
      <c r="H3710" s="15"/>
    </row>
    <row r="3711" ht="13.65" customHeight="1">
      <c r="A3711" s="21">
        <v>122</v>
      </c>
      <c r="B3711" t="s" s="22">
        <v>489</v>
      </c>
      <c r="C3711" t="s" s="24">
        <v>490</v>
      </c>
      <c r="D3711" t="s" s="24">
        <v>389</v>
      </c>
      <c r="E3711" s="25">
        <v>1.7</v>
      </c>
      <c r="F3711" s="23">
        <v>5</v>
      </c>
      <c r="G3711" s="152" cm="1">
        <f t="array" ref="G3711">SUM(E3711/F3711)</f>
        <v>0.34</v>
      </c>
      <c r="H3711" s="15"/>
    </row>
    <row r="3712" ht="13.65" customHeight="1">
      <c r="A3712" s="21">
        <v>56</v>
      </c>
      <c r="B3712" t="s" s="22">
        <v>471</v>
      </c>
      <c r="C3712" s="23">
        <v>1</v>
      </c>
      <c r="D3712" t="s" s="24">
        <v>102</v>
      </c>
      <c r="E3712" s="25">
        <v>3.5</v>
      </c>
      <c r="F3712" t="s" s="24">
        <v>387</v>
      </c>
      <c r="G3712" s="152" cm="1">
        <f t="array" ref="G3712">SUM(E3712*2)</f>
        <v>7</v>
      </c>
      <c r="H3712" s="15"/>
    </row>
    <row r="3713" ht="13.65" customHeight="1">
      <c r="A3713" s="21">
        <v>16</v>
      </c>
      <c r="B3713" t="s" s="22">
        <v>693</v>
      </c>
      <c r="C3713" s="23">
        <v>3</v>
      </c>
      <c r="D3713" t="s" s="24">
        <v>771</v>
      </c>
      <c r="E3713" s="25">
        <v>41</v>
      </c>
      <c r="F3713" s="23">
        <v>7.5</v>
      </c>
      <c r="G3713" s="152" cm="1">
        <f t="array" ref="G3713">SUM(E3713/F3713)</f>
        <v>5.46666666666667</v>
      </c>
      <c r="H3713" s="15"/>
    </row>
    <row r="3714" ht="13.65" customHeight="1">
      <c r="A3714" s="21">
        <v>29</v>
      </c>
      <c r="B3714" t="s" s="22">
        <v>493</v>
      </c>
      <c r="C3714" s="23">
        <v>1</v>
      </c>
      <c r="D3714" t="s" s="24">
        <v>373</v>
      </c>
      <c r="E3714" s="25">
        <v>74</v>
      </c>
      <c r="F3714" s="23">
        <v>15</v>
      </c>
      <c r="G3714" s="152" cm="1">
        <f t="array" ref="G3714">SUM(E3714/F3714)</f>
        <v>4.93333333333333</v>
      </c>
      <c r="H3714" s="15"/>
    </row>
    <row r="3715" ht="13.65" customHeight="1">
      <c r="A3715" s="21">
        <v>36</v>
      </c>
      <c r="B3715" t="s" s="22">
        <v>496</v>
      </c>
      <c r="C3715" t="s" s="24">
        <v>497</v>
      </c>
      <c r="D3715" t="s" s="24">
        <v>648</v>
      </c>
      <c r="E3715" s="25">
        <v>13</v>
      </c>
      <c r="F3715" s="23">
        <v>8</v>
      </c>
      <c r="G3715" s="152" cm="1">
        <f t="array" ref="G3715">SUM(E3715/F3715)</f>
        <v>1.625</v>
      </c>
      <c r="H3715" s="15"/>
    </row>
    <row r="3716" ht="13.65" customHeight="1">
      <c r="A3716" s="21">
        <v>78</v>
      </c>
      <c r="B3716" t="s" s="22">
        <v>492</v>
      </c>
      <c r="C3716" s="23">
        <v>1</v>
      </c>
      <c r="D3716" t="s" s="24">
        <v>274</v>
      </c>
      <c r="E3716" s="25">
        <v>1</v>
      </c>
      <c r="F3716" t="s" s="24">
        <v>301</v>
      </c>
      <c r="G3716" s="152" cm="1">
        <f t="array" ref="G3716">SUM(E3716*4)</f>
        <v>4</v>
      </c>
      <c r="H3716" s="15"/>
    </row>
    <row r="3717" ht="13.65" customHeight="1">
      <c r="A3717" s="21">
        <v>116</v>
      </c>
      <c r="B3717" t="s" s="22">
        <v>721</v>
      </c>
      <c r="C3717" t="s" s="24">
        <v>384</v>
      </c>
      <c r="D3717" t="s" s="24">
        <v>772</v>
      </c>
      <c r="E3717" s="25">
        <v>12</v>
      </c>
      <c r="F3717" s="23">
        <v>2</v>
      </c>
      <c r="G3717" s="152" cm="1">
        <f t="array" ref="G3717">SUM(E3717/F3717)</f>
        <v>6</v>
      </c>
      <c r="H3717" s="15"/>
    </row>
    <row r="3718" ht="13.65" customHeight="1">
      <c r="A3718" s="21">
        <v>138</v>
      </c>
      <c r="B3718" t="s" s="22">
        <v>776</v>
      </c>
      <c r="C3718" s="23">
        <v>1</v>
      </c>
      <c r="D3718" t="s" s="24">
        <v>104</v>
      </c>
      <c r="E3718" s="25">
        <v>142</v>
      </c>
      <c r="F3718" s="23">
        <v>1</v>
      </c>
      <c r="G3718" s="152" cm="1">
        <f t="array" ref="G3718">SUM(E3718/F3718)</f>
        <v>142</v>
      </c>
      <c r="H3718" s="15"/>
    </row>
    <row r="3719" ht="13.65" customHeight="1">
      <c r="A3719" s="28"/>
      <c r="B3719" s="28"/>
      <c r="C3719" s="27"/>
      <c r="D3719" s="24"/>
      <c r="E3719" s="27"/>
      <c r="F3719" t="s" s="29">
        <v>118</v>
      </c>
      <c r="G3719" s="197" cm="1">
        <f t="array" ref="G3719">SUM(G3697:G3718)</f>
        <v>214.4946984994</v>
      </c>
      <c r="H3719" s="15"/>
    </row>
    <row r="3720" ht="13.65" customHeight="1">
      <c r="A3720" s="129"/>
      <c r="B3720" s="129"/>
      <c r="C3720" s="129"/>
      <c r="D3720" s="129"/>
      <c r="E3720" s="129"/>
      <c r="F3720" s="31"/>
      <c r="G3720" s="31"/>
      <c r="H3720" s="3"/>
    </row>
    <row r="3721" ht="11.7" customHeight="1">
      <c r="A3721" t="s" s="167">
        <v>136</v>
      </c>
      <c r="B3721" t="s" s="167">
        <v>281</v>
      </c>
      <c r="C3721" t="s" s="167">
        <v>282</v>
      </c>
      <c r="D3721" t="s" s="168">
        <v>283</v>
      </c>
      <c r="E3721" s="169"/>
      <c r="F3721" s="170"/>
      <c r="G3721" s="171"/>
      <c r="H3721" s="171"/>
    </row>
    <row r="3722" ht="13.65" customHeight="1">
      <c r="A3722" s="23">
        <v>150</v>
      </c>
      <c r="B3722" s="172" cm="1">
        <f t="array" ref="B3722">SUM(H256)</f>
        <v>2.47496540404041</v>
      </c>
      <c r="C3722" s="172" cm="1">
        <f t="array" ref="C3722">SUM(G3719)</f>
        <v>214.4946984994</v>
      </c>
      <c r="D3722" s="199" cm="1">
        <f t="array" ref="D3722">SUM(A3722*B3722)+(C3722)</f>
        <v>585.739509105462</v>
      </c>
      <c r="E3722" s="200"/>
      <c r="F3722" s="15"/>
      <c r="G3722" s="3"/>
      <c r="H3722" s="3"/>
    </row>
    <row r="3723" ht="13.65" customHeight="1">
      <c r="A3723" s="31"/>
      <c r="B3723" s="31"/>
      <c r="C3723" s="31"/>
      <c r="D3723" s="31"/>
      <c r="E3723" s="31"/>
      <c r="F3723" s="3"/>
      <c r="G3723" s="3"/>
      <c r="H3723" s="3"/>
    </row>
    <row r="3724" ht="13.65" customHeight="1">
      <c r="A3724" s="3"/>
      <c r="B3724" s="3"/>
      <c r="C3724" s="3"/>
      <c r="D3724" s="3"/>
      <c r="E3724" s="3"/>
      <c r="F3724" s="3"/>
      <c r="G3724" s="3"/>
      <c r="H3724" s="3"/>
    </row>
    <row r="3725" ht="13.65" customHeight="1">
      <c r="A3725" t="s" s="5">
        <v>777</v>
      </c>
      <c r="B3725" s="3"/>
      <c r="C3725" s="3"/>
      <c r="D3725" s="3"/>
      <c r="E3725" s="3"/>
      <c r="F3725" s="3"/>
      <c r="G3725" s="3"/>
      <c r="H3725" s="3"/>
    </row>
    <row r="3726" ht="13.65" customHeight="1">
      <c r="A3726" s="11"/>
      <c r="B3726" s="11"/>
      <c r="C3726" s="11"/>
      <c r="D3726" s="11"/>
      <c r="E3726" s="11"/>
      <c r="F3726" s="11"/>
      <c r="G3726" s="11"/>
      <c r="H3726" s="3"/>
    </row>
    <row r="3727" ht="13.65" customHeight="1">
      <c r="A3727" s="12"/>
      <c r="B3727" s="12"/>
      <c r="C3727" s="13"/>
      <c r="D3727" s="14"/>
      <c r="E3727" s="13"/>
      <c r="F3727" s="13"/>
      <c r="G3727" t="s" s="14">
        <v>252</v>
      </c>
      <c r="H3727" s="150"/>
    </row>
    <row r="3728" ht="13.65" customHeight="1">
      <c r="A3728" t="s" s="16">
        <v>93</v>
      </c>
      <c r="B3728" t="s" s="16">
        <v>94</v>
      </c>
      <c r="C3728" t="s" s="16">
        <v>95</v>
      </c>
      <c r="D3728" t="s" s="16">
        <v>96</v>
      </c>
      <c r="E3728" t="s" s="16">
        <v>97</v>
      </c>
      <c r="F3728" t="s" s="16">
        <v>98</v>
      </c>
      <c r="G3728" t="s" s="16">
        <v>99</v>
      </c>
      <c r="H3728" s="15"/>
    </row>
    <row r="3729" ht="13.65" customHeight="1">
      <c r="A3729" s="151"/>
      <c r="B3729" s="151"/>
      <c r="C3729" s="19"/>
      <c r="D3729" s="20"/>
      <c r="E3729" s="19"/>
      <c r="F3729" s="19"/>
      <c r="G3729" t="s" s="20">
        <v>100</v>
      </c>
      <c r="H3729" s="15"/>
    </row>
    <row r="3730" ht="13.65" customHeight="1">
      <c r="A3730" s="21">
        <v>72</v>
      </c>
      <c r="B3730" t="s" s="22">
        <v>101</v>
      </c>
      <c r="C3730" s="23">
        <v>50</v>
      </c>
      <c r="D3730" t="s" s="24">
        <v>102</v>
      </c>
      <c r="E3730" s="25">
        <v>1.93</v>
      </c>
      <c r="F3730" s="23">
        <v>25</v>
      </c>
      <c r="G3730" s="152" cm="1">
        <f t="array" ref="G3730">SUM(E3730/F3730)</f>
        <v>0.0772</v>
      </c>
      <c r="H3730" s="15"/>
    </row>
    <row r="3731" ht="13.65" customHeight="1">
      <c r="A3731" s="21">
        <v>123</v>
      </c>
      <c r="B3731" t="s" s="22">
        <v>103</v>
      </c>
      <c r="C3731" s="23">
        <v>40</v>
      </c>
      <c r="D3731" t="s" s="24">
        <v>104</v>
      </c>
      <c r="E3731" s="25">
        <v>3.2</v>
      </c>
      <c r="F3731" s="23">
        <v>40</v>
      </c>
      <c r="G3731" s="152" cm="1">
        <f t="array" ref="G3731">SUM(E3731/F3731)</f>
        <v>0.08</v>
      </c>
      <c r="H3731" s="15"/>
    </row>
    <row r="3732" ht="13.65" customHeight="1">
      <c r="A3732" s="21">
        <v>57</v>
      </c>
      <c r="B3732" t="s" s="22">
        <v>253</v>
      </c>
      <c r="C3732" t="s" s="24">
        <v>389</v>
      </c>
      <c r="D3732" t="s" s="24">
        <v>371</v>
      </c>
      <c r="E3732" s="25">
        <v>4.5</v>
      </c>
      <c r="F3732" s="23">
        <v>33</v>
      </c>
      <c r="G3732" s="152" cm="1">
        <f t="array" ref="G3732">SUM(E3732/F3732)</f>
        <v>0.136363636363636</v>
      </c>
      <c r="H3732" s="15"/>
    </row>
    <row r="3733" ht="13.65" customHeight="1">
      <c r="A3733" s="21">
        <v>65</v>
      </c>
      <c r="B3733" t="s" s="22">
        <v>394</v>
      </c>
      <c r="C3733" s="23">
        <v>500</v>
      </c>
      <c r="D3733" t="s" s="24">
        <v>102</v>
      </c>
      <c r="E3733" s="25">
        <v>26</v>
      </c>
      <c r="F3733" s="23">
        <v>250</v>
      </c>
      <c r="G3733" s="152" cm="1">
        <f t="array" ref="G3733">SUM(E3733/F3733)</f>
        <v>0.104</v>
      </c>
      <c r="H3733" s="15"/>
    </row>
    <row r="3734" ht="13.65" customHeight="1">
      <c r="A3734" s="21">
        <v>86</v>
      </c>
      <c r="B3734" t="s" s="22">
        <v>107</v>
      </c>
      <c r="C3734" s="23">
        <v>1</v>
      </c>
      <c r="D3734" t="s" s="24">
        <v>274</v>
      </c>
      <c r="E3734" s="25">
        <v>0.32</v>
      </c>
      <c r="F3734" t="s" s="24">
        <v>301</v>
      </c>
      <c r="G3734" s="152" cm="1">
        <f t="array" ref="G3734">SUM(E3734*4)</f>
        <v>1.28</v>
      </c>
      <c r="H3734" s="15"/>
    </row>
    <row r="3735" ht="13.65" customHeight="1">
      <c r="A3735" s="21">
        <v>71</v>
      </c>
      <c r="B3735" t="s" s="22">
        <v>109</v>
      </c>
      <c r="C3735" s="23">
        <v>10</v>
      </c>
      <c r="D3735" t="s" s="24">
        <v>274</v>
      </c>
      <c r="E3735" s="25">
        <v>5.92</v>
      </c>
      <c r="F3735" s="23">
        <v>2.5</v>
      </c>
      <c r="G3735" s="152" cm="1">
        <f t="array" ref="G3735">SUM(E3735/F3735)</f>
        <v>2.368</v>
      </c>
      <c r="H3735" s="15"/>
    </row>
    <row r="3736" ht="13.65" customHeight="1">
      <c r="A3736" s="21">
        <v>87</v>
      </c>
      <c r="B3736" t="s" s="22">
        <v>110</v>
      </c>
      <c r="C3736" s="23">
        <v>50</v>
      </c>
      <c r="D3736" t="s" s="24">
        <v>274</v>
      </c>
      <c r="E3736" s="25">
        <v>9</v>
      </c>
      <c r="F3736" s="23">
        <v>12.5</v>
      </c>
      <c r="G3736" s="152" cm="1">
        <f t="array" ref="G3736">SUM(E3736/F3736)</f>
        <v>0.72</v>
      </c>
      <c r="H3736" s="15"/>
    </row>
    <row r="3737" ht="13.65" customHeight="1">
      <c r="A3737" s="21">
        <v>55</v>
      </c>
      <c r="B3737" t="s" s="22">
        <v>111</v>
      </c>
      <c r="C3737" t="s" s="24">
        <v>112</v>
      </c>
      <c r="D3737" t="s" s="24">
        <v>113</v>
      </c>
      <c r="E3737" s="25">
        <v>2.71</v>
      </c>
      <c r="F3737" s="23">
        <v>75</v>
      </c>
      <c r="G3737" s="152" cm="1">
        <f t="array" ref="G3737">SUM(E3737/F3737)</f>
        <v>0.0361333333333333</v>
      </c>
      <c r="H3737" s="15"/>
    </row>
    <row r="3738" ht="13.65" customHeight="1">
      <c r="A3738" s="21">
        <v>44</v>
      </c>
      <c r="B3738" t="s" s="22">
        <v>400</v>
      </c>
      <c r="C3738" s="23">
        <v>1</v>
      </c>
      <c r="D3738" t="s" s="24">
        <v>401</v>
      </c>
      <c r="E3738" s="25">
        <v>74</v>
      </c>
      <c r="F3738" s="23">
        <v>30</v>
      </c>
      <c r="G3738" s="152" cm="1">
        <f t="array" ref="G3738">SUM(E3738/F3738)</f>
        <v>2.46666666666667</v>
      </c>
      <c r="H3738" s="15"/>
    </row>
    <row r="3739" ht="13.65" customHeight="1">
      <c r="A3739" s="21">
        <v>53</v>
      </c>
      <c r="B3739" t="s" s="22">
        <v>383</v>
      </c>
      <c r="C3739" t="s" s="24">
        <v>384</v>
      </c>
      <c r="D3739" t="s" s="24">
        <v>457</v>
      </c>
      <c r="E3739" s="25">
        <v>6.41</v>
      </c>
      <c r="F3739" s="23">
        <v>40</v>
      </c>
      <c r="G3739" s="152" cm="1">
        <f t="array" ref="G3739">SUM(E3739/F3739)</f>
        <v>0.16025</v>
      </c>
      <c r="H3739" s="15"/>
    </row>
    <row r="3740" ht="13.65" customHeight="1">
      <c r="A3740" s="21">
        <v>100</v>
      </c>
      <c r="B3740" t="s" s="22">
        <v>376</v>
      </c>
      <c r="C3740" t="s" s="24">
        <v>377</v>
      </c>
      <c r="D3740" t="s" s="24">
        <v>378</v>
      </c>
      <c r="E3740" s="25">
        <v>4.5</v>
      </c>
      <c r="F3740" s="23">
        <v>40</v>
      </c>
      <c r="G3740" s="152" cm="1">
        <f t="array" ref="G3740">SUM(E3740/F3740)</f>
        <v>0.1125</v>
      </c>
      <c r="H3740" s="15"/>
    </row>
    <row r="3741" ht="13.65" customHeight="1">
      <c r="A3741" s="21">
        <v>124</v>
      </c>
      <c r="B3741" t="s" s="22">
        <v>372</v>
      </c>
      <c r="C3741" s="23">
        <v>1</v>
      </c>
      <c r="D3741" t="s" s="24">
        <v>373</v>
      </c>
      <c r="E3741" s="25">
        <v>2.2</v>
      </c>
      <c r="F3741" s="23">
        <v>15</v>
      </c>
      <c r="G3741" s="152" cm="1">
        <f t="array" ref="G3741">SUM(E3741/F3741)</f>
        <v>0.146666666666667</v>
      </c>
      <c r="H3741" s="15"/>
    </row>
    <row r="3742" ht="13.65" customHeight="1">
      <c r="A3742" s="28"/>
      <c r="B3742" s="28"/>
      <c r="C3742" s="27"/>
      <c r="D3742" s="24"/>
      <c r="E3742" s="27"/>
      <c r="F3742" t="s" s="29">
        <v>118</v>
      </c>
      <c r="G3742" s="197" cm="1">
        <f t="array" ref="G3742">SUM(G3730:G3741)</f>
        <v>7.68778030303031</v>
      </c>
      <c r="H3742" s="15"/>
    </row>
    <row r="3743" ht="13.65" customHeight="1">
      <c r="A3743" s="129"/>
      <c r="B3743" s="129"/>
      <c r="C3743" s="129"/>
      <c r="D3743" s="129"/>
      <c r="E3743" s="129"/>
      <c r="F3743" s="31"/>
      <c r="G3743" s="31"/>
      <c r="H3743" s="3"/>
    </row>
    <row r="3744" ht="11.7" customHeight="1">
      <c r="A3744" t="s" s="167">
        <v>136</v>
      </c>
      <c r="B3744" t="s" s="167">
        <v>281</v>
      </c>
      <c r="C3744" t="s" s="167">
        <v>282</v>
      </c>
      <c r="D3744" t="s" s="168">
        <v>283</v>
      </c>
      <c r="E3744" s="169"/>
      <c r="F3744" s="170"/>
      <c r="G3744" s="171"/>
      <c r="H3744" s="171"/>
    </row>
    <row r="3745" ht="13.65" customHeight="1">
      <c r="A3745" s="23">
        <v>50</v>
      </c>
      <c r="B3745" s="172" cm="1">
        <f t="array" ref="B3745">SUM(H256)</f>
        <v>2.47496540404041</v>
      </c>
      <c r="C3745" s="172" cm="1">
        <f t="array" ref="C3745">SUM(G3742)</f>
        <v>7.68778030303031</v>
      </c>
      <c r="D3745" s="199" cm="1">
        <f t="array" ref="D3745">SUM(A3745*B3745)+(C3745)</f>
        <v>131.436050505051</v>
      </c>
      <c r="E3745" s="200"/>
      <c r="F3745" s="15"/>
      <c r="G3745" s="3"/>
      <c r="H3745" s="3"/>
    </row>
    <row r="3746" ht="13.65" customHeight="1">
      <c r="A3746" s="31"/>
      <c r="B3746" s="31"/>
      <c r="C3746" s="31"/>
      <c r="D3746" s="31"/>
      <c r="E3746" s="31"/>
      <c r="F3746" s="3"/>
      <c r="G3746" s="3"/>
      <c r="H3746" s="3"/>
    </row>
    <row r="3747" ht="13.65" customHeight="1">
      <c r="A3747" t="s" s="145">
        <v>778</v>
      </c>
      <c r="B3747" s="3"/>
      <c r="C3747" s="3"/>
      <c r="D3747" s="3"/>
      <c r="E3747" s="3"/>
      <c r="F3747" s="3"/>
      <c r="G3747" s="3"/>
      <c r="H3747" s="3"/>
    </row>
    <row r="3748" ht="13.65" customHeight="1">
      <c r="A3748" s="203"/>
      <c r="B3748" s="203"/>
      <c r="C3748" s="203"/>
      <c r="D3748" s="203"/>
      <c r="E3748" s="203"/>
      <c r="F3748" s="203"/>
      <c r="G3748" s="203"/>
      <c r="H3748" s="203"/>
    </row>
    <row r="3749" ht="13.65" customHeight="1">
      <c r="A3749" t="s" s="274">
        <v>284</v>
      </c>
      <c r="B3749" s="275"/>
      <c r="C3749" s="275"/>
      <c r="D3749" s="275"/>
      <c r="E3749" s="280"/>
      <c r="F3749" s="275"/>
      <c r="G3749" s="275"/>
      <c r="H3749" s="277"/>
    </row>
    <row r="3750" ht="13.65" customHeight="1">
      <c r="A3750" s="278"/>
      <c r="B3750" s="278"/>
      <c r="C3750" s="278"/>
      <c r="D3750" s="278"/>
      <c r="E3750" s="278"/>
      <c r="F3750" s="278"/>
      <c r="G3750" s="278"/>
      <c r="H3750" s="278"/>
    </row>
    <row r="3751" ht="13.65" customHeight="1">
      <c r="A3751" s="3"/>
      <c r="B3751" s="3"/>
      <c r="C3751" s="3"/>
      <c r="D3751" s="3"/>
      <c r="E3751" s="3"/>
      <c r="F3751" s="3"/>
      <c r="G3751" s="3"/>
      <c r="H3751" s="3"/>
    </row>
    <row r="3752" ht="13.65" customHeight="1">
      <c r="A3752" t="s" s="5">
        <v>779</v>
      </c>
      <c r="B3752" s="3"/>
      <c r="C3752" s="3"/>
      <c r="D3752" s="3"/>
      <c r="E3752" s="3"/>
      <c r="F3752" s="3"/>
      <c r="G3752" s="3"/>
      <c r="H3752" s="3"/>
    </row>
    <row r="3753" ht="13.65" customHeight="1">
      <c r="A3753" s="11"/>
      <c r="B3753" s="11"/>
      <c r="C3753" s="11"/>
      <c r="D3753" s="11"/>
      <c r="E3753" s="11"/>
      <c r="F3753" s="11"/>
      <c r="G3753" s="11"/>
      <c r="H3753" s="3"/>
    </row>
    <row r="3754" ht="13.65" customHeight="1">
      <c r="A3754" s="12"/>
      <c r="B3754" s="12"/>
      <c r="C3754" s="13"/>
      <c r="D3754" s="14"/>
      <c r="E3754" s="13"/>
      <c r="F3754" s="13"/>
      <c r="G3754" t="s" s="14">
        <v>252</v>
      </c>
      <c r="H3754" s="150"/>
    </row>
    <row r="3755" ht="13.65" customHeight="1">
      <c r="A3755" t="s" s="16">
        <v>93</v>
      </c>
      <c r="B3755" t="s" s="16">
        <v>94</v>
      </c>
      <c r="C3755" t="s" s="16">
        <v>95</v>
      </c>
      <c r="D3755" t="s" s="16">
        <v>96</v>
      </c>
      <c r="E3755" t="s" s="16">
        <v>97</v>
      </c>
      <c r="F3755" t="s" s="16">
        <v>98</v>
      </c>
      <c r="G3755" t="s" s="16">
        <v>99</v>
      </c>
      <c r="H3755" s="15"/>
    </row>
    <row r="3756" ht="13.65" customHeight="1">
      <c r="A3756" s="151"/>
      <c r="B3756" s="151"/>
      <c r="C3756" s="19"/>
      <c r="D3756" s="20"/>
      <c r="E3756" s="19"/>
      <c r="F3756" s="19"/>
      <c r="G3756" t="s" s="20">
        <v>100</v>
      </c>
      <c r="H3756" s="15"/>
    </row>
    <row r="3757" ht="13.65" customHeight="1">
      <c r="A3757" s="21">
        <v>72</v>
      </c>
      <c r="B3757" t="s" s="22">
        <v>101</v>
      </c>
      <c r="C3757" s="23">
        <v>50</v>
      </c>
      <c r="D3757" t="s" s="24">
        <v>274</v>
      </c>
      <c r="E3757" s="25">
        <v>1.93</v>
      </c>
      <c r="F3757" s="23">
        <v>12.5</v>
      </c>
      <c r="G3757" s="152" cm="1">
        <f t="array" ref="G3757">SUM(E3757/F3757)</f>
        <v>0.1544</v>
      </c>
      <c r="H3757" s="15"/>
    </row>
    <row r="3758" ht="13.65" customHeight="1">
      <c r="A3758" s="21">
        <v>123</v>
      </c>
      <c r="B3758" t="s" s="22">
        <v>103</v>
      </c>
      <c r="C3758" s="23">
        <v>40</v>
      </c>
      <c r="D3758" t="s" s="24">
        <v>102</v>
      </c>
      <c r="E3758" s="25">
        <v>3.2</v>
      </c>
      <c r="F3758" s="23">
        <v>20</v>
      </c>
      <c r="G3758" s="152" cm="1">
        <f t="array" ref="G3758">SUM(E3758/F3758)</f>
        <v>0.16</v>
      </c>
      <c r="H3758" s="15"/>
    </row>
    <row r="3759" ht="13.65" customHeight="1">
      <c r="A3759" s="21">
        <v>117</v>
      </c>
      <c r="B3759" t="s" s="22">
        <v>105</v>
      </c>
      <c r="C3759" s="23">
        <v>100</v>
      </c>
      <c r="D3759" t="s" s="24">
        <v>106</v>
      </c>
      <c r="E3759" s="25">
        <v>1.2</v>
      </c>
      <c r="F3759" s="23">
        <v>10</v>
      </c>
      <c r="G3759" s="152" cm="1">
        <f t="array" ref="G3759">SUM(E3759/F3759)</f>
        <v>0.12</v>
      </c>
      <c r="H3759" s="15"/>
    </row>
    <row r="3760" ht="13.65" customHeight="1">
      <c r="A3760" s="21">
        <v>86</v>
      </c>
      <c r="B3760" t="s" s="22">
        <v>107</v>
      </c>
      <c r="C3760" t="s" s="24">
        <v>108</v>
      </c>
      <c r="D3760" t="s" s="24">
        <v>274</v>
      </c>
      <c r="E3760" s="25">
        <v>0.32</v>
      </c>
      <c r="F3760" t="s" s="24">
        <v>301</v>
      </c>
      <c r="G3760" s="152" cm="1">
        <f t="array" ref="G3760">SUM(E3760*4)</f>
        <v>1.28</v>
      </c>
      <c r="H3760" s="15"/>
    </row>
    <row r="3761" ht="13.65" customHeight="1">
      <c r="A3761" s="21">
        <v>71</v>
      </c>
      <c r="B3761" t="s" s="22">
        <v>109</v>
      </c>
      <c r="C3761" s="23">
        <v>10</v>
      </c>
      <c r="D3761" t="s" s="24">
        <v>274</v>
      </c>
      <c r="E3761" s="25">
        <v>5.92</v>
      </c>
      <c r="F3761" s="23">
        <v>2.5</v>
      </c>
      <c r="G3761" s="152" cm="1">
        <f t="array" ref="G3761">SUM(E3761/F3761)</f>
        <v>2.368</v>
      </c>
      <c r="H3761" s="15"/>
    </row>
    <row r="3762" ht="13.65" customHeight="1">
      <c r="A3762" s="21">
        <v>87</v>
      </c>
      <c r="B3762" t="s" s="22">
        <v>110</v>
      </c>
      <c r="C3762" s="23">
        <v>50</v>
      </c>
      <c r="D3762" t="s" s="24">
        <v>274</v>
      </c>
      <c r="E3762" s="25">
        <v>9</v>
      </c>
      <c r="F3762" s="23">
        <v>12.5</v>
      </c>
      <c r="G3762" s="152" cm="1">
        <f t="array" ref="G3762">SUM(E3762/F3762)</f>
        <v>0.72</v>
      </c>
      <c r="H3762" s="15"/>
    </row>
    <row r="3763" ht="13.65" customHeight="1">
      <c r="A3763" s="21">
        <v>55</v>
      </c>
      <c r="B3763" t="s" s="22">
        <v>111</v>
      </c>
      <c r="C3763" t="s" s="24">
        <v>112</v>
      </c>
      <c r="D3763" t="s" s="24">
        <v>461</v>
      </c>
      <c r="E3763" s="25">
        <v>2.71</v>
      </c>
      <c r="F3763" s="23">
        <v>37.5</v>
      </c>
      <c r="G3763" s="152" cm="1">
        <f t="array" ref="G3763">SUM(E3763/F3763)</f>
        <v>0.0722666666666667</v>
      </c>
      <c r="H3763" s="15"/>
    </row>
    <row r="3764" ht="13.65" customHeight="1">
      <c r="A3764" s="21">
        <v>24</v>
      </c>
      <c r="B3764" t="s" s="22">
        <v>502</v>
      </c>
      <c r="C3764" s="23">
        <v>10</v>
      </c>
      <c r="D3764" t="s" s="24">
        <v>104</v>
      </c>
      <c r="E3764" s="25">
        <v>9.6</v>
      </c>
      <c r="F3764" s="23">
        <v>10</v>
      </c>
      <c r="G3764" s="152" cm="1">
        <f t="array" ref="G3764">SUM(E3764/F3764)</f>
        <v>0.96</v>
      </c>
      <c r="H3764" s="15"/>
    </row>
    <row r="3765" ht="13.65" customHeight="1">
      <c r="A3765" s="21">
        <v>10</v>
      </c>
      <c r="B3765" t="s" s="22">
        <v>395</v>
      </c>
      <c r="C3765" t="s" s="24">
        <v>396</v>
      </c>
      <c r="D3765" t="s" s="24">
        <v>397</v>
      </c>
      <c r="E3765" s="25">
        <v>3.92</v>
      </c>
      <c r="F3765" s="23">
        <v>50</v>
      </c>
      <c r="G3765" s="152" cm="1">
        <f t="array" ref="G3765">SUM(E3765/F3765)</f>
        <v>0.0784</v>
      </c>
      <c r="H3765" s="15"/>
    </row>
    <row r="3766" ht="13.65" customHeight="1">
      <c r="A3766" s="21">
        <v>9</v>
      </c>
      <c r="B3766" t="s" s="22">
        <v>398</v>
      </c>
      <c r="C3766" t="s" s="24">
        <v>503</v>
      </c>
      <c r="D3766" t="s" s="24">
        <v>104</v>
      </c>
      <c r="E3766" s="25">
        <v>14</v>
      </c>
      <c r="F3766" s="23">
        <v>50</v>
      </c>
      <c r="G3766" s="152" cm="1">
        <f t="array" ref="G3766">SUM(E3766/F3766)</f>
        <v>0.28</v>
      </c>
      <c r="H3766" s="15"/>
    </row>
    <row r="3767" ht="13.65" customHeight="1">
      <c r="A3767" s="21">
        <v>6</v>
      </c>
      <c r="B3767" t="s" s="22">
        <v>399</v>
      </c>
      <c r="C3767" t="s" s="24">
        <v>436</v>
      </c>
      <c r="D3767" t="s" s="24">
        <v>104</v>
      </c>
      <c r="E3767" s="25">
        <v>19</v>
      </c>
      <c r="F3767" s="23">
        <v>100</v>
      </c>
      <c r="G3767" s="152" cm="1">
        <f t="array" ref="G3767">SUM(E3767/F3767)</f>
        <v>0.19</v>
      </c>
      <c r="H3767" s="15"/>
    </row>
    <row r="3768" ht="13.65" customHeight="1">
      <c r="A3768" s="21">
        <v>11</v>
      </c>
      <c r="B3768" t="s" s="22">
        <v>440</v>
      </c>
      <c r="C3768" t="s" s="24">
        <v>441</v>
      </c>
      <c r="D3768" t="s" s="24">
        <v>442</v>
      </c>
      <c r="E3768" s="25">
        <v>49</v>
      </c>
      <c r="F3768" s="23">
        <v>44</v>
      </c>
      <c r="G3768" s="152" cm="1">
        <f t="array" ref="G3768">SUM(E3768/F3768)</f>
        <v>1.11363636363636</v>
      </c>
      <c r="H3768" s="15"/>
    </row>
    <row r="3769" ht="13.65" customHeight="1">
      <c r="A3769" s="21">
        <v>19</v>
      </c>
      <c r="B3769" t="s" s="22">
        <v>414</v>
      </c>
      <c r="C3769" s="23">
        <v>1</v>
      </c>
      <c r="D3769" t="s" s="24">
        <v>116</v>
      </c>
      <c r="E3769" s="25">
        <v>5.2</v>
      </c>
      <c r="F3769" s="23">
        <v>10</v>
      </c>
      <c r="G3769" s="152" cm="1">
        <f t="array" ref="G3769">SUM(E3769/F3769)</f>
        <v>0.52</v>
      </c>
      <c r="H3769" s="15"/>
    </row>
    <row r="3770" ht="13.65" customHeight="1">
      <c r="A3770" s="21">
        <v>34</v>
      </c>
      <c r="B3770" t="s" s="22">
        <v>456</v>
      </c>
      <c r="C3770" t="s" s="24">
        <v>432</v>
      </c>
      <c r="D3770" t="s" s="24">
        <v>408</v>
      </c>
      <c r="E3770" s="25">
        <v>31</v>
      </c>
      <c r="F3770" s="23">
        <v>14</v>
      </c>
      <c r="G3770" s="152" cm="1">
        <f t="array" ref="G3770">SUM(E3770/F3770)</f>
        <v>2.21428571428571</v>
      </c>
      <c r="H3770" s="15"/>
    </row>
    <row r="3771" ht="13.65" customHeight="1">
      <c r="A3771" s="28"/>
      <c r="B3771" s="28"/>
      <c r="C3771" t="s" s="24">
        <v>390</v>
      </c>
      <c r="D3771" t="s" s="24">
        <v>457</v>
      </c>
      <c r="E3771" s="25">
        <v>14</v>
      </c>
      <c r="F3771" s="23">
        <v>20</v>
      </c>
      <c r="G3771" s="152" cm="1">
        <f t="array" ref="G3771">SUM(E3771/F3771)</f>
        <v>0.7</v>
      </c>
      <c r="H3771" s="15"/>
    </row>
    <row r="3772" ht="13.65" customHeight="1">
      <c r="A3772" s="28"/>
      <c r="B3772" s="28"/>
      <c r="C3772" s="27"/>
      <c r="D3772" s="24"/>
      <c r="E3772" s="27"/>
      <c r="F3772" t="s" s="29">
        <v>118</v>
      </c>
      <c r="G3772" s="197" cm="1">
        <f t="array" ref="G3772">SUM(G3757:G3769)</f>
        <v>8.016703030303031</v>
      </c>
      <c r="H3772" s="15"/>
    </row>
    <row r="3773" ht="13.65" customHeight="1">
      <c r="A3773" s="129"/>
      <c r="B3773" s="129"/>
      <c r="C3773" s="129"/>
      <c r="D3773" s="129"/>
      <c r="E3773" s="129"/>
      <c r="F3773" s="31"/>
      <c r="G3773" s="31"/>
      <c r="H3773" s="3"/>
    </row>
    <row r="3774" ht="11.7" customHeight="1">
      <c r="A3774" t="s" s="167">
        <v>136</v>
      </c>
      <c r="B3774" t="s" s="167">
        <v>281</v>
      </c>
      <c r="C3774" t="s" s="167">
        <v>282</v>
      </c>
      <c r="D3774" t="s" s="168">
        <v>283</v>
      </c>
      <c r="E3774" s="169"/>
      <c r="F3774" s="170"/>
      <c r="G3774" s="171"/>
      <c r="H3774" s="171"/>
    </row>
    <row r="3775" ht="13.65" customHeight="1">
      <c r="A3775" s="23">
        <v>30</v>
      </c>
      <c r="B3775" s="172" cm="1">
        <f t="array" ref="B3775">SUM(H256)</f>
        <v>2.47496540404041</v>
      </c>
      <c r="C3775" s="172" cm="1">
        <f t="array" ref="C3775">SUM(G3772)</f>
        <v>8.016703030303031</v>
      </c>
      <c r="D3775" s="199" cm="1">
        <f t="array" ref="D3775">SUM(A3775*B3775)+(C3775)</f>
        <v>82.26566515151529</v>
      </c>
      <c r="E3775" s="200"/>
      <c r="F3775" s="15"/>
      <c r="G3775" s="3"/>
      <c r="H3775" s="3"/>
    </row>
    <row r="3776" ht="13.65" customHeight="1">
      <c r="A3776" s="31"/>
      <c r="B3776" s="31"/>
      <c r="C3776" s="31"/>
      <c r="D3776" s="31"/>
      <c r="E3776" s="31"/>
      <c r="F3776" s="3"/>
      <c r="G3776" s="3"/>
      <c r="H3776" s="3"/>
    </row>
    <row r="3777" ht="13.65" customHeight="1">
      <c r="A3777" s="3"/>
      <c r="B3777" s="3"/>
      <c r="C3777" s="3"/>
      <c r="D3777" s="3"/>
      <c r="E3777" s="3"/>
      <c r="F3777" s="3"/>
      <c r="G3777" s="3"/>
      <c r="H3777" s="3"/>
    </row>
    <row r="3778" ht="13.65" customHeight="1">
      <c r="A3778" t="s" s="5">
        <v>780</v>
      </c>
      <c r="B3778" s="3"/>
      <c r="C3778" s="3"/>
      <c r="D3778" s="3"/>
      <c r="E3778" s="3"/>
      <c r="F3778" s="3"/>
      <c r="G3778" s="3"/>
      <c r="H3778" s="3"/>
    </row>
    <row r="3779" ht="13.65" customHeight="1">
      <c r="A3779" t="s" s="5">
        <v>781</v>
      </c>
      <c r="B3779" s="3"/>
      <c r="C3779" s="3"/>
      <c r="D3779" s="3"/>
      <c r="E3779" s="3"/>
      <c r="F3779" s="3"/>
      <c r="G3779" s="3"/>
      <c r="H3779" s="3"/>
    </row>
    <row r="3780" ht="13.65" customHeight="1">
      <c r="A3780" s="11"/>
      <c r="B3780" s="11"/>
      <c r="C3780" s="11"/>
      <c r="D3780" s="11"/>
      <c r="E3780" s="11"/>
      <c r="F3780" s="11"/>
      <c r="G3780" s="11"/>
      <c r="H3780" s="3"/>
    </row>
    <row r="3781" ht="13.65" customHeight="1">
      <c r="A3781" s="12"/>
      <c r="B3781" s="12"/>
      <c r="C3781" s="13"/>
      <c r="D3781" s="14"/>
      <c r="E3781" s="13"/>
      <c r="F3781" s="13"/>
      <c r="G3781" t="s" s="14">
        <v>252</v>
      </c>
      <c r="H3781" s="150"/>
    </row>
    <row r="3782" ht="13.65" customHeight="1">
      <c r="A3782" t="s" s="16">
        <v>93</v>
      </c>
      <c r="B3782" t="s" s="16">
        <v>94</v>
      </c>
      <c r="C3782" t="s" s="16">
        <v>95</v>
      </c>
      <c r="D3782" t="s" s="16">
        <v>96</v>
      </c>
      <c r="E3782" t="s" s="16">
        <v>97</v>
      </c>
      <c r="F3782" t="s" s="16">
        <v>98</v>
      </c>
      <c r="G3782" t="s" s="16">
        <v>99</v>
      </c>
      <c r="H3782" s="15"/>
    </row>
    <row r="3783" ht="13.65" customHeight="1">
      <c r="A3783" s="151"/>
      <c r="B3783" s="151"/>
      <c r="C3783" s="19"/>
      <c r="D3783" s="20"/>
      <c r="E3783" s="19"/>
      <c r="F3783" s="19"/>
      <c r="G3783" t="s" s="20">
        <v>100</v>
      </c>
      <c r="H3783" s="15"/>
    </row>
    <row r="3784" ht="13.65" customHeight="1">
      <c r="A3784" s="21">
        <v>72</v>
      </c>
      <c r="B3784" t="s" s="22">
        <v>101</v>
      </c>
      <c r="C3784" s="23">
        <v>50</v>
      </c>
      <c r="D3784" t="s" s="24">
        <v>274</v>
      </c>
      <c r="E3784" s="25">
        <v>1.93</v>
      </c>
      <c r="F3784" s="23">
        <v>12.5</v>
      </c>
      <c r="G3784" s="152" cm="1">
        <f t="array" ref="G3784">SUM(E3784/F3784)</f>
        <v>0.1544</v>
      </c>
      <c r="H3784" s="15"/>
    </row>
    <row r="3785" ht="13.65" customHeight="1">
      <c r="A3785" s="21">
        <v>123</v>
      </c>
      <c r="B3785" t="s" s="22">
        <v>103</v>
      </c>
      <c r="C3785" s="23">
        <v>40</v>
      </c>
      <c r="D3785" t="s" s="24">
        <v>104</v>
      </c>
      <c r="E3785" s="25">
        <v>3.2</v>
      </c>
      <c r="F3785" s="23">
        <v>40</v>
      </c>
      <c r="G3785" s="152" cm="1">
        <f t="array" ref="G3785">SUM(E3785/F3785)</f>
        <v>0.08</v>
      </c>
      <c r="H3785" s="15"/>
    </row>
    <row r="3786" ht="13.65" customHeight="1">
      <c r="A3786" s="21">
        <v>86</v>
      </c>
      <c r="B3786" t="s" s="22">
        <v>107</v>
      </c>
      <c r="C3786" s="23">
        <v>1</v>
      </c>
      <c r="D3786" t="s" s="24">
        <v>274</v>
      </c>
      <c r="E3786" s="25">
        <v>0.32</v>
      </c>
      <c r="F3786" t="s" s="24">
        <v>301</v>
      </c>
      <c r="G3786" s="152" cm="1">
        <f t="array" ref="G3786">SUM(E3786*4)</f>
        <v>1.28</v>
      </c>
      <c r="H3786" s="15"/>
    </row>
    <row r="3787" ht="13.65" customHeight="1">
      <c r="A3787" s="21">
        <v>71</v>
      </c>
      <c r="B3787" t="s" s="22">
        <v>109</v>
      </c>
      <c r="C3787" s="23">
        <v>10</v>
      </c>
      <c r="D3787" t="s" s="24">
        <v>274</v>
      </c>
      <c r="E3787" s="25">
        <v>5.92</v>
      </c>
      <c r="F3787" s="23">
        <v>2.5</v>
      </c>
      <c r="G3787" s="152" cm="1">
        <f t="array" ref="G3787">SUM(E3787/F3787)</f>
        <v>2.368</v>
      </c>
      <c r="H3787" s="15"/>
    </row>
    <row r="3788" ht="13.65" customHeight="1">
      <c r="A3788" s="21">
        <v>87</v>
      </c>
      <c r="B3788" t="s" s="22">
        <v>110</v>
      </c>
      <c r="C3788" s="23">
        <v>50</v>
      </c>
      <c r="D3788" t="s" s="24">
        <v>274</v>
      </c>
      <c r="E3788" s="25">
        <v>9</v>
      </c>
      <c r="F3788" s="23">
        <v>12.5</v>
      </c>
      <c r="G3788" s="152" cm="1">
        <f t="array" ref="G3788">SUM(E3788/F3788)</f>
        <v>0.72</v>
      </c>
      <c r="H3788" s="15"/>
    </row>
    <row r="3789" ht="13.65" customHeight="1">
      <c r="A3789" s="21">
        <v>27</v>
      </c>
      <c r="B3789" t="s" s="22">
        <v>594</v>
      </c>
      <c r="C3789" s="23">
        <v>18</v>
      </c>
      <c r="D3789" t="s" s="24">
        <v>104</v>
      </c>
      <c r="E3789" s="25">
        <v>6.5</v>
      </c>
      <c r="F3789" s="23">
        <v>18</v>
      </c>
      <c r="G3789" s="152" cm="1">
        <f t="array" ref="G3789">SUM(E3789/F3789)</f>
        <v>0.361111111111111</v>
      </c>
      <c r="H3789" s="15"/>
    </row>
    <row r="3790" ht="13.65" customHeight="1">
      <c r="A3790" s="21">
        <v>7</v>
      </c>
      <c r="B3790" t="s" s="22">
        <v>477</v>
      </c>
      <c r="C3790" t="s" s="24">
        <v>478</v>
      </c>
      <c r="D3790" t="s" s="24">
        <v>479</v>
      </c>
      <c r="E3790" s="25">
        <v>14</v>
      </c>
      <c r="F3790" s="23">
        <v>40</v>
      </c>
      <c r="G3790" s="152" cm="1">
        <f t="array" ref="G3790">SUM(E3790/F3790)</f>
        <v>0.35</v>
      </c>
      <c r="H3790" s="15"/>
    </row>
    <row r="3791" ht="13.65" customHeight="1">
      <c r="A3791" s="21">
        <v>68</v>
      </c>
      <c r="B3791" t="s" s="22">
        <v>480</v>
      </c>
      <c r="C3791" t="s" s="24">
        <v>481</v>
      </c>
      <c r="D3791" t="s" s="24">
        <v>597</v>
      </c>
      <c r="E3791" s="25">
        <v>16</v>
      </c>
      <c r="F3791" s="23">
        <v>5</v>
      </c>
      <c r="G3791" s="152" cm="1">
        <f t="array" ref="G3791">SUM(E3791/F3791)</f>
        <v>3.2</v>
      </c>
      <c r="H3791" s="15"/>
    </row>
    <row r="3792" ht="13.65" customHeight="1">
      <c r="A3792" s="21">
        <v>69</v>
      </c>
      <c r="B3792" t="s" s="22">
        <v>598</v>
      </c>
      <c r="C3792" t="s" s="24">
        <v>481</v>
      </c>
      <c r="D3792" t="s" s="24">
        <v>597</v>
      </c>
      <c r="E3792" s="25">
        <v>3.5</v>
      </c>
      <c r="F3792" s="23">
        <v>5</v>
      </c>
      <c r="G3792" s="152" cm="1">
        <f t="array" ref="G3792">SUM(E3792/F3792)</f>
        <v>0.7</v>
      </c>
      <c r="H3792" s="15"/>
    </row>
    <row r="3793" ht="13.65" customHeight="1">
      <c r="A3793" s="21">
        <v>70</v>
      </c>
      <c r="B3793" t="s" s="22">
        <v>738</v>
      </c>
      <c r="C3793" s="23">
        <v>1</v>
      </c>
      <c r="D3793" t="s" s="24">
        <v>375</v>
      </c>
      <c r="E3793" s="25">
        <v>22</v>
      </c>
      <c r="F3793" s="23">
        <v>2</v>
      </c>
      <c r="G3793" s="152" cm="1">
        <f t="array" ref="G3793">SUM(E3793/F3793)</f>
        <v>11</v>
      </c>
      <c r="H3793" s="15"/>
    </row>
    <row r="3794" ht="13.65" customHeight="1">
      <c r="A3794" s="28"/>
      <c r="B3794" s="28"/>
      <c r="C3794" s="27"/>
      <c r="D3794" s="24"/>
      <c r="E3794" s="27"/>
      <c r="F3794" t="s" s="29">
        <v>118</v>
      </c>
      <c r="G3794" s="197" cm="1">
        <f t="array" ref="G3794">SUM(G3784:G3793)</f>
        <v>20.2135111111111</v>
      </c>
      <c r="H3794" s="15"/>
    </row>
    <row r="3795" ht="13.65" customHeight="1">
      <c r="A3795" s="129"/>
      <c r="B3795" s="129"/>
      <c r="C3795" s="129"/>
      <c r="D3795" s="129"/>
      <c r="E3795" s="129"/>
      <c r="F3795" s="31"/>
      <c r="G3795" s="31"/>
      <c r="H3795" s="3"/>
    </row>
    <row r="3796" ht="11.7" customHeight="1">
      <c r="A3796" t="s" s="167">
        <v>136</v>
      </c>
      <c r="B3796" t="s" s="167">
        <v>281</v>
      </c>
      <c r="C3796" t="s" s="167">
        <v>282</v>
      </c>
      <c r="D3796" t="s" s="168">
        <v>283</v>
      </c>
      <c r="E3796" s="169"/>
      <c r="F3796" s="170"/>
      <c r="G3796" s="171"/>
      <c r="H3796" s="171"/>
    </row>
    <row r="3797" ht="13.65" customHeight="1">
      <c r="A3797" s="23">
        <v>55</v>
      </c>
      <c r="B3797" s="172" cm="1">
        <f t="array" ref="B3797">SUM(H256)</f>
        <v>2.47496540404041</v>
      </c>
      <c r="C3797" s="172" cm="1">
        <f t="array" ref="C3797">SUM(G3794)</f>
        <v>20.2135111111111</v>
      </c>
      <c r="D3797" s="199" cm="1">
        <f t="array" ref="D3797">SUM(A3797*B3797)+(C3797)</f>
        <v>156.336608333334</v>
      </c>
      <c r="E3797" s="200"/>
      <c r="F3797" s="15"/>
      <c r="G3797" s="3"/>
      <c r="H3797" s="3"/>
    </row>
    <row r="3798" ht="13.65" customHeight="1">
      <c r="A3798" s="31"/>
      <c r="B3798" s="31"/>
      <c r="C3798" s="31"/>
      <c r="D3798" s="31"/>
      <c r="E3798" s="31"/>
      <c r="F3798" s="3"/>
      <c r="G3798" s="3"/>
      <c r="H3798" s="3"/>
    </row>
    <row r="3799" ht="13.65" customHeight="1">
      <c r="A3799" s="203"/>
      <c r="B3799" s="203"/>
      <c r="C3799" s="203"/>
      <c r="D3799" s="203"/>
      <c r="E3799" s="203"/>
      <c r="F3799" s="203"/>
      <c r="G3799" s="203"/>
      <c r="H3799" s="203"/>
    </row>
    <row r="3800" ht="13.65" customHeight="1">
      <c r="A3800" t="s" s="274">
        <v>185</v>
      </c>
      <c r="B3800" s="275"/>
      <c r="C3800" s="275"/>
      <c r="D3800" s="275"/>
      <c r="E3800" s="280"/>
      <c r="F3800" s="275"/>
      <c r="G3800" s="275"/>
      <c r="H3800" s="277"/>
    </row>
    <row r="3801" ht="13.65" customHeight="1">
      <c r="A3801" s="278"/>
      <c r="B3801" s="278"/>
      <c r="C3801" s="278"/>
      <c r="D3801" s="278"/>
      <c r="E3801" s="278"/>
      <c r="F3801" s="278"/>
      <c r="G3801" s="278"/>
      <c r="H3801" s="278"/>
    </row>
    <row r="3802" ht="13.65" customHeight="1">
      <c r="A3802" s="3"/>
      <c r="B3802" s="3"/>
      <c r="C3802" s="3"/>
      <c r="D3802" s="3"/>
      <c r="E3802" s="3"/>
      <c r="F3802" s="3"/>
      <c r="G3802" s="3"/>
      <c r="H3802" s="3"/>
    </row>
    <row r="3803" ht="13.65" customHeight="1">
      <c r="A3803" t="s" s="5">
        <v>782</v>
      </c>
      <c r="B3803" s="3"/>
      <c r="C3803" s="3"/>
      <c r="D3803" s="3"/>
      <c r="E3803" s="3"/>
      <c r="F3803" s="3"/>
      <c r="G3803" s="3"/>
      <c r="H3803" s="3"/>
    </row>
    <row r="3804" ht="13.65" customHeight="1">
      <c r="A3804" s="11"/>
      <c r="B3804" s="11"/>
      <c r="C3804" s="11"/>
      <c r="D3804" s="11"/>
      <c r="E3804" s="11"/>
      <c r="F3804" s="11"/>
      <c r="G3804" s="11"/>
      <c r="H3804" s="3"/>
    </row>
    <row r="3805" ht="13.65" customHeight="1">
      <c r="A3805" s="12"/>
      <c r="B3805" s="12"/>
      <c r="C3805" s="13"/>
      <c r="D3805" s="14"/>
      <c r="E3805" s="13"/>
      <c r="F3805" s="13"/>
      <c r="G3805" t="s" s="14">
        <v>252</v>
      </c>
      <c r="H3805" s="150"/>
    </row>
    <row r="3806" ht="13.65" customHeight="1">
      <c r="A3806" t="s" s="16">
        <v>93</v>
      </c>
      <c r="B3806" t="s" s="16">
        <v>94</v>
      </c>
      <c r="C3806" t="s" s="16">
        <v>95</v>
      </c>
      <c r="D3806" t="s" s="16">
        <v>96</v>
      </c>
      <c r="E3806" t="s" s="16">
        <v>97</v>
      </c>
      <c r="F3806" t="s" s="16">
        <v>98</v>
      </c>
      <c r="G3806" t="s" s="16">
        <v>99</v>
      </c>
      <c r="H3806" s="15"/>
    </row>
    <row r="3807" ht="13.65" customHeight="1">
      <c r="A3807" s="151"/>
      <c r="B3807" s="151"/>
      <c r="C3807" s="19"/>
      <c r="D3807" s="20"/>
      <c r="E3807" s="19"/>
      <c r="F3807" s="19"/>
      <c r="G3807" t="s" s="20">
        <v>100</v>
      </c>
      <c r="H3807" s="15"/>
    </row>
    <row r="3808" ht="13.65" customHeight="1">
      <c r="A3808" s="21">
        <v>72</v>
      </c>
      <c r="B3808" t="s" s="22">
        <v>101</v>
      </c>
      <c r="C3808" s="23">
        <v>50</v>
      </c>
      <c r="D3808" t="s" s="24">
        <v>274</v>
      </c>
      <c r="E3808" s="25">
        <v>1.93</v>
      </c>
      <c r="F3808" s="23">
        <v>12.5</v>
      </c>
      <c r="G3808" s="152" cm="1">
        <f t="array" ref="G3808">SUM(E3808/F3808)</f>
        <v>0.1544</v>
      </c>
      <c r="H3808" s="15"/>
    </row>
    <row r="3809" ht="13.65" customHeight="1">
      <c r="A3809" s="21">
        <v>123</v>
      </c>
      <c r="B3809" t="s" s="22">
        <v>103</v>
      </c>
      <c r="C3809" s="23">
        <v>40</v>
      </c>
      <c r="D3809" t="s" s="24">
        <v>104</v>
      </c>
      <c r="E3809" s="25">
        <v>3.2</v>
      </c>
      <c r="F3809" s="23">
        <v>40</v>
      </c>
      <c r="G3809" s="152" cm="1">
        <f t="array" ref="G3809">SUM(E3809/F3809)</f>
        <v>0.08</v>
      </c>
      <c r="H3809" s="15"/>
    </row>
    <row r="3810" ht="13.65" customHeight="1">
      <c r="A3810" s="21">
        <v>86</v>
      </c>
      <c r="B3810" t="s" s="22">
        <v>107</v>
      </c>
      <c r="C3810" s="23">
        <v>1</v>
      </c>
      <c r="D3810" t="s" s="24">
        <v>274</v>
      </c>
      <c r="E3810" s="25">
        <v>0.32</v>
      </c>
      <c r="F3810" t="s" s="24">
        <v>301</v>
      </c>
      <c r="G3810" s="152" cm="1">
        <f t="array" ref="G3810">SUM(E3810*4)</f>
        <v>1.28</v>
      </c>
      <c r="H3810" s="15"/>
    </row>
    <row r="3811" ht="13.65" customHeight="1">
      <c r="A3811" s="21">
        <v>71</v>
      </c>
      <c r="B3811" t="s" s="22">
        <v>109</v>
      </c>
      <c r="C3811" s="23">
        <v>10</v>
      </c>
      <c r="D3811" t="s" s="24">
        <v>274</v>
      </c>
      <c r="E3811" s="25">
        <v>5.92</v>
      </c>
      <c r="F3811" s="23">
        <v>2.5</v>
      </c>
      <c r="G3811" s="152" cm="1">
        <f t="array" ref="G3811">SUM(E3811/F3811)</f>
        <v>2.368</v>
      </c>
      <c r="H3811" s="15"/>
    </row>
    <row r="3812" ht="13.65" customHeight="1">
      <c r="A3812" s="21">
        <v>87</v>
      </c>
      <c r="B3812" t="s" s="22">
        <v>110</v>
      </c>
      <c r="C3812" s="23">
        <v>50</v>
      </c>
      <c r="D3812" t="s" s="24">
        <v>274</v>
      </c>
      <c r="E3812" s="25">
        <v>9</v>
      </c>
      <c r="F3812" s="23">
        <v>12.5</v>
      </c>
      <c r="G3812" s="152" cm="1">
        <f t="array" ref="G3812">SUM(E3812/F3812)</f>
        <v>0.72</v>
      </c>
      <c r="H3812" s="15"/>
    </row>
    <row r="3813" ht="13.65" customHeight="1">
      <c r="A3813" s="21">
        <v>27</v>
      </c>
      <c r="B3813" t="s" s="22">
        <v>594</v>
      </c>
      <c r="C3813" s="23">
        <v>18</v>
      </c>
      <c r="D3813" t="s" s="24">
        <v>104</v>
      </c>
      <c r="E3813" s="25">
        <v>6.5</v>
      </c>
      <c r="F3813" s="23">
        <v>18</v>
      </c>
      <c r="G3813" s="152" cm="1">
        <f t="array" ref="G3813">SUM(E3813/F3813)</f>
        <v>0.361111111111111</v>
      </c>
      <c r="H3813" s="15"/>
    </row>
    <row r="3814" ht="13.65" customHeight="1">
      <c r="A3814" s="21">
        <v>7</v>
      </c>
      <c r="B3814" t="s" s="22">
        <v>477</v>
      </c>
      <c r="C3814" t="s" s="24">
        <v>478</v>
      </c>
      <c r="D3814" t="s" s="24">
        <v>479</v>
      </c>
      <c r="E3814" s="25">
        <v>14</v>
      </c>
      <c r="F3814" s="23">
        <v>40</v>
      </c>
      <c r="G3814" s="152" cm="1">
        <f t="array" ref="G3814">SUM(E3814/F3814)</f>
        <v>0.35</v>
      </c>
      <c r="H3814" s="15"/>
    </row>
    <row r="3815" ht="13.65" customHeight="1">
      <c r="A3815" s="21">
        <v>68</v>
      </c>
      <c r="B3815" t="s" s="22">
        <v>480</v>
      </c>
      <c r="C3815" t="s" s="24">
        <v>481</v>
      </c>
      <c r="D3815" t="s" s="24">
        <v>597</v>
      </c>
      <c r="E3815" s="25">
        <v>16</v>
      </c>
      <c r="F3815" s="23">
        <v>5</v>
      </c>
      <c r="G3815" s="152" cm="1">
        <f t="array" ref="G3815">SUM(E3815/F3815)</f>
        <v>3.2</v>
      </c>
      <c r="H3815" s="15"/>
    </row>
    <row r="3816" ht="13.65" customHeight="1">
      <c r="A3816" s="21">
        <v>69</v>
      </c>
      <c r="B3816" t="s" s="22">
        <v>598</v>
      </c>
      <c r="C3816" t="s" s="24">
        <v>481</v>
      </c>
      <c r="D3816" t="s" s="24">
        <v>597</v>
      </c>
      <c r="E3816" s="25">
        <v>3.5</v>
      </c>
      <c r="F3816" s="23">
        <v>5</v>
      </c>
      <c r="G3816" s="152" cm="1">
        <f t="array" ref="G3816">SUM(E3816/F3816)</f>
        <v>0.7</v>
      </c>
      <c r="H3816" s="15"/>
    </row>
    <row r="3817" ht="13.65" customHeight="1">
      <c r="A3817" s="21">
        <v>131</v>
      </c>
      <c r="B3817" t="s" s="22">
        <v>482</v>
      </c>
      <c r="C3817" s="27"/>
      <c r="D3817" s="24"/>
      <c r="E3817" s="25"/>
      <c r="F3817" s="27"/>
      <c r="G3817" s="152">
        <v>15</v>
      </c>
      <c r="H3817" s="15"/>
    </row>
    <row r="3818" ht="13.65" customHeight="1">
      <c r="A3818" s="28"/>
      <c r="B3818" s="28"/>
      <c r="C3818" s="27"/>
      <c r="D3818" s="24"/>
      <c r="E3818" s="27"/>
      <c r="F3818" t="s" s="29">
        <v>118</v>
      </c>
      <c r="G3818" s="197" cm="1">
        <f t="array" ref="G3818">SUM(G3808:G3817)</f>
        <v>24.2135111111111</v>
      </c>
      <c r="H3818" s="15"/>
    </row>
    <row r="3819" ht="13.65" customHeight="1">
      <c r="A3819" s="129"/>
      <c r="B3819" s="129"/>
      <c r="C3819" s="129"/>
      <c r="D3819" s="129"/>
      <c r="E3819" s="129"/>
      <c r="F3819" s="31"/>
      <c r="G3819" s="31"/>
      <c r="H3819" s="3"/>
    </row>
    <row r="3820" ht="11.7" customHeight="1">
      <c r="A3820" t="s" s="167">
        <v>136</v>
      </c>
      <c r="B3820" t="s" s="167">
        <v>281</v>
      </c>
      <c r="C3820" t="s" s="167">
        <v>282</v>
      </c>
      <c r="D3820" t="s" s="168">
        <v>283</v>
      </c>
      <c r="E3820" s="169"/>
      <c r="F3820" s="170"/>
      <c r="G3820" s="171"/>
      <c r="H3820" s="171"/>
    </row>
    <row r="3821" ht="13.65" customHeight="1">
      <c r="A3821" s="23">
        <v>55</v>
      </c>
      <c r="B3821" s="172" cm="1">
        <f t="array" ref="B3821">SUM(H256)</f>
        <v>2.47496540404041</v>
      </c>
      <c r="C3821" s="270" cm="1">
        <f t="array" ref="C3821">SUM(G3818)</f>
        <v>24.2135111111111</v>
      </c>
      <c r="D3821" s="199" cm="1">
        <f t="array" ref="D3821">SUM(A3821*B3821)+(C3821)</f>
        <v>160.336608333334</v>
      </c>
      <c r="E3821" s="200"/>
      <c r="F3821" s="15"/>
      <c r="G3821" s="3"/>
      <c r="H3821" s="3"/>
    </row>
    <row r="3822" ht="13.65" customHeight="1">
      <c r="A3822" s="31"/>
      <c r="B3822" s="31"/>
      <c r="C3822" s="31"/>
      <c r="D3822" s="31"/>
      <c r="E3822" s="31"/>
      <c r="F3822" s="3"/>
      <c r="G3822" s="3"/>
      <c r="H3822" s="3"/>
    </row>
    <row r="3823" ht="13.65" customHeight="1">
      <c r="A3823" s="3"/>
      <c r="B3823" s="3"/>
      <c r="C3823" s="3"/>
      <c r="D3823" s="3"/>
      <c r="E3823" s="3"/>
      <c r="F3823" s="3"/>
      <c r="G3823" s="3"/>
      <c r="H3823" s="3"/>
    </row>
    <row r="3824" ht="13.65" customHeight="1">
      <c r="A3824" t="s" s="5">
        <v>783</v>
      </c>
      <c r="B3824" s="3"/>
      <c r="C3824" s="3"/>
      <c r="D3824" s="3"/>
      <c r="E3824" s="3"/>
      <c r="F3824" s="3"/>
      <c r="G3824" s="3"/>
      <c r="H3824" s="3"/>
    </row>
    <row r="3825" ht="13.65" customHeight="1">
      <c r="A3825" s="11"/>
      <c r="B3825" s="11"/>
      <c r="C3825" s="11"/>
      <c r="D3825" s="11"/>
      <c r="E3825" s="11"/>
      <c r="F3825" s="11"/>
      <c r="G3825" s="11"/>
      <c r="H3825" s="3"/>
    </row>
    <row r="3826" ht="13.65" customHeight="1">
      <c r="A3826" s="12"/>
      <c r="B3826" s="12"/>
      <c r="C3826" s="13"/>
      <c r="D3826" s="14"/>
      <c r="E3826" s="13"/>
      <c r="F3826" s="13"/>
      <c r="G3826" t="s" s="14">
        <v>252</v>
      </c>
      <c r="H3826" s="150"/>
    </row>
    <row r="3827" ht="13.65" customHeight="1">
      <c r="A3827" t="s" s="16">
        <v>93</v>
      </c>
      <c r="B3827" t="s" s="16">
        <v>94</v>
      </c>
      <c r="C3827" t="s" s="16">
        <v>95</v>
      </c>
      <c r="D3827" t="s" s="16">
        <v>96</v>
      </c>
      <c r="E3827" t="s" s="16">
        <v>97</v>
      </c>
      <c r="F3827" t="s" s="16">
        <v>98</v>
      </c>
      <c r="G3827" t="s" s="16">
        <v>99</v>
      </c>
      <c r="H3827" s="15"/>
    </row>
    <row r="3828" ht="13.65" customHeight="1">
      <c r="A3828" s="151"/>
      <c r="B3828" s="151"/>
      <c r="C3828" s="19"/>
      <c r="D3828" s="20"/>
      <c r="E3828" s="19"/>
      <c r="F3828" s="19"/>
      <c r="G3828" t="s" s="20">
        <v>100</v>
      </c>
      <c r="H3828" s="15"/>
    </row>
    <row r="3829" ht="13.65" customHeight="1">
      <c r="A3829" s="21">
        <v>72</v>
      </c>
      <c r="B3829" t="s" s="22">
        <v>101</v>
      </c>
      <c r="C3829" s="23">
        <v>50</v>
      </c>
      <c r="D3829" t="s" s="24">
        <v>274</v>
      </c>
      <c r="E3829" s="25">
        <v>1.93</v>
      </c>
      <c r="F3829" s="23">
        <v>12.5</v>
      </c>
      <c r="G3829" s="152" cm="1">
        <f t="array" ref="G3829">SUM(E3829/F3829)</f>
        <v>0.1544</v>
      </c>
      <c r="H3829" s="15"/>
    </row>
    <row r="3830" ht="13.65" customHeight="1">
      <c r="A3830" s="21">
        <v>123</v>
      </c>
      <c r="B3830" t="s" s="22">
        <v>103</v>
      </c>
      <c r="C3830" s="23">
        <v>40</v>
      </c>
      <c r="D3830" t="s" s="24">
        <v>104</v>
      </c>
      <c r="E3830" s="25">
        <v>3.2</v>
      </c>
      <c r="F3830" s="23">
        <v>40</v>
      </c>
      <c r="G3830" s="152" cm="1">
        <f t="array" ref="G3830">SUM(E3830/F3830)</f>
        <v>0.08</v>
      </c>
      <c r="H3830" s="15"/>
    </row>
    <row r="3831" ht="13.65" customHeight="1">
      <c r="A3831" s="21">
        <v>86</v>
      </c>
      <c r="B3831" t="s" s="22">
        <v>107</v>
      </c>
      <c r="C3831" s="23">
        <v>1</v>
      </c>
      <c r="D3831" t="s" s="24">
        <v>274</v>
      </c>
      <c r="E3831" s="25">
        <v>0.32</v>
      </c>
      <c r="F3831" t="s" s="24">
        <v>301</v>
      </c>
      <c r="G3831" s="152" cm="1">
        <f t="array" ref="G3831">SUM(E3831*4)</f>
        <v>1.28</v>
      </c>
      <c r="H3831" s="15"/>
    </row>
    <row r="3832" ht="13.65" customHeight="1">
      <c r="A3832" s="21">
        <v>71</v>
      </c>
      <c r="B3832" t="s" s="22">
        <v>109</v>
      </c>
      <c r="C3832" s="23">
        <v>10</v>
      </c>
      <c r="D3832" t="s" s="24">
        <v>274</v>
      </c>
      <c r="E3832" s="25">
        <v>5.92</v>
      </c>
      <c r="F3832" s="23">
        <v>2.5</v>
      </c>
      <c r="G3832" s="152" cm="1">
        <f t="array" ref="G3832">SUM(E3832/F3832)</f>
        <v>2.368</v>
      </c>
      <c r="H3832" s="15"/>
    </row>
    <row r="3833" ht="13.65" customHeight="1">
      <c r="A3833" s="21">
        <v>87</v>
      </c>
      <c r="B3833" t="s" s="22">
        <v>110</v>
      </c>
      <c r="C3833" s="23">
        <v>50</v>
      </c>
      <c r="D3833" t="s" s="24">
        <v>274</v>
      </c>
      <c r="E3833" s="25">
        <v>9</v>
      </c>
      <c r="F3833" s="23">
        <v>12.5</v>
      </c>
      <c r="G3833" s="152" cm="1">
        <f t="array" ref="G3833">SUM(E3833/F3833)</f>
        <v>0.72</v>
      </c>
      <c r="H3833" s="15"/>
    </row>
    <row r="3834" ht="13.65" customHeight="1">
      <c r="A3834" s="21">
        <v>55</v>
      </c>
      <c r="B3834" t="s" s="22">
        <v>111</v>
      </c>
      <c r="C3834" t="s" s="24">
        <v>112</v>
      </c>
      <c r="D3834" t="s" s="24">
        <v>113</v>
      </c>
      <c r="E3834" s="25">
        <v>2.71</v>
      </c>
      <c r="F3834" s="23">
        <v>75</v>
      </c>
      <c r="G3834" s="152" cm="1">
        <f t="array" ref="G3834">SUM(E3834/F3834)</f>
        <v>0.0361333333333333</v>
      </c>
      <c r="H3834" s="15"/>
    </row>
    <row r="3835" ht="13.65" customHeight="1">
      <c r="A3835" s="21">
        <v>24</v>
      </c>
      <c r="B3835" t="s" s="22">
        <v>572</v>
      </c>
      <c r="C3835" s="23">
        <v>10</v>
      </c>
      <c r="D3835" t="s" s="24">
        <v>102</v>
      </c>
      <c r="E3835" s="25">
        <v>9.6</v>
      </c>
      <c r="F3835" s="23">
        <v>5</v>
      </c>
      <c r="G3835" s="152" cm="1">
        <f t="array" ref="G3835">SUM(E3835/F3835)</f>
        <v>1.92</v>
      </c>
      <c r="H3835" s="15"/>
    </row>
    <row r="3836" ht="13.65" customHeight="1">
      <c r="A3836" s="21">
        <v>107</v>
      </c>
      <c r="B3836" t="s" s="22">
        <v>573</v>
      </c>
      <c r="C3836" s="23">
        <v>1</v>
      </c>
      <c r="D3836" t="s" s="24">
        <v>401</v>
      </c>
      <c r="E3836" s="25">
        <v>2.54</v>
      </c>
      <c r="F3836" s="23">
        <v>30</v>
      </c>
      <c r="G3836" s="152" cm="1">
        <f t="array" ref="G3836">SUM(E3836/F3836)</f>
        <v>0.0846666666666667</v>
      </c>
      <c r="H3836" s="15"/>
    </row>
    <row r="3837" ht="13.65" customHeight="1">
      <c r="A3837" s="21">
        <v>18</v>
      </c>
      <c r="B3837" t="s" s="22">
        <v>574</v>
      </c>
      <c r="C3837" s="23">
        <v>2</v>
      </c>
      <c r="D3837" t="s" s="24">
        <v>575</v>
      </c>
      <c r="E3837" s="25">
        <v>25</v>
      </c>
      <c r="F3837" s="23">
        <v>5</v>
      </c>
      <c r="G3837" s="152" cm="1">
        <f t="array" ref="G3837">SUM(E3837/F3837)</f>
        <v>5</v>
      </c>
      <c r="H3837" s="15"/>
    </row>
    <row r="3838" ht="13.65" customHeight="1">
      <c r="A3838" s="21">
        <v>124</v>
      </c>
      <c r="B3838" t="s" s="22">
        <v>372</v>
      </c>
      <c r="C3838" s="23">
        <v>1</v>
      </c>
      <c r="D3838" t="s" s="24">
        <v>373</v>
      </c>
      <c r="E3838" s="25">
        <v>2.2</v>
      </c>
      <c r="F3838" s="23">
        <v>15</v>
      </c>
      <c r="G3838" s="152" cm="1">
        <f t="array" ref="G3838">SUM(E3838/F3838)</f>
        <v>0.146666666666667</v>
      </c>
      <c r="H3838" s="15"/>
    </row>
    <row r="3839" ht="13.65" customHeight="1">
      <c r="A3839" s="21">
        <v>101</v>
      </c>
      <c r="B3839" t="s" s="22">
        <v>583</v>
      </c>
      <c r="C3839" t="s" s="24">
        <v>380</v>
      </c>
      <c r="D3839" t="s" s="24">
        <v>424</v>
      </c>
      <c r="E3839" s="25">
        <v>7.5</v>
      </c>
      <c r="F3839" s="23">
        <v>100</v>
      </c>
      <c r="G3839" s="152" cm="1">
        <f t="array" ref="G3839">SUM(E3839/F3839)</f>
        <v>0.075</v>
      </c>
      <c r="H3839" s="15"/>
    </row>
    <row r="3840" ht="13.65" customHeight="1">
      <c r="A3840" s="21">
        <v>61</v>
      </c>
      <c r="B3840" t="s" s="22">
        <v>388</v>
      </c>
      <c r="C3840" t="s" s="24">
        <v>389</v>
      </c>
      <c r="D3840" t="s" s="24">
        <v>390</v>
      </c>
      <c r="E3840" s="25">
        <v>3</v>
      </c>
      <c r="F3840" s="23">
        <v>10</v>
      </c>
      <c r="G3840" s="152" cm="1">
        <f t="array" ref="G3840">SUM(E3840/F3840)</f>
        <v>0.3</v>
      </c>
      <c r="H3840" s="15"/>
    </row>
    <row r="3841" ht="13.65" customHeight="1">
      <c r="A3841" s="28"/>
      <c r="B3841" s="28"/>
      <c r="C3841" s="27"/>
      <c r="D3841" s="24"/>
      <c r="E3841" s="27"/>
      <c r="F3841" t="s" s="29">
        <v>118</v>
      </c>
      <c r="G3841" s="197" cm="1">
        <f t="array" ref="G3841">SUM(G3829:G3840)</f>
        <v>12.1648666666667</v>
      </c>
      <c r="H3841" s="15"/>
    </row>
    <row r="3842" ht="13.65" customHeight="1">
      <c r="A3842" s="129"/>
      <c r="B3842" s="129"/>
      <c r="C3842" s="129"/>
      <c r="D3842" s="129"/>
      <c r="E3842" s="129"/>
      <c r="F3842" s="31"/>
      <c r="G3842" s="31"/>
      <c r="H3842" s="3"/>
    </row>
    <row r="3843" ht="11.7" customHeight="1">
      <c r="A3843" t="s" s="167">
        <v>136</v>
      </c>
      <c r="B3843" t="s" s="167">
        <v>281</v>
      </c>
      <c r="C3843" t="s" s="167">
        <v>282</v>
      </c>
      <c r="D3843" t="s" s="168">
        <v>283</v>
      </c>
      <c r="E3843" s="169"/>
      <c r="F3843" s="170"/>
      <c r="G3843" s="171"/>
      <c r="H3843" s="171"/>
    </row>
    <row r="3844" ht="13.65" customHeight="1">
      <c r="A3844" s="23">
        <v>45</v>
      </c>
      <c r="B3844" s="172" cm="1">
        <f t="array" ref="B3844">SUM(H256)</f>
        <v>2.47496540404041</v>
      </c>
      <c r="C3844" s="172" cm="1">
        <f t="array" ref="C3844">SUM(G3841)</f>
        <v>12.1648666666667</v>
      </c>
      <c r="D3844" s="199" cm="1">
        <f t="array" ref="D3844">SUM(A3844*B3844)+(C3844)</f>
        <v>123.538309848485</v>
      </c>
      <c r="E3844" s="200"/>
      <c r="F3844" s="15"/>
      <c r="G3844" s="3"/>
      <c r="H3844" s="3"/>
    </row>
    <row r="3845" ht="13.65" customHeight="1">
      <c r="A3845" s="31"/>
      <c r="B3845" s="31"/>
      <c r="C3845" s="31"/>
      <c r="D3845" s="31"/>
      <c r="E3845" s="31"/>
      <c r="F3845" s="3"/>
      <c r="G3845" s="3"/>
      <c r="H3845" s="3"/>
    </row>
    <row r="3846" ht="13.65" customHeight="1">
      <c r="A3846" s="203"/>
      <c r="B3846" s="203"/>
      <c r="C3846" s="203"/>
      <c r="D3846" s="203"/>
      <c r="E3846" s="203"/>
      <c r="F3846" s="203"/>
      <c r="G3846" s="203"/>
      <c r="H3846" s="203"/>
    </row>
    <row r="3847" ht="13.65" customHeight="1">
      <c r="A3847" t="s" s="274">
        <v>185</v>
      </c>
      <c r="B3847" s="275"/>
      <c r="C3847" s="275"/>
      <c r="D3847" s="275"/>
      <c r="E3847" s="280"/>
      <c r="F3847" s="275"/>
      <c r="G3847" s="275"/>
      <c r="H3847" s="277"/>
    </row>
    <row r="3848" ht="13.65" customHeight="1">
      <c r="A3848" s="278"/>
      <c r="B3848" s="278"/>
      <c r="C3848" s="278"/>
      <c r="D3848" s="278"/>
      <c r="E3848" s="278"/>
      <c r="F3848" s="278"/>
      <c r="G3848" s="278"/>
      <c r="H3848" s="278"/>
    </row>
    <row r="3849" ht="13.65" customHeight="1">
      <c r="A3849" s="3"/>
      <c r="B3849" s="3"/>
      <c r="C3849" s="3"/>
      <c r="D3849" s="3"/>
      <c r="E3849" s="3"/>
      <c r="F3849" s="3"/>
      <c r="G3849" s="3"/>
      <c r="H3849" s="3"/>
    </row>
    <row r="3850" ht="13.65" customHeight="1">
      <c r="A3850" t="s" s="5">
        <v>784</v>
      </c>
      <c r="B3850" s="3"/>
      <c r="C3850" s="3"/>
      <c r="D3850" s="3"/>
      <c r="E3850" s="3"/>
      <c r="F3850" s="3"/>
      <c r="G3850" s="3"/>
      <c r="H3850" s="3"/>
    </row>
    <row r="3851" ht="13.65" customHeight="1">
      <c r="A3851" s="11"/>
      <c r="B3851" s="11"/>
      <c r="C3851" s="11"/>
      <c r="D3851" s="11"/>
      <c r="E3851" s="11"/>
      <c r="F3851" s="11"/>
      <c r="G3851" s="11"/>
      <c r="H3851" s="3"/>
    </row>
    <row r="3852" ht="13.65" customHeight="1">
      <c r="A3852" s="12"/>
      <c r="B3852" s="12"/>
      <c r="C3852" s="13"/>
      <c r="D3852" s="14"/>
      <c r="E3852" s="13"/>
      <c r="F3852" s="13"/>
      <c r="G3852" t="s" s="14">
        <v>252</v>
      </c>
      <c r="H3852" s="150"/>
    </row>
    <row r="3853" ht="13.65" customHeight="1">
      <c r="A3853" t="s" s="16">
        <v>93</v>
      </c>
      <c r="B3853" t="s" s="16">
        <v>94</v>
      </c>
      <c r="C3853" t="s" s="16">
        <v>95</v>
      </c>
      <c r="D3853" t="s" s="16">
        <v>96</v>
      </c>
      <c r="E3853" t="s" s="16">
        <v>97</v>
      </c>
      <c r="F3853" t="s" s="16">
        <v>98</v>
      </c>
      <c r="G3853" t="s" s="16">
        <v>99</v>
      </c>
      <c r="H3853" s="15"/>
    </row>
    <row r="3854" ht="13.65" customHeight="1">
      <c r="A3854" s="151"/>
      <c r="B3854" s="151"/>
      <c r="C3854" s="19"/>
      <c r="D3854" s="20"/>
      <c r="E3854" s="19"/>
      <c r="F3854" s="19"/>
      <c r="G3854" t="s" s="20">
        <v>100</v>
      </c>
      <c r="H3854" s="15"/>
    </row>
    <row r="3855" ht="13.65" customHeight="1">
      <c r="A3855" s="21">
        <v>72</v>
      </c>
      <c r="B3855" t="s" s="22">
        <v>101</v>
      </c>
      <c r="C3855" s="23">
        <v>50</v>
      </c>
      <c r="D3855" t="s" s="24">
        <v>274</v>
      </c>
      <c r="E3855" s="25">
        <v>1.93</v>
      </c>
      <c r="F3855" s="23">
        <v>12.5</v>
      </c>
      <c r="G3855" s="152" cm="1">
        <f t="array" ref="G3855">SUM(E3855/F3855)</f>
        <v>0.1544</v>
      </c>
      <c r="H3855" s="15"/>
    </row>
    <row r="3856" ht="13.65" customHeight="1">
      <c r="A3856" s="21">
        <v>123</v>
      </c>
      <c r="B3856" t="s" s="22">
        <v>103</v>
      </c>
      <c r="C3856" s="23">
        <v>40</v>
      </c>
      <c r="D3856" t="s" s="24">
        <v>102</v>
      </c>
      <c r="E3856" s="25">
        <v>3.2</v>
      </c>
      <c r="F3856" s="23">
        <v>20</v>
      </c>
      <c r="G3856" s="152" cm="1">
        <f t="array" ref="G3856">SUM(E3856/F3856)</f>
        <v>0.16</v>
      </c>
      <c r="H3856" s="15"/>
    </row>
    <row r="3857" ht="13.65" customHeight="1">
      <c r="A3857" s="21">
        <v>57</v>
      </c>
      <c r="B3857" t="s" s="22">
        <v>253</v>
      </c>
      <c r="C3857" t="s" s="24">
        <v>389</v>
      </c>
      <c r="D3857" t="s" s="24">
        <v>371</v>
      </c>
      <c r="E3857" s="25">
        <v>4.5</v>
      </c>
      <c r="F3857" s="23">
        <v>33</v>
      </c>
      <c r="G3857" s="152" cm="1">
        <f t="array" ref="G3857">SUM(E3857/F3857)</f>
        <v>0.136363636363636</v>
      </c>
      <c r="H3857" s="15"/>
    </row>
    <row r="3858" ht="13.65" customHeight="1">
      <c r="A3858" s="21">
        <v>117</v>
      </c>
      <c r="B3858" t="s" s="22">
        <v>105</v>
      </c>
      <c r="C3858" s="23">
        <v>100</v>
      </c>
      <c r="D3858" t="s" s="24">
        <v>106</v>
      </c>
      <c r="E3858" s="25">
        <v>1.2</v>
      </c>
      <c r="F3858" s="23">
        <v>10</v>
      </c>
      <c r="G3858" s="152" cm="1">
        <f t="array" ref="G3858">SUM(E3858/F3858)</f>
        <v>0.12</v>
      </c>
      <c r="H3858" s="15"/>
    </row>
    <row r="3859" ht="13.65" customHeight="1">
      <c r="A3859" s="21">
        <v>86</v>
      </c>
      <c r="B3859" t="s" s="22">
        <v>107</v>
      </c>
      <c r="C3859" s="23">
        <v>1</v>
      </c>
      <c r="D3859" t="s" s="24">
        <v>274</v>
      </c>
      <c r="E3859" s="25">
        <v>0.32</v>
      </c>
      <c r="F3859" t="s" s="24">
        <v>301</v>
      </c>
      <c r="G3859" s="152" cm="1">
        <f t="array" ref="G3859">SUM(E3859*4)</f>
        <v>1.28</v>
      </c>
      <c r="H3859" s="15"/>
    </row>
    <row r="3860" ht="13.65" customHeight="1">
      <c r="A3860" s="21">
        <v>71</v>
      </c>
      <c r="B3860" t="s" s="22">
        <v>109</v>
      </c>
      <c r="C3860" s="23">
        <v>10</v>
      </c>
      <c r="D3860" t="s" s="24">
        <v>274</v>
      </c>
      <c r="E3860" s="25">
        <v>5.92</v>
      </c>
      <c r="F3860" s="23">
        <v>2.5</v>
      </c>
      <c r="G3860" s="152" cm="1">
        <f t="array" ref="G3860">SUM(E3860/F3860)</f>
        <v>2.368</v>
      </c>
      <c r="H3860" s="15"/>
    </row>
    <row r="3861" ht="13.65" customHeight="1">
      <c r="A3861" s="21">
        <v>87</v>
      </c>
      <c r="B3861" t="s" s="22">
        <v>110</v>
      </c>
      <c r="C3861" s="23">
        <v>50</v>
      </c>
      <c r="D3861" t="s" s="24">
        <v>274</v>
      </c>
      <c r="E3861" s="25">
        <v>9</v>
      </c>
      <c r="F3861" s="23">
        <v>12.5</v>
      </c>
      <c r="G3861" s="152" cm="1">
        <f t="array" ref="G3861">SUM(E3861/F3861)</f>
        <v>0.72</v>
      </c>
      <c r="H3861" s="15"/>
    </row>
    <row r="3862" ht="13.65" customHeight="1">
      <c r="A3862" s="21">
        <v>55</v>
      </c>
      <c r="B3862" t="s" s="22">
        <v>111</v>
      </c>
      <c r="C3862" t="s" s="24">
        <v>112</v>
      </c>
      <c r="D3862" t="s" s="24">
        <v>461</v>
      </c>
      <c r="E3862" s="25">
        <v>2.71</v>
      </c>
      <c r="F3862" s="23">
        <v>37.5</v>
      </c>
      <c r="G3862" s="152" cm="1">
        <f t="array" ref="G3862">SUM(E3862/F3862)</f>
        <v>0.0722666666666667</v>
      </c>
      <c r="H3862" s="15"/>
    </row>
    <row r="3863" ht="13.65" customHeight="1">
      <c r="A3863" s="21">
        <v>24</v>
      </c>
      <c r="B3863" t="s" s="22">
        <v>531</v>
      </c>
      <c r="C3863" s="23">
        <v>10</v>
      </c>
      <c r="D3863" t="s" s="24">
        <v>104</v>
      </c>
      <c r="E3863" s="25">
        <v>9.6</v>
      </c>
      <c r="F3863" s="23">
        <v>10</v>
      </c>
      <c r="G3863" s="152" cm="1">
        <f t="array" ref="G3863">SUM(E3863/F3863)</f>
        <v>0.96</v>
      </c>
      <c r="H3863" s="15"/>
    </row>
    <row r="3864" ht="13.65" customHeight="1">
      <c r="A3864" s="21">
        <v>10</v>
      </c>
      <c r="B3864" t="s" s="22">
        <v>395</v>
      </c>
      <c r="C3864" t="s" s="24">
        <v>396</v>
      </c>
      <c r="D3864" t="s" s="24">
        <v>462</v>
      </c>
      <c r="E3864" s="25">
        <v>3.92</v>
      </c>
      <c r="F3864" s="23">
        <v>25</v>
      </c>
      <c r="G3864" s="152" cm="1">
        <f t="array" ref="G3864">SUM(E3864/F3864)</f>
        <v>0.1568</v>
      </c>
      <c r="H3864" s="15"/>
    </row>
    <row r="3865" ht="13.65" customHeight="1">
      <c r="A3865" s="21">
        <v>9</v>
      </c>
      <c r="B3865" t="s" s="22">
        <v>398</v>
      </c>
      <c r="C3865" s="23">
        <v>50</v>
      </c>
      <c r="D3865" t="s" s="24">
        <v>104</v>
      </c>
      <c r="E3865" s="25">
        <v>14</v>
      </c>
      <c r="F3865" s="23">
        <v>25</v>
      </c>
      <c r="G3865" s="152" cm="1">
        <f t="array" ref="G3865">SUM(E3865/F3865)</f>
        <v>0.5600000000000001</v>
      </c>
      <c r="H3865" s="15"/>
    </row>
    <row r="3866" ht="13.65" customHeight="1">
      <c r="A3866" s="21">
        <v>6</v>
      </c>
      <c r="B3866" t="s" s="22">
        <v>399</v>
      </c>
      <c r="C3866" s="23">
        <v>100</v>
      </c>
      <c r="D3866" t="s" s="24">
        <v>102</v>
      </c>
      <c r="E3866" s="25">
        <v>19</v>
      </c>
      <c r="F3866" s="23">
        <v>50</v>
      </c>
      <c r="G3866" s="152" cm="1">
        <f t="array" ref="G3866">SUM(E3866/F3866)</f>
        <v>0.38</v>
      </c>
      <c r="H3866" s="15"/>
    </row>
    <row r="3867" ht="13.65" customHeight="1">
      <c r="A3867" s="21">
        <v>11</v>
      </c>
      <c r="B3867" t="s" s="22">
        <v>611</v>
      </c>
      <c r="C3867" t="s" s="24">
        <v>441</v>
      </c>
      <c r="D3867" t="s" s="24">
        <v>442</v>
      </c>
      <c r="E3867" s="25">
        <v>49</v>
      </c>
      <c r="F3867" s="23">
        <v>44</v>
      </c>
      <c r="G3867" s="152" cm="1">
        <f t="array" ref="G3867">SUM(E3867/F3867)</f>
        <v>1.11363636363636</v>
      </c>
      <c r="H3867" s="15"/>
    </row>
    <row r="3868" ht="13.65" customHeight="1">
      <c r="A3868" s="21">
        <v>19</v>
      </c>
      <c r="B3868" t="s" s="22">
        <v>612</v>
      </c>
      <c r="C3868" s="23">
        <v>3</v>
      </c>
      <c r="D3868" t="s" s="24">
        <v>518</v>
      </c>
      <c r="E3868" s="25">
        <v>5.2</v>
      </c>
      <c r="F3868" s="23">
        <v>40</v>
      </c>
      <c r="G3868" s="152" cm="1">
        <f t="array" ref="G3868">SUM(E3868/F3868)</f>
        <v>0.13</v>
      </c>
      <c r="H3868" s="15"/>
    </row>
    <row r="3869" ht="13.65" customHeight="1">
      <c r="A3869" s="21">
        <v>19</v>
      </c>
      <c r="B3869" t="s" s="22">
        <v>437</v>
      </c>
      <c r="C3869" s="23">
        <v>2</v>
      </c>
      <c r="D3869" t="s" s="24">
        <v>588</v>
      </c>
      <c r="E3869" s="25">
        <v>5.2</v>
      </c>
      <c r="F3869" s="23">
        <v>5</v>
      </c>
      <c r="G3869" s="152" cm="1">
        <f t="array" ref="G3869">SUM(E3869/F3869)</f>
        <v>1.04</v>
      </c>
      <c r="H3869" s="15"/>
    </row>
    <row r="3870" ht="13.65" customHeight="1">
      <c r="A3870" s="21">
        <v>139</v>
      </c>
      <c r="B3870" t="s" s="22">
        <v>613</v>
      </c>
      <c r="C3870" t="s" s="24">
        <v>432</v>
      </c>
      <c r="D3870" t="s" s="24">
        <v>495</v>
      </c>
      <c r="E3870" s="25">
        <v>15</v>
      </c>
      <c r="F3870" s="23">
        <v>20</v>
      </c>
      <c r="G3870" s="152" cm="1">
        <f t="array" ref="G3870">SUM(E3870/F3870)</f>
        <v>0.75</v>
      </c>
      <c r="H3870" s="15"/>
    </row>
    <row r="3871" ht="13.65" customHeight="1">
      <c r="A3871" s="21">
        <v>130</v>
      </c>
      <c r="B3871" t="s" s="22">
        <v>590</v>
      </c>
      <c r="C3871" t="s" s="24">
        <v>390</v>
      </c>
      <c r="D3871" t="s" s="24">
        <v>540</v>
      </c>
      <c r="E3871" s="25">
        <v>12</v>
      </c>
      <c r="F3871" s="23">
        <v>200</v>
      </c>
      <c r="G3871" s="152" cm="1">
        <f t="array" ref="G3871">SUM(E3871/F3871)</f>
        <v>0.06</v>
      </c>
      <c r="H3871" s="15"/>
    </row>
    <row r="3872" ht="13.65" customHeight="1">
      <c r="A3872" s="21">
        <v>59</v>
      </c>
      <c r="B3872" t="s" s="22">
        <v>591</v>
      </c>
      <c r="C3872" t="s" s="24">
        <v>592</v>
      </c>
      <c r="D3872" t="s" s="24">
        <v>593</v>
      </c>
      <c r="E3872" s="25">
        <v>18</v>
      </c>
      <c r="F3872" s="23">
        <v>36</v>
      </c>
      <c r="G3872" s="152" cm="1">
        <f t="array" ref="G3872">SUM(E3872/F3872)</f>
        <v>0.5</v>
      </c>
      <c r="H3872" s="15"/>
    </row>
    <row r="3873" ht="13.65" customHeight="1">
      <c r="A3873" s="21">
        <v>27</v>
      </c>
      <c r="B3873" t="s" s="22">
        <v>594</v>
      </c>
      <c r="C3873" s="23">
        <v>18</v>
      </c>
      <c r="D3873" t="s" s="24">
        <v>375</v>
      </c>
      <c r="E3873" s="25">
        <v>6.5</v>
      </c>
      <c r="F3873" s="23">
        <v>36</v>
      </c>
      <c r="G3873" s="152" cm="1">
        <f t="array" ref="G3873">SUM(E3873/F3873)</f>
        <v>0.180555555555556</v>
      </c>
      <c r="H3873" s="15"/>
    </row>
    <row r="3874" ht="13.65" customHeight="1">
      <c r="A3874" s="21">
        <v>120</v>
      </c>
      <c r="B3874" t="s" s="22">
        <v>595</v>
      </c>
      <c r="C3874" t="s" s="24">
        <v>538</v>
      </c>
      <c r="D3874" t="s" s="24">
        <v>401</v>
      </c>
      <c r="E3874" s="25">
        <v>165</v>
      </c>
      <c r="F3874" s="23">
        <v>30</v>
      </c>
      <c r="G3874" s="152" cm="1">
        <f t="array" ref="G3874">SUM(E3874/F3874)</f>
        <v>5.5</v>
      </c>
      <c r="H3874" s="15"/>
    </row>
    <row r="3875" ht="13.65" customHeight="1">
      <c r="A3875" s="21">
        <v>111</v>
      </c>
      <c r="B3875" t="s" s="22">
        <v>476</v>
      </c>
      <c r="C3875" s="23">
        <v>1</v>
      </c>
      <c r="D3875" t="s" s="24">
        <v>401</v>
      </c>
      <c r="E3875" s="25">
        <v>2.7</v>
      </c>
      <c r="F3875" s="23">
        <v>30</v>
      </c>
      <c r="G3875" s="152" cm="1">
        <f t="array" ref="G3875">SUM(E3875/F3875)</f>
        <v>0.09</v>
      </c>
      <c r="H3875" s="15"/>
    </row>
    <row r="3876" ht="13.65" customHeight="1">
      <c r="A3876" s="21">
        <v>49</v>
      </c>
      <c r="B3876" t="s" s="22">
        <v>596</v>
      </c>
      <c r="C3876" s="23">
        <v>120</v>
      </c>
      <c r="D3876" t="s" s="24">
        <v>256</v>
      </c>
      <c r="E3876" s="25">
        <v>132</v>
      </c>
      <c r="F3876" s="23">
        <v>40</v>
      </c>
      <c r="G3876" s="152" cm="1">
        <f t="array" ref="G3876">SUM(E3876/F3876)</f>
        <v>3.3</v>
      </c>
      <c r="H3876" s="15"/>
    </row>
    <row r="3877" ht="13.65" customHeight="1">
      <c r="A3877" s="21">
        <v>7</v>
      </c>
      <c r="B3877" t="s" s="22">
        <v>477</v>
      </c>
      <c r="C3877" t="s" s="24">
        <v>478</v>
      </c>
      <c r="D3877" t="s" s="24">
        <v>614</v>
      </c>
      <c r="E3877" s="25">
        <v>14</v>
      </c>
      <c r="F3877" s="23">
        <v>20</v>
      </c>
      <c r="G3877" s="152" cm="1">
        <f t="array" ref="G3877">SUM(E3877/F3877)</f>
        <v>0.7</v>
      </c>
      <c r="H3877" s="15"/>
    </row>
    <row r="3878" ht="13.65" customHeight="1">
      <c r="A3878" s="21">
        <v>68</v>
      </c>
      <c r="B3878" t="s" s="22">
        <v>480</v>
      </c>
      <c r="C3878" t="s" s="24">
        <v>481</v>
      </c>
      <c r="D3878" t="s" s="24">
        <v>380</v>
      </c>
      <c r="E3878" s="25">
        <v>16</v>
      </c>
      <c r="F3878" s="23">
        <v>10</v>
      </c>
      <c r="G3878" s="152" cm="1">
        <f t="array" ref="G3878">SUM(E3878/F3878)</f>
        <v>1.6</v>
      </c>
      <c r="H3878" s="15"/>
    </row>
    <row r="3879" ht="13.65" customHeight="1">
      <c r="A3879" s="21">
        <v>69</v>
      </c>
      <c r="B3879" t="s" s="22">
        <v>598</v>
      </c>
      <c r="C3879" t="s" s="24">
        <v>481</v>
      </c>
      <c r="D3879" t="s" s="24">
        <v>380</v>
      </c>
      <c r="E3879" s="25">
        <v>3.5</v>
      </c>
      <c r="F3879" s="23">
        <v>10</v>
      </c>
      <c r="G3879" s="152" cm="1">
        <f t="array" ref="G3879">SUM(E3879/F3879)</f>
        <v>0.35</v>
      </c>
      <c r="H3879" s="15"/>
    </row>
    <row r="3880" ht="13.65" customHeight="1">
      <c r="A3880" s="21">
        <v>76</v>
      </c>
      <c r="B3880" t="s" s="22">
        <v>599</v>
      </c>
      <c r="C3880" t="s" s="24">
        <v>384</v>
      </c>
      <c r="D3880" t="s" s="24">
        <v>418</v>
      </c>
      <c r="E3880" s="25">
        <v>18</v>
      </c>
      <c r="F3880" s="23">
        <v>100</v>
      </c>
      <c r="G3880" s="152" cm="1">
        <f t="array" ref="G3880">SUM(E3880/F3880)</f>
        <v>0.18</v>
      </c>
      <c r="H3880" s="15"/>
    </row>
    <row r="3881" ht="13.65" customHeight="1">
      <c r="A3881" s="21">
        <v>131</v>
      </c>
      <c r="B3881" t="s" s="22">
        <v>482</v>
      </c>
      <c r="C3881" s="27"/>
      <c r="D3881" s="24"/>
      <c r="E3881" s="27"/>
      <c r="F3881" s="27"/>
      <c r="G3881" s="152">
        <v>40</v>
      </c>
      <c r="H3881" s="15"/>
    </row>
    <row r="3882" ht="13.65" customHeight="1">
      <c r="A3882" s="28"/>
      <c r="B3882" s="28"/>
      <c r="C3882" s="27"/>
      <c r="D3882" s="24"/>
      <c r="E3882" s="27"/>
      <c r="F3882" t="s" s="29">
        <v>118</v>
      </c>
      <c r="G3882" s="197" cm="1">
        <f t="array" ref="G3882">SUM(G3855:G3881)</f>
        <v>62.5620222222222</v>
      </c>
      <c r="H3882" s="15"/>
    </row>
    <row r="3883" ht="13.65" customHeight="1">
      <c r="A3883" s="129"/>
      <c r="B3883" s="129"/>
      <c r="C3883" s="129"/>
      <c r="D3883" s="129"/>
      <c r="E3883" s="129"/>
      <c r="F3883" s="31"/>
      <c r="G3883" s="31"/>
      <c r="H3883" s="3"/>
    </row>
    <row r="3884" ht="11.7" customHeight="1">
      <c r="A3884" t="s" s="167">
        <v>136</v>
      </c>
      <c r="B3884" t="s" s="167">
        <v>281</v>
      </c>
      <c r="C3884" t="s" s="167">
        <v>282</v>
      </c>
      <c r="D3884" t="s" s="168">
        <v>283</v>
      </c>
      <c r="E3884" s="169"/>
      <c r="F3884" s="170"/>
      <c r="G3884" s="171"/>
      <c r="H3884" s="171"/>
    </row>
    <row r="3885" ht="13.65" customHeight="1">
      <c r="A3885" s="23">
        <v>130</v>
      </c>
      <c r="B3885" s="172" cm="1">
        <f t="array" ref="B3885">SUM(H256)</f>
        <v>2.47496540404041</v>
      </c>
      <c r="C3885" s="197" cm="1">
        <f t="array" ref="C3885">SUM(G3882)</f>
        <v>62.5620222222222</v>
      </c>
      <c r="D3885" s="199" cm="1">
        <f t="array" ref="D3885">SUM(A3885*B3885)+(C3885)</f>
        <v>384.307524747476</v>
      </c>
      <c r="E3885" s="200"/>
      <c r="F3885" s="15"/>
      <c r="G3885" s="3"/>
      <c r="H3885" s="3"/>
    </row>
    <row r="3886" ht="13.65" customHeight="1">
      <c r="A3886" s="31"/>
      <c r="B3886" s="31"/>
      <c r="C3886" s="31"/>
      <c r="D3886" s="31"/>
      <c r="E3886" s="31"/>
      <c r="F3886" s="3"/>
      <c r="G3886" s="3"/>
      <c r="H3886" s="3"/>
    </row>
    <row r="3887" ht="13.65" customHeight="1">
      <c r="A3887" s="203"/>
      <c r="B3887" s="203"/>
      <c r="C3887" s="203"/>
      <c r="D3887" s="203"/>
      <c r="E3887" s="203"/>
      <c r="F3887" s="203"/>
      <c r="G3887" s="203"/>
      <c r="H3887" s="203"/>
    </row>
    <row r="3888" ht="13.65" customHeight="1">
      <c r="A3888" t="s" s="274">
        <v>185</v>
      </c>
      <c r="B3888" s="275"/>
      <c r="C3888" s="275"/>
      <c r="D3888" s="275"/>
      <c r="E3888" s="280"/>
      <c r="F3888" s="275"/>
      <c r="G3888" s="275"/>
      <c r="H3888" s="277"/>
    </row>
    <row r="3889" ht="13.65" customHeight="1">
      <c r="A3889" s="278"/>
      <c r="B3889" s="278"/>
      <c r="C3889" s="278"/>
      <c r="D3889" s="278"/>
      <c r="E3889" s="278"/>
      <c r="F3889" s="278"/>
      <c r="G3889" s="278"/>
      <c r="H3889" s="278"/>
    </row>
    <row r="3890" ht="13.65" customHeight="1">
      <c r="A3890" s="3"/>
      <c r="B3890" s="3"/>
      <c r="C3890" s="3"/>
      <c r="D3890" s="3"/>
      <c r="E3890" s="3"/>
      <c r="F3890" s="3"/>
      <c r="G3890" s="3"/>
      <c r="H3890" s="3"/>
    </row>
    <row r="3891" ht="13.65" customHeight="1">
      <c r="A3891" t="s" s="5">
        <v>785</v>
      </c>
      <c r="B3891" s="3"/>
      <c r="C3891" s="3"/>
      <c r="D3891" s="3"/>
      <c r="E3891" s="3"/>
      <c r="F3891" s="3"/>
      <c r="G3891" s="3"/>
      <c r="H3891" s="3"/>
    </row>
    <row r="3892" ht="13.65" customHeight="1">
      <c r="A3892" s="11"/>
      <c r="B3892" s="11"/>
      <c r="C3892" s="11"/>
      <c r="D3892" s="11"/>
      <c r="E3892" s="11"/>
      <c r="F3892" s="11"/>
      <c r="G3892" s="11"/>
      <c r="H3892" s="3"/>
    </row>
    <row r="3893" ht="13.65" customHeight="1">
      <c r="A3893" s="12"/>
      <c r="B3893" s="12"/>
      <c r="C3893" s="13"/>
      <c r="D3893" s="14"/>
      <c r="E3893" s="13"/>
      <c r="F3893" s="13"/>
      <c r="G3893" t="s" s="14">
        <v>252</v>
      </c>
      <c r="H3893" s="150"/>
    </row>
    <row r="3894" ht="13.65" customHeight="1">
      <c r="A3894" t="s" s="16">
        <v>93</v>
      </c>
      <c r="B3894" t="s" s="16">
        <v>94</v>
      </c>
      <c r="C3894" t="s" s="16">
        <v>95</v>
      </c>
      <c r="D3894" t="s" s="16">
        <v>96</v>
      </c>
      <c r="E3894" t="s" s="16">
        <v>97</v>
      </c>
      <c r="F3894" t="s" s="16">
        <v>98</v>
      </c>
      <c r="G3894" t="s" s="16">
        <v>99</v>
      </c>
      <c r="H3894" s="15"/>
    </row>
    <row r="3895" ht="13.65" customHeight="1">
      <c r="A3895" s="151"/>
      <c r="B3895" s="151"/>
      <c r="C3895" s="19"/>
      <c r="D3895" s="20"/>
      <c r="E3895" s="19"/>
      <c r="F3895" s="19"/>
      <c r="G3895" t="s" s="20">
        <v>100</v>
      </c>
      <c r="H3895" s="15"/>
    </row>
    <row r="3896" ht="13.65" customHeight="1">
      <c r="A3896" s="21">
        <v>72</v>
      </c>
      <c r="B3896" t="s" s="22">
        <v>101</v>
      </c>
      <c r="C3896" s="23">
        <v>50</v>
      </c>
      <c r="D3896" t="s" s="24">
        <v>274</v>
      </c>
      <c r="E3896" s="25">
        <v>1.93</v>
      </c>
      <c r="F3896" s="23">
        <v>12.5</v>
      </c>
      <c r="G3896" s="152" cm="1">
        <f t="array" ref="G3896">SUM(E3896/F3896)</f>
        <v>0.1544</v>
      </c>
      <c r="H3896" s="15"/>
    </row>
    <row r="3897" ht="13.65" customHeight="1">
      <c r="A3897" s="21">
        <v>123</v>
      </c>
      <c r="B3897" t="s" s="22">
        <v>103</v>
      </c>
      <c r="C3897" s="23">
        <v>40</v>
      </c>
      <c r="D3897" t="s" s="24">
        <v>102</v>
      </c>
      <c r="E3897" s="25">
        <v>3.2</v>
      </c>
      <c r="F3897" s="23">
        <v>20</v>
      </c>
      <c r="G3897" s="152" cm="1">
        <f t="array" ref="G3897">SUM(E3897/F3897)</f>
        <v>0.16</v>
      </c>
      <c r="H3897" s="15"/>
    </row>
    <row r="3898" ht="13.65" customHeight="1">
      <c r="A3898" s="21">
        <v>57</v>
      </c>
      <c r="B3898" t="s" s="22">
        <v>253</v>
      </c>
      <c r="C3898" t="s" s="24">
        <v>389</v>
      </c>
      <c r="D3898" t="s" s="24">
        <v>371</v>
      </c>
      <c r="E3898" s="25">
        <v>4.5</v>
      </c>
      <c r="F3898" s="23">
        <v>33</v>
      </c>
      <c r="G3898" s="152" cm="1">
        <f t="array" ref="G3898">SUM(E3898/F3898)</f>
        <v>0.136363636363636</v>
      </c>
      <c r="H3898" s="15"/>
    </row>
    <row r="3899" ht="13.65" customHeight="1">
      <c r="A3899" s="21">
        <v>117</v>
      </c>
      <c r="B3899" t="s" s="22">
        <v>586</v>
      </c>
      <c r="C3899" s="23">
        <v>100</v>
      </c>
      <c r="D3899" t="s" s="24">
        <v>106</v>
      </c>
      <c r="E3899" s="25">
        <v>1.2</v>
      </c>
      <c r="F3899" s="23">
        <v>10</v>
      </c>
      <c r="G3899" s="152" cm="1">
        <f t="array" ref="G3899">SUM(E3899/F3899)</f>
        <v>0.12</v>
      </c>
      <c r="H3899" s="15"/>
    </row>
    <row r="3900" ht="13.65" customHeight="1">
      <c r="A3900" s="21">
        <v>86</v>
      </c>
      <c r="B3900" t="s" s="22">
        <v>107</v>
      </c>
      <c r="C3900" s="23">
        <v>1</v>
      </c>
      <c r="D3900" t="s" s="24">
        <v>274</v>
      </c>
      <c r="E3900" s="25">
        <v>0.32</v>
      </c>
      <c r="F3900" t="s" s="24">
        <v>301</v>
      </c>
      <c r="G3900" s="152" cm="1">
        <f t="array" ref="G3900">SUM(E3900*4)</f>
        <v>1.28</v>
      </c>
      <c r="H3900" s="15"/>
    </row>
    <row r="3901" ht="13.65" customHeight="1">
      <c r="A3901" s="21">
        <v>71</v>
      </c>
      <c r="B3901" t="s" s="22">
        <v>109</v>
      </c>
      <c r="C3901" s="23">
        <v>10</v>
      </c>
      <c r="D3901" t="s" s="24">
        <v>274</v>
      </c>
      <c r="E3901" s="25">
        <v>5.92</v>
      </c>
      <c r="F3901" s="23">
        <v>2.5</v>
      </c>
      <c r="G3901" s="152" cm="1">
        <f t="array" ref="G3901">SUM(E3901/F3901)</f>
        <v>2.368</v>
      </c>
      <c r="H3901" s="15"/>
    </row>
    <row r="3902" ht="13.65" customHeight="1">
      <c r="A3902" s="21">
        <v>87</v>
      </c>
      <c r="B3902" t="s" s="22">
        <v>110</v>
      </c>
      <c r="C3902" s="23">
        <v>50</v>
      </c>
      <c r="D3902" t="s" s="24">
        <v>274</v>
      </c>
      <c r="E3902" s="25">
        <v>9</v>
      </c>
      <c r="F3902" s="23">
        <v>12.5</v>
      </c>
      <c r="G3902" s="152" cm="1">
        <f t="array" ref="G3902">SUM(E3902/F3902)</f>
        <v>0.72</v>
      </c>
      <c r="H3902" s="15"/>
    </row>
    <row r="3903" ht="13.65" customHeight="1">
      <c r="A3903" s="21">
        <v>55</v>
      </c>
      <c r="B3903" t="s" s="22">
        <v>111</v>
      </c>
      <c r="C3903" t="s" s="24">
        <v>112</v>
      </c>
      <c r="D3903" t="s" s="24">
        <v>461</v>
      </c>
      <c r="E3903" s="25">
        <v>2.71</v>
      </c>
      <c r="F3903" s="23">
        <v>37.5</v>
      </c>
      <c r="G3903" s="152" cm="1">
        <f t="array" ref="G3903">SUM(E3903/F3903)</f>
        <v>0.0722666666666667</v>
      </c>
      <c r="H3903" s="15"/>
    </row>
    <row r="3904" ht="13.65" customHeight="1">
      <c r="A3904" s="21">
        <v>24</v>
      </c>
      <c r="B3904" t="s" s="22">
        <v>531</v>
      </c>
      <c r="C3904" s="23">
        <v>10</v>
      </c>
      <c r="D3904" t="s" s="24">
        <v>104</v>
      </c>
      <c r="E3904" s="25">
        <v>9.6</v>
      </c>
      <c r="F3904" s="23">
        <v>10</v>
      </c>
      <c r="G3904" s="152" cm="1">
        <f t="array" ref="G3904">SUM(E3904/F3904)</f>
        <v>0.96</v>
      </c>
      <c r="H3904" s="15"/>
    </row>
    <row r="3905" ht="13.65" customHeight="1">
      <c r="A3905" s="21">
        <v>101</v>
      </c>
      <c r="B3905" t="s" s="22">
        <v>407</v>
      </c>
      <c r="C3905" t="s" s="24">
        <v>380</v>
      </c>
      <c r="D3905" t="s" s="24">
        <v>537</v>
      </c>
      <c r="E3905" s="25">
        <v>7.5</v>
      </c>
      <c r="F3905" s="23">
        <v>25</v>
      </c>
      <c r="G3905" s="152" cm="1">
        <f t="array" ref="G3905">SUM(E3905/F3905)</f>
        <v>0.3</v>
      </c>
      <c r="H3905" s="15"/>
    </row>
    <row r="3906" ht="13.65" customHeight="1">
      <c r="A3906" s="21">
        <v>19</v>
      </c>
      <c r="B3906" t="s" s="22">
        <v>587</v>
      </c>
      <c r="C3906" s="23">
        <v>6</v>
      </c>
      <c r="D3906" t="s" s="24">
        <v>444</v>
      </c>
      <c r="E3906" s="25">
        <v>5.2</v>
      </c>
      <c r="F3906" s="23">
        <v>10</v>
      </c>
      <c r="G3906" s="152" cm="1">
        <f t="array" ref="G3906">SUM(E3906/F3906)</f>
        <v>0.52</v>
      </c>
      <c r="H3906" s="15"/>
    </row>
    <row r="3907" ht="13.65" customHeight="1">
      <c r="A3907" s="21">
        <v>19</v>
      </c>
      <c r="B3907" t="s" s="22">
        <v>437</v>
      </c>
      <c r="C3907" s="23">
        <v>2</v>
      </c>
      <c r="D3907" t="s" s="24">
        <v>588</v>
      </c>
      <c r="E3907" s="25">
        <v>5.2</v>
      </c>
      <c r="F3907" s="23">
        <v>5</v>
      </c>
      <c r="G3907" s="152" cm="1">
        <f t="array" ref="G3907">SUM(E3907/F3907)</f>
        <v>1.04</v>
      </c>
      <c r="H3907" s="15"/>
    </row>
    <row r="3908" ht="13.65" customHeight="1">
      <c r="A3908" s="21">
        <v>30</v>
      </c>
      <c r="B3908" t="s" s="22">
        <v>589</v>
      </c>
      <c r="C3908" t="s" s="24">
        <v>538</v>
      </c>
      <c r="D3908" t="s" s="24">
        <v>518</v>
      </c>
      <c r="E3908" s="25">
        <v>423</v>
      </c>
      <c r="F3908" s="23">
        <v>40</v>
      </c>
      <c r="G3908" s="152" cm="1">
        <f t="array" ref="G3908">SUM(E3908/F3908)</f>
        <v>10.575</v>
      </c>
      <c r="H3908" s="15"/>
    </row>
    <row r="3909" ht="13.65" customHeight="1">
      <c r="A3909" s="21">
        <v>130</v>
      </c>
      <c r="B3909" t="s" s="22">
        <v>590</v>
      </c>
      <c r="C3909" t="s" s="24">
        <v>390</v>
      </c>
      <c r="D3909" t="s" s="24">
        <v>540</v>
      </c>
      <c r="E3909" s="25">
        <v>12</v>
      </c>
      <c r="F3909" s="23">
        <v>200</v>
      </c>
      <c r="G3909" s="152" cm="1">
        <f t="array" ref="G3909">SUM(E3909/F3909)</f>
        <v>0.06</v>
      </c>
      <c r="H3909" s="15"/>
    </row>
    <row r="3910" ht="13.65" customHeight="1">
      <c r="A3910" s="21">
        <v>59</v>
      </c>
      <c r="B3910" t="s" s="22">
        <v>591</v>
      </c>
      <c r="C3910" t="s" s="24">
        <v>592</v>
      </c>
      <c r="D3910" t="s" s="24">
        <v>593</v>
      </c>
      <c r="E3910" s="25">
        <v>18</v>
      </c>
      <c r="F3910" s="23">
        <v>36</v>
      </c>
      <c r="G3910" s="152" cm="1">
        <f t="array" ref="G3910">SUM(E3910/F3910)</f>
        <v>0.5</v>
      </c>
      <c r="H3910" s="15"/>
    </row>
    <row r="3911" ht="13.65" customHeight="1">
      <c r="A3911" s="21">
        <v>27</v>
      </c>
      <c r="B3911" t="s" s="22">
        <v>594</v>
      </c>
      <c r="C3911" s="23">
        <v>18</v>
      </c>
      <c r="D3911" t="s" s="24">
        <v>104</v>
      </c>
      <c r="E3911" s="25">
        <v>6.5</v>
      </c>
      <c r="F3911" s="23">
        <v>18</v>
      </c>
      <c r="G3911" s="152" cm="1">
        <f t="array" ref="G3911">SUM(E3911/F3911)</f>
        <v>0.361111111111111</v>
      </c>
      <c r="H3911" s="15"/>
    </row>
    <row r="3912" ht="13.65" customHeight="1">
      <c r="A3912" s="21">
        <v>120</v>
      </c>
      <c r="B3912" t="s" s="22">
        <v>595</v>
      </c>
      <c r="C3912" t="s" s="24">
        <v>538</v>
      </c>
      <c r="D3912" t="s" s="24">
        <v>401</v>
      </c>
      <c r="E3912" s="25">
        <v>165</v>
      </c>
      <c r="F3912" s="23">
        <v>30</v>
      </c>
      <c r="G3912" s="152" cm="1">
        <f t="array" ref="G3912">SUM(E3912/F3912)</f>
        <v>5.5</v>
      </c>
      <c r="H3912" s="15"/>
    </row>
    <row r="3913" ht="13.65" customHeight="1">
      <c r="A3913" s="21">
        <v>111</v>
      </c>
      <c r="B3913" t="s" s="22">
        <v>476</v>
      </c>
      <c r="C3913" s="23">
        <v>1</v>
      </c>
      <c r="D3913" t="s" s="24">
        <v>401</v>
      </c>
      <c r="E3913" s="25">
        <v>2.7</v>
      </c>
      <c r="F3913" s="23">
        <v>30</v>
      </c>
      <c r="G3913" s="152" cm="1">
        <f t="array" ref="G3913">SUM(E3913/F3913)</f>
        <v>0.09</v>
      </c>
      <c r="H3913" s="15"/>
    </row>
    <row r="3914" ht="13.65" customHeight="1">
      <c r="A3914" s="21">
        <v>49</v>
      </c>
      <c r="B3914" t="s" s="22">
        <v>596</v>
      </c>
      <c r="C3914" s="23">
        <v>120</v>
      </c>
      <c r="D3914" t="s" s="24">
        <v>256</v>
      </c>
      <c r="E3914" s="25">
        <v>132</v>
      </c>
      <c r="F3914" s="23">
        <v>40</v>
      </c>
      <c r="G3914" s="152" cm="1">
        <f t="array" ref="G3914">SUM(E3914/F3914)</f>
        <v>3.3</v>
      </c>
      <c r="H3914" s="15"/>
    </row>
    <row r="3915" ht="13.65" customHeight="1">
      <c r="A3915" s="21">
        <v>7</v>
      </c>
      <c r="B3915" t="s" s="22">
        <v>477</v>
      </c>
      <c r="C3915" t="s" s="24">
        <v>478</v>
      </c>
      <c r="D3915" t="s" s="24">
        <v>479</v>
      </c>
      <c r="E3915" s="25">
        <v>14</v>
      </c>
      <c r="F3915" s="23">
        <v>10</v>
      </c>
      <c r="G3915" s="152" cm="1">
        <f t="array" ref="G3915">SUM(E3915/F3915)</f>
        <v>1.4</v>
      </c>
      <c r="H3915" s="15"/>
    </row>
    <row r="3916" ht="13.65" customHeight="1">
      <c r="A3916" s="21">
        <v>68</v>
      </c>
      <c r="B3916" t="s" s="22">
        <v>480</v>
      </c>
      <c r="C3916" t="s" s="24">
        <v>481</v>
      </c>
      <c r="D3916" t="s" s="24">
        <v>597</v>
      </c>
      <c r="E3916" s="25">
        <v>16</v>
      </c>
      <c r="F3916" s="23">
        <v>5</v>
      </c>
      <c r="G3916" s="152" cm="1">
        <f t="array" ref="G3916">SUM(E3916/F3916)</f>
        <v>3.2</v>
      </c>
      <c r="H3916" s="15"/>
    </row>
    <row r="3917" ht="13.65" customHeight="1">
      <c r="A3917" s="21">
        <v>69</v>
      </c>
      <c r="B3917" t="s" s="22">
        <v>598</v>
      </c>
      <c r="C3917" t="s" s="24">
        <v>481</v>
      </c>
      <c r="D3917" t="s" s="24">
        <v>597</v>
      </c>
      <c r="E3917" s="25">
        <v>3.5</v>
      </c>
      <c r="F3917" s="23">
        <v>5</v>
      </c>
      <c r="G3917" s="152" cm="1">
        <f t="array" ref="G3917">SUM(E3917/F3917)</f>
        <v>0.7</v>
      </c>
      <c r="H3917" s="15"/>
    </row>
    <row r="3918" ht="13.65" customHeight="1">
      <c r="A3918" s="21">
        <v>76</v>
      </c>
      <c r="B3918" t="s" s="22">
        <v>599</v>
      </c>
      <c r="C3918" t="s" s="24">
        <v>384</v>
      </c>
      <c r="D3918" t="s" s="24">
        <v>418</v>
      </c>
      <c r="E3918" s="25">
        <v>18</v>
      </c>
      <c r="F3918" s="23">
        <v>100</v>
      </c>
      <c r="G3918" s="152" cm="1">
        <f t="array" ref="G3918">SUM(E3918/F3918)</f>
        <v>0.18</v>
      </c>
      <c r="H3918" s="15"/>
    </row>
    <row r="3919" ht="13.65" customHeight="1">
      <c r="A3919" s="21">
        <v>105</v>
      </c>
      <c r="B3919" t="s" s="22">
        <v>600</v>
      </c>
      <c r="C3919" s="23">
        <v>1</v>
      </c>
      <c r="D3919" t="s" s="24">
        <v>104</v>
      </c>
      <c r="E3919" s="25">
        <v>0.35</v>
      </c>
      <c r="F3919" s="23">
        <v>1</v>
      </c>
      <c r="G3919" s="152" cm="1">
        <f t="array" ref="G3919">SUM(E3919/F3919)</f>
        <v>0.35</v>
      </c>
      <c r="H3919" s="15"/>
    </row>
    <row r="3920" ht="13.65" customHeight="1">
      <c r="A3920" s="21">
        <v>48</v>
      </c>
      <c r="B3920" t="s" s="22">
        <v>601</v>
      </c>
      <c r="C3920" s="23">
        <v>1</v>
      </c>
      <c r="D3920" t="s" s="24">
        <v>375</v>
      </c>
      <c r="E3920" s="25">
        <v>1</v>
      </c>
      <c r="F3920" s="23">
        <v>2</v>
      </c>
      <c r="G3920" s="152" cm="1">
        <f t="array" ref="G3920">SUM(E3920/F3920)</f>
        <v>0.5</v>
      </c>
      <c r="H3920" s="15"/>
    </row>
    <row r="3921" ht="13.65" customHeight="1">
      <c r="A3921" s="21">
        <v>131</v>
      </c>
      <c r="B3921" t="s" s="22">
        <v>482</v>
      </c>
      <c r="C3921" s="27"/>
      <c r="D3921" s="24"/>
      <c r="E3921" s="27"/>
      <c r="F3921" s="27"/>
      <c r="G3921" s="152">
        <v>60</v>
      </c>
      <c r="H3921" s="15"/>
    </row>
    <row r="3922" ht="13.65" customHeight="1">
      <c r="A3922" s="28"/>
      <c r="B3922" s="28"/>
      <c r="C3922" s="27"/>
      <c r="D3922" s="24"/>
      <c r="E3922" s="27"/>
      <c r="F3922" t="s" s="29">
        <v>118</v>
      </c>
      <c r="G3922" s="197" cm="1">
        <f t="array" ref="G3922">SUM(G3896:G3921)</f>
        <v>94.54714141414139</v>
      </c>
      <c r="H3922" s="15"/>
    </row>
    <row r="3923" ht="13.65" customHeight="1">
      <c r="A3923" s="31"/>
      <c r="B3923" s="31"/>
      <c r="C3923" s="31"/>
      <c r="D3923" s="31"/>
      <c r="E3923" s="31"/>
      <c r="F3923" s="31"/>
      <c r="G3923" s="31"/>
      <c r="H3923" s="3"/>
    </row>
    <row r="3924" ht="13.65" customHeight="1">
      <c r="A3924" t="s" s="5">
        <v>602</v>
      </c>
      <c r="B3924" s="3"/>
      <c r="C3924" s="3"/>
      <c r="D3924" s="3"/>
      <c r="E3924" s="3"/>
      <c r="F3924" s="3"/>
      <c r="G3924" s="3"/>
      <c r="H3924" s="3"/>
    </row>
    <row r="3925" ht="13.65" customHeight="1">
      <c r="A3925" t="s" s="125">
        <v>603</v>
      </c>
      <c r="B3925" s="11"/>
      <c r="C3925" s="11"/>
      <c r="D3925" s="11"/>
      <c r="E3925" s="11"/>
      <c r="F3925" s="11"/>
      <c r="G3925" s="11"/>
      <c r="H3925" s="3"/>
    </row>
    <row r="3926" ht="11.7" customHeight="1">
      <c r="A3926" t="s" s="167">
        <v>136</v>
      </c>
      <c r="B3926" t="s" s="167">
        <v>281</v>
      </c>
      <c r="C3926" t="s" s="167">
        <v>282</v>
      </c>
      <c r="D3926" t="s" s="167">
        <v>118</v>
      </c>
      <c r="E3926" t="s" s="167">
        <v>604</v>
      </c>
      <c r="F3926" t="s" s="302">
        <v>283</v>
      </c>
      <c r="G3926" s="303"/>
      <c r="H3926" s="170"/>
    </row>
    <row r="3927" ht="13.65" customHeight="1">
      <c r="A3927" s="23">
        <v>140</v>
      </c>
      <c r="B3927" s="172" cm="1">
        <f t="array" ref="B3927">SUM(H256)</f>
        <v>2.47496540404041</v>
      </c>
      <c r="C3927" s="197" cm="1">
        <f t="array" ref="C3927">SUM(G3922)</f>
        <v>94.54714141414139</v>
      </c>
      <c r="D3927" s="304" cm="1">
        <f t="array" ref="D3927">SUM(A3927*B3927)+(C3927)</f>
        <v>441.042297979799</v>
      </c>
      <c r="E3927" s="304" cm="1">
        <f t="array" ref="E3927">SUM(D3927)*0.2</f>
        <v>88.20845959595979</v>
      </c>
      <c r="F3927" s="296" cm="1">
        <f t="array" ref="F3927">SUM(D3927:E3927)</f>
        <v>529.2507575757591</v>
      </c>
      <c r="G3927" s="296"/>
      <c r="H3927" s="15"/>
    </row>
    <row r="3928" ht="13.65" customHeight="1">
      <c r="A3928" s="31"/>
      <c r="B3928" s="31"/>
      <c r="C3928" s="31"/>
      <c r="D3928" s="31"/>
      <c r="E3928" s="31"/>
      <c r="F3928" s="31"/>
      <c r="G3928" s="31"/>
      <c r="H3928" s="3"/>
    </row>
    <row r="3929" ht="13.65" customHeight="1">
      <c r="A3929" s="3"/>
      <c r="B3929" s="3"/>
      <c r="C3929" s="3"/>
      <c r="D3929" s="3"/>
      <c r="E3929" s="3"/>
      <c r="F3929" s="3"/>
      <c r="G3929" s="3"/>
      <c r="H3929" s="3"/>
    </row>
    <row r="3930" ht="9" customHeight="1" hidden="1">
      <c r="A3930" s="3"/>
      <c r="B3930" s="3"/>
      <c r="C3930" s="3"/>
      <c r="D3930" s="3"/>
      <c r="E3930" s="3"/>
      <c r="F3930" s="3"/>
      <c r="G3930" s="3"/>
      <c r="H3930" s="3"/>
    </row>
    <row r="3931" ht="13.65" customHeight="1">
      <c r="A3931" t="s" s="5">
        <v>786</v>
      </c>
      <c r="B3931" s="3"/>
      <c r="C3931" s="3"/>
      <c r="D3931" s="3"/>
      <c r="E3931" s="3"/>
      <c r="F3931" s="3"/>
      <c r="G3931" s="3"/>
      <c r="H3931" s="3"/>
    </row>
    <row r="3932" ht="13.65" customHeight="1">
      <c r="A3932" s="11"/>
      <c r="B3932" s="11"/>
      <c r="C3932" s="11"/>
      <c r="D3932" s="11"/>
      <c r="E3932" s="11"/>
      <c r="F3932" s="11"/>
      <c r="G3932" s="11"/>
      <c r="H3932" s="3"/>
    </row>
    <row r="3933" ht="13.65" customHeight="1">
      <c r="A3933" s="12"/>
      <c r="B3933" s="12"/>
      <c r="C3933" s="13"/>
      <c r="D3933" s="14"/>
      <c r="E3933" s="13"/>
      <c r="F3933" s="13"/>
      <c r="G3933" t="s" s="14">
        <v>252</v>
      </c>
      <c r="H3933" s="150"/>
    </row>
    <row r="3934" ht="13.65" customHeight="1">
      <c r="A3934" t="s" s="16">
        <v>93</v>
      </c>
      <c r="B3934" t="s" s="16">
        <v>94</v>
      </c>
      <c r="C3934" t="s" s="16">
        <v>95</v>
      </c>
      <c r="D3934" t="s" s="16">
        <v>96</v>
      </c>
      <c r="E3934" t="s" s="16">
        <v>97</v>
      </c>
      <c r="F3934" t="s" s="16">
        <v>98</v>
      </c>
      <c r="G3934" t="s" s="16">
        <v>99</v>
      </c>
      <c r="H3934" s="15"/>
    </row>
    <row r="3935" ht="13.65" customHeight="1">
      <c r="A3935" s="151"/>
      <c r="B3935" s="151"/>
      <c r="C3935" s="19"/>
      <c r="D3935" s="20"/>
      <c r="E3935" s="19"/>
      <c r="F3935" s="19"/>
      <c r="G3935" t="s" s="20">
        <v>100</v>
      </c>
      <c r="H3935" s="15"/>
    </row>
    <row r="3936" ht="13.65" customHeight="1">
      <c r="A3936" s="21">
        <v>72</v>
      </c>
      <c r="B3936" t="s" s="22">
        <v>101</v>
      </c>
      <c r="C3936" s="23">
        <v>50</v>
      </c>
      <c r="D3936" t="s" s="24">
        <v>102</v>
      </c>
      <c r="E3936" s="25">
        <v>1.93</v>
      </c>
      <c r="F3936" s="23">
        <v>25</v>
      </c>
      <c r="G3936" s="152" cm="1">
        <f t="array" ref="G3936">SUM(E3936/F3936)</f>
        <v>0.0772</v>
      </c>
      <c r="H3936" s="15"/>
    </row>
    <row r="3937" ht="13.65" customHeight="1">
      <c r="A3937" s="21">
        <v>123</v>
      </c>
      <c r="B3937" t="s" s="22">
        <v>103</v>
      </c>
      <c r="C3937" s="23">
        <v>40</v>
      </c>
      <c r="D3937" t="s" s="24">
        <v>104</v>
      </c>
      <c r="E3937" s="25">
        <v>3.2</v>
      </c>
      <c r="F3937" s="23">
        <v>40</v>
      </c>
      <c r="G3937" s="152" cm="1">
        <f t="array" ref="G3937">SUM(E3937/F3937)</f>
        <v>0.08</v>
      </c>
      <c r="H3937" s="15"/>
    </row>
    <row r="3938" ht="13.65" customHeight="1">
      <c r="A3938" s="21">
        <v>86</v>
      </c>
      <c r="B3938" t="s" s="22">
        <v>107</v>
      </c>
      <c r="C3938" s="23">
        <v>1</v>
      </c>
      <c r="D3938" t="s" s="24">
        <v>274</v>
      </c>
      <c r="E3938" s="25">
        <v>0.32</v>
      </c>
      <c r="F3938" t="s" s="24">
        <v>301</v>
      </c>
      <c r="G3938" s="152" cm="1">
        <f t="array" ref="G3938">SUM(E3938*4)</f>
        <v>1.28</v>
      </c>
      <c r="H3938" s="15"/>
    </row>
    <row r="3939" ht="13.65" customHeight="1">
      <c r="A3939" s="21">
        <v>71</v>
      </c>
      <c r="B3939" t="s" s="22">
        <v>109</v>
      </c>
      <c r="C3939" s="23">
        <v>10</v>
      </c>
      <c r="D3939" t="s" s="24">
        <v>274</v>
      </c>
      <c r="E3939" s="25">
        <v>5.92</v>
      </c>
      <c r="F3939" s="23">
        <v>2.5</v>
      </c>
      <c r="G3939" s="152" cm="1">
        <f t="array" ref="G3939">SUM(E3939/F3939)</f>
        <v>2.368</v>
      </c>
      <c r="H3939" s="15"/>
    </row>
    <row r="3940" ht="13.65" customHeight="1">
      <c r="A3940" s="21">
        <v>87</v>
      </c>
      <c r="B3940" t="s" s="22">
        <v>110</v>
      </c>
      <c r="C3940" s="23">
        <v>50</v>
      </c>
      <c r="D3940" t="s" s="24">
        <v>274</v>
      </c>
      <c r="E3940" s="25">
        <v>9</v>
      </c>
      <c r="F3940" s="23">
        <v>12.5</v>
      </c>
      <c r="G3940" s="152" cm="1">
        <f t="array" ref="G3940">SUM(E3940/F3940)</f>
        <v>0.72</v>
      </c>
      <c r="H3940" s="15"/>
    </row>
    <row r="3941" ht="13.65" customHeight="1">
      <c r="A3941" s="21">
        <v>55</v>
      </c>
      <c r="B3941" t="s" s="22">
        <v>111</v>
      </c>
      <c r="C3941" t="s" s="24">
        <v>112</v>
      </c>
      <c r="D3941" t="s" s="24">
        <v>113</v>
      </c>
      <c r="E3941" s="25">
        <v>2.71</v>
      </c>
      <c r="F3941" s="23">
        <v>75</v>
      </c>
      <c r="G3941" s="152" cm="1">
        <f t="array" ref="G3941">SUM(E3941/F3941)</f>
        <v>0.0361333333333333</v>
      </c>
      <c r="H3941" s="15"/>
    </row>
    <row r="3942" ht="13.65" customHeight="1">
      <c r="A3942" s="21">
        <v>19</v>
      </c>
      <c r="B3942" t="s" s="22">
        <v>414</v>
      </c>
      <c r="C3942" s="23">
        <v>1</v>
      </c>
      <c r="D3942" t="s" s="24">
        <v>104</v>
      </c>
      <c r="E3942" s="25">
        <v>5.2</v>
      </c>
      <c r="F3942" s="23">
        <v>1</v>
      </c>
      <c r="G3942" s="152" cm="1">
        <f t="array" ref="G3942">SUM(E3942/F3942)</f>
        <v>5.2</v>
      </c>
      <c r="H3942" s="15"/>
    </row>
    <row r="3943" ht="13.65" customHeight="1">
      <c r="A3943" s="28"/>
      <c r="B3943" s="28"/>
      <c r="C3943" s="27"/>
      <c r="D3943" s="24"/>
      <c r="E3943" s="27"/>
      <c r="F3943" t="s" s="29">
        <v>118</v>
      </c>
      <c r="G3943" s="197" cm="1">
        <f t="array" ref="G3943">SUM(G3936:G3942)</f>
        <v>9.761333333333329</v>
      </c>
      <c r="H3943" s="15"/>
    </row>
    <row r="3944" ht="13.65" customHeight="1">
      <c r="A3944" s="129"/>
      <c r="B3944" s="129"/>
      <c r="C3944" s="129"/>
      <c r="D3944" s="129"/>
      <c r="E3944" s="129"/>
      <c r="F3944" s="31"/>
      <c r="G3944" s="31"/>
      <c r="H3944" s="3"/>
    </row>
    <row r="3945" ht="11.7" customHeight="1">
      <c r="A3945" t="s" s="167">
        <v>136</v>
      </c>
      <c r="B3945" t="s" s="167">
        <v>281</v>
      </c>
      <c r="C3945" t="s" s="167">
        <v>282</v>
      </c>
      <c r="D3945" t="s" s="168">
        <v>283</v>
      </c>
      <c r="E3945" s="169"/>
      <c r="F3945" s="170"/>
      <c r="G3945" s="171"/>
      <c r="H3945" s="171"/>
    </row>
    <row r="3946" ht="13.65" customHeight="1">
      <c r="A3946" s="23">
        <v>25</v>
      </c>
      <c r="B3946" s="172" cm="1">
        <f t="array" ref="B3946">SUM(H256)</f>
        <v>2.47496540404041</v>
      </c>
      <c r="C3946" s="172" cm="1">
        <f t="array" ref="C3946">SUM(G3943)</f>
        <v>9.761333333333329</v>
      </c>
      <c r="D3946" s="199" cm="1">
        <f t="array" ref="D3946">SUM(A3946*B3946)+(C3946)</f>
        <v>71.63546843434359</v>
      </c>
      <c r="E3946" s="200"/>
      <c r="F3946" s="15"/>
      <c r="G3946" s="3"/>
      <c r="H3946" s="3"/>
    </row>
    <row r="3947" ht="13.65" customHeight="1">
      <c r="A3947" s="31"/>
      <c r="B3947" s="31"/>
      <c r="C3947" s="31"/>
      <c r="D3947" s="31"/>
      <c r="E3947" s="31"/>
      <c r="F3947" s="3"/>
      <c r="G3947" s="3"/>
      <c r="H3947" s="3"/>
    </row>
    <row r="3948" ht="13.65" customHeight="1">
      <c r="A3948" s="203"/>
      <c r="B3948" s="203"/>
      <c r="C3948" s="203"/>
      <c r="D3948" s="203"/>
      <c r="E3948" s="203"/>
      <c r="F3948" s="203"/>
      <c r="G3948" s="203"/>
      <c r="H3948" s="203"/>
    </row>
    <row r="3949" ht="13.65" customHeight="1">
      <c r="A3949" t="s" s="274">
        <v>284</v>
      </c>
      <c r="B3949" s="275"/>
      <c r="C3949" s="275"/>
      <c r="D3949" s="275"/>
      <c r="E3949" s="280"/>
      <c r="F3949" s="275"/>
      <c r="G3949" s="275"/>
      <c r="H3949" s="277"/>
    </row>
    <row r="3950" ht="13.65" customHeight="1">
      <c r="A3950" s="278"/>
      <c r="B3950" s="278"/>
      <c r="C3950" s="278"/>
      <c r="D3950" s="278"/>
      <c r="E3950" s="278"/>
      <c r="F3950" s="278"/>
      <c r="G3950" s="278"/>
      <c r="H3950" s="278"/>
    </row>
    <row r="3951" ht="13.65" customHeight="1">
      <c r="A3951" s="3"/>
      <c r="B3951" s="3"/>
      <c r="C3951" s="3"/>
      <c r="D3951" s="3"/>
      <c r="E3951" s="3"/>
      <c r="F3951" s="3"/>
      <c r="G3951" s="3"/>
      <c r="H3951" s="3"/>
    </row>
    <row r="3952" ht="13.65" customHeight="1">
      <c r="A3952" t="s" s="5">
        <v>787</v>
      </c>
      <c r="B3952" s="3"/>
      <c r="C3952" s="3"/>
      <c r="D3952" s="3"/>
      <c r="E3952" s="3"/>
      <c r="F3952" s="3"/>
      <c r="G3952" s="3"/>
      <c r="H3952" s="3"/>
    </row>
    <row r="3953" ht="13.65" customHeight="1">
      <c r="A3953" s="11"/>
      <c r="B3953" s="11"/>
      <c r="C3953" s="11"/>
      <c r="D3953" s="11"/>
      <c r="E3953" s="11"/>
      <c r="F3953" s="11"/>
      <c r="G3953" s="11"/>
      <c r="H3953" s="3"/>
    </row>
    <row r="3954" ht="13.65" customHeight="1">
      <c r="A3954" s="12"/>
      <c r="B3954" s="12"/>
      <c r="C3954" s="13"/>
      <c r="D3954" s="14"/>
      <c r="E3954" s="13"/>
      <c r="F3954" s="13"/>
      <c r="G3954" t="s" s="14">
        <v>252</v>
      </c>
      <c r="H3954" s="150"/>
    </row>
    <row r="3955" ht="13.65" customHeight="1">
      <c r="A3955" t="s" s="16">
        <v>93</v>
      </c>
      <c r="B3955" t="s" s="16">
        <v>94</v>
      </c>
      <c r="C3955" t="s" s="16">
        <v>95</v>
      </c>
      <c r="D3955" t="s" s="16">
        <v>96</v>
      </c>
      <c r="E3955" t="s" s="16">
        <v>97</v>
      </c>
      <c r="F3955" t="s" s="16">
        <v>98</v>
      </c>
      <c r="G3955" t="s" s="16">
        <v>99</v>
      </c>
      <c r="H3955" s="15"/>
    </row>
    <row r="3956" ht="13.65" customHeight="1">
      <c r="A3956" s="151"/>
      <c r="B3956" s="151"/>
      <c r="C3956" s="19"/>
      <c r="D3956" s="20"/>
      <c r="E3956" s="19"/>
      <c r="F3956" s="19"/>
      <c r="G3956" t="s" s="20">
        <v>100</v>
      </c>
      <c r="H3956" s="15"/>
    </row>
    <row r="3957" ht="13.65" customHeight="1">
      <c r="A3957" s="21">
        <v>72</v>
      </c>
      <c r="B3957" t="s" s="22">
        <v>101</v>
      </c>
      <c r="C3957" s="23">
        <v>50</v>
      </c>
      <c r="D3957" t="s" s="24">
        <v>102</v>
      </c>
      <c r="E3957" s="25">
        <v>1.93</v>
      </c>
      <c r="F3957" s="23">
        <v>25</v>
      </c>
      <c r="G3957" s="152" cm="1">
        <f t="array" ref="G3957">SUM(E3957/F3957)</f>
        <v>0.0772</v>
      </c>
      <c r="H3957" s="15"/>
    </row>
    <row r="3958" ht="13.65" customHeight="1">
      <c r="A3958" s="21">
        <v>123</v>
      </c>
      <c r="B3958" t="s" s="22">
        <v>103</v>
      </c>
      <c r="C3958" s="23">
        <v>40</v>
      </c>
      <c r="D3958" t="s" s="24">
        <v>104</v>
      </c>
      <c r="E3958" s="25">
        <v>3.2</v>
      </c>
      <c r="F3958" s="23">
        <v>40</v>
      </c>
      <c r="G3958" s="152" cm="1">
        <f t="array" ref="G3958">SUM(E3958/F3958)</f>
        <v>0.08</v>
      </c>
      <c r="H3958" s="15"/>
    </row>
    <row r="3959" ht="13.65" customHeight="1">
      <c r="A3959" s="21">
        <v>117</v>
      </c>
      <c r="B3959" t="s" s="22">
        <v>105</v>
      </c>
      <c r="C3959" s="23">
        <v>100</v>
      </c>
      <c r="D3959" t="s" s="24">
        <v>106</v>
      </c>
      <c r="E3959" s="25">
        <v>1.2</v>
      </c>
      <c r="F3959" s="23">
        <v>10</v>
      </c>
      <c r="G3959" s="152" cm="1">
        <f t="array" ref="G3959">SUM(E3959/F3959)</f>
        <v>0.12</v>
      </c>
      <c r="H3959" s="15"/>
    </row>
    <row r="3960" ht="13.65" customHeight="1">
      <c r="A3960" s="21">
        <v>86</v>
      </c>
      <c r="B3960" t="s" s="22">
        <v>107</v>
      </c>
      <c r="C3960" s="23">
        <v>1</v>
      </c>
      <c r="D3960" t="s" s="24">
        <v>274</v>
      </c>
      <c r="E3960" s="25">
        <v>0.32</v>
      </c>
      <c r="F3960" t="s" s="24">
        <v>301</v>
      </c>
      <c r="G3960" s="152" cm="1">
        <f t="array" ref="G3960">SUM(E3960*4)</f>
        <v>1.28</v>
      </c>
      <c r="H3960" s="15"/>
    </row>
    <row r="3961" ht="13.65" customHeight="1">
      <c r="A3961" s="21">
        <v>71</v>
      </c>
      <c r="B3961" t="s" s="22">
        <v>109</v>
      </c>
      <c r="C3961" s="23">
        <v>10</v>
      </c>
      <c r="D3961" t="s" s="24">
        <v>274</v>
      </c>
      <c r="E3961" s="25">
        <v>5.92</v>
      </c>
      <c r="F3961" s="23">
        <v>2.5</v>
      </c>
      <c r="G3961" s="152" cm="1">
        <f t="array" ref="G3961">SUM(E3961/F3961)</f>
        <v>2.368</v>
      </c>
      <c r="H3961" s="15"/>
    </row>
    <row r="3962" ht="13.65" customHeight="1">
      <c r="A3962" s="21">
        <v>87</v>
      </c>
      <c r="B3962" t="s" s="22">
        <v>110</v>
      </c>
      <c r="C3962" s="23">
        <v>50</v>
      </c>
      <c r="D3962" t="s" s="24">
        <v>274</v>
      </c>
      <c r="E3962" s="25">
        <v>9</v>
      </c>
      <c r="F3962" s="23">
        <v>12.5</v>
      </c>
      <c r="G3962" s="152" cm="1">
        <f t="array" ref="G3962">SUM(E3962/F3962)</f>
        <v>0.72</v>
      </c>
      <c r="H3962" s="15"/>
    </row>
    <row r="3963" ht="13.65" customHeight="1">
      <c r="A3963" s="21">
        <v>55</v>
      </c>
      <c r="B3963" t="s" s="22">
        <v>111</v>
      </c>
      <c r="C3963" t="s" s="24">
        <v>112</v>
      </c>
      <c r="D3963" t="s" s="24">
        <v>113</v>
      </c>
      <c r="E3963" s="25">
        <v>2.71</v>
      </c>
      <c r="F3963" s="23">
        <v>75</v>
      </c>
      <c r="G3963" s="152" cm="1">
        <f t="array" ref="G3963">SUM(E3963/F3963)</f>
        <v>0.0361333333333333</v>
      </c>
      <c r="H3963" s="15"/>
    </row>
    <row r="3964" ht="13.65" customHeight="1">
      <c r="A3964" s="21">
        <v>130</v>
      </c>
      <c r="B3964" t="s" s="22">
        <v>590</v>
      </c>
      <c r="C3964" t="s" s="24">
        <v>390</v>
      </c>
      <c r="D3964" t="s" s="24">
        <v>540</v>
      </c>
      <c r="E3964" s="25">
        <v>12</v>
      </c>
      <c r="F3964" s="23">
        <v>200</v>
      </c>
      <c r="G3964" s="152" cm="1">
        <f t="array" ref="G3964">SUM(E3964/F3964)</f>
        <v>0.06</v>
      </c>
      <c r="H3964" s="15"/>
    </row>
    <row r="3965" ht="13.65" customHeight="1">
      <c r="A3965" s="21">
        <v>139</v>
      </c>
      <c r="B3965" t="s" s="22">
        <v>788</v>
      </c>
      <c r="C3965" t="s" s="24">
        <v>432</v>
      </c>
      <c r="D3965" t="s" s="24">
        <v>495</v>
      </c>
      <c r="E3965" s="25">
        <v>15</v>
      </c>
      <c r="F3965" s="23">
        <v>20</v>
      </c>
      <c r="G3965" s="152" cm="1">
        <f t="array" ref="G3965">SUM(E3965/F3965)</f>
        <v>0.75</v>
      </c>
      <c r="H3965" s="15"/>
    </row>
    <row r="3966" ht="13.65" customHeight="1">
      <c r="A3966" s="28"/>
      <c r="B3966" s="28"/>
      <c r="C3966" s="27"/>
      <c r="D3966" s="24"/>
      <c r="E3966" s="27"/>
      <c r="F3966" t="s" s="29">
        <v>118</v>
      </c>
      <c r="G3966" s="197" cm="1">
        <f t="array" ref="G3966">SUM(G3957:G3965)</f>
        <v>5.49133333333333</v>
      </c>
      <c r="H3966" s="15"/>
    </row>
    <row r="3967" ht="13.65" customHeight="1">
      <c r="A3967" s="129"/>
      <c r="B3967" s="129"/>
      <c r="C3967" s="129"/>
      <c r="D3967" s="129"/>
      <c r="E3967" s="129"/>
      <c r="F3967" s="31"/>
      <c r="G3967" s="31"/>
      <c r="H3967" s="3"/>
    </row>
    <row r="3968" ht="11.7" customHeight="1">
      <c r="A3968" t="s" s="167">
        <v>136</v>
      </c>
      <c r="B3968" t="s" s="167">
        <v>281</v>
      </c>
      <c r="C3968" t="s" s="167">
        <v>282</v>
      </c>
      <c r="D3968" t="s" s="168">
        <v>283</v>
      </c>
      <c r="E3968" s="169"/>
      <c r="F3968" s="170"/>
      <c r="G3968" s="171"/>
      <c r="H3968" s="171"/>
    </row>
    <row r="3969" ht="13.65" customHeight="1">
      <c r="A3969" s="23">
        <v>40</v>
      </c>
      <c r="B3969" s="172" cm="1">
        <f t="array" ref="B3969">SUM(H256)</f>
        <v>2.47496540404041</v>
      </c>
      <c r="C3969" s="172" cm="1">
        <f t="array" ref="C3969">SUM(G3966)</f>
        <v>5.49133333333333</v>
      </c>
      <c r="D3969" s="199" cm="1">
        <f t="array" ref="D3969">SUM(A3969*B3969)+(C3969)</f>
        <v>104.489949494950</v>
      </c>
      <c r="E3969" s="200"/>
      <c r="F3969" s="15"/>
      <c r="G3969" s="3"/>
      <c r="H3969" s="3"/>
    </row>
    <row r="3970" ht="13.65" customHeight="1">
      <c r="A3970" s="31"/>
      <c r="B3970" s="31"/>
      <c r="C3970" s="31"/>
      <c r="D3970" s="31"/>
      <c r="E3970" s="31"/>
      <c r="F3970" s="3"/>
      <c r="G3970" s="3"/>
      <c r="H3970" s="3"/>
    </row>
    <row r="3971" ht="13.65" customHeight="1">
      <c r="A3971" s="3"/>
      <c r="B3971" s="3"/>
      <c r="C3971" s="3"/>
      <c r="D3971" s="3"/>
      <c r="E3971" s="3"/>
      <c r="F3971" s="3"/>
      <c r="G3971" s="3"/>
      <c r="H3971" s="3"/>
    </row>
    <row r="3972" ht="13.65" customHeight="1">
      <c r="A3972" t="s" s="5">
        <v>789</v>
      </c>
      <c r="B3972" s="3"/>
      <c r="C3972" s="3"/>
      <c r="D3972" s="3"/>
      <c r="E3972" s="3"/>
      <c r="F3972" s="3"/>
      <c r="G3972" s="3"/>
      <c r="H3972" s="3"/>
    </row>
    <row r="3973" ht="13.65" customHeight="1">
      <c r="A3973" s="11"/>
      <c r="B3973" s="11"/>
      <c r="C3973" s="11"/>
      <c r="D3973" s="11"/>
      <c r="E3973" s="11"/>
      <c r="F3973" s="11"/>
      <c r="G3973" s="11"/>
      <c r="H3973" s="3"/>
    </row>
    <row r="3974" ht="13.65" customHeight="1">
      <c r="A3974" s="12"/>
      <c r="B3974" s="12"/>
      <c r="C3974" s="13"/>
      <c r="D3974" s="14"/>
      <c r="E3974" s="13"/>
      <c r="F3974" s="13"/>
      <c r="G3974" t="s" s="14">
        <v>252</v>
      </c>
      <c r="H3974" s="150"/>
    </row>
    <row r="3975" ht="13.65" customHeight="1">
      <c r="A3975" t="s" s="16">
        <v>93</v>
      </c>
      <c r="B3975" t="s" s="16">
        <v>94</v>
      </c>
      <c r="C3975" t="s" s="16">
        <v>95</v>
      </c>
      <c r="D3975" t="s" s="16">
        <v>96</v>
      </c>
      <c r="E3975" t="s" s="16">
        <v>97</v>
      </c>
      <c r="F3975" t="s" s="16">
        <v>98</v>
      </c>
      <c r="G3975" t="s" s="16">
        <v>99</v>
      </c>
      <c r="H3975" s="15"/>
    </row>
    <row r="3976" ht="13.65" customHeight="1">
      <c r="A3976" s="151"/>
      <c r="B3976" s="151"/>
      <c r="C3976" s="19"/>
      <c r="D3976" s="20"/>
      <c r="E3976" s="19"/>
      <c r="F3976" s="19"/>
      <c r="G3976" t="s" s="20">
        <v>100</v>
      </c>
      <c r="H3976" s="15"/>
    </row>
    <row r="3977" ht="13.65" customHeight="1">
      <c r="A3977" s="21">
        <v>72</v>
      </c>
      <c r="B3977" t="s" s="22">
        <v>101</v>
      </c>
      <c r="C3977" s="23">
        <v>50</v>
      </c>
      <c r="D3977" t="s" s="24">
        <v>274</v>
      </c>
      <c r="E3977" s="25">
        <v>1.93</v>
      </c>
      <c r="F3977" s="23">
        <v>12.5</v>
      </c>
      <c r="G3977" s="152" cm="1">
        <f t="array" ref="G3977">SUM(E3977/F3977)</f>
        <v>0.1544</v>
      </c>
      <c r="H3977" s="15"/>
    </row>
    <row r="3978" ht="13.65" customHeight="1">
      <c r="A3978" s="21">
        <v>123</v>
      </c>
      <c r="B3978" t="s" s="22">
        <v>103</v>
      </c>
      <c r="C3978" s="23">
        <v>40</v>
      </c>
      <c r="D3978" t="s" s="24">
        <v>102</v>
      </c>
      <c r="E3978" s="25">
        <v>3.2</v>
      </c>
      <c r="F3978" s="23">
        <v>20</v>
      </c>
      <c r="G3978" s="152" cm="1">
        <f t="array" ref="G3978">SUM(E3978/F3978)</f>
        <v>0.16</v>
      </c>
      <c r="H3978" s="15"/>
    </row>
    <row r="3979" ht="13.65" customHeight="1">
      <c r="A3979" s="21">
        <v>117</v>
      </c>
      <c r="B3979" t="s" s="22">
        <v>105</v>
      </c>
      <c r="C3979" s="23">
        <v>100</v>
      </c>
      <c r="D3979" t="s" s="24">
        <v>106</v>
      </c>
      <c r="E3979" s="25">
        <v>1.2</v>
      </c>
      <c r="F3979" s="23">
        <v>10</v>
      </c>
      <c r="G3979" s="152" cm="1">
        <f t="array" ref="G3979">SUM(E3979/F3979)</f>
        <v>0.12</v>
      </c>
      <c r="H3979" s="15"/>
    </row>
    <row r="3980" ht="13.65" customHeight="1">
      <c r="A3980" s="21">
        <v>86</v>
      </c>
      <c r="B3980" t="s" s="22">
        <v>107</v>
      </c>
      <c r="C3980" s="23">
        <v>1</v>
      </c>
      <c r="D3980" t="s" s="24">
        <v>274</v>
      </c>
      <c r="E3980" s="25">
        <v>0.32</v>
      </c>
      <c r="F3980" t="s" s="24">
        <v>301</v>
      </c>
      <c r="G3980" s="152" cm="1">
        <f t="array" ref="G3980">SUM(E3980*4)</f>
        <v>1.28</v>
      </c>
      <c r="H3980" s="15"/>
    </row>
    <row r="3981" ht="13.65" customHeight="1">
      <c r="A3981" s="21">
        <v>71</v>
      </c>
      <c r="B3981" t="s" s="22">
        <v>109</v>
      </c>
      <c r="C3981" s="23">
        <v>10</v>
      </c>
      <c r="D3981" t="s" s="24">
        <v>274</v>
      </c>
      <c r="E3981" s="25">
        <v>5.92</v>
      </c>
      <c r="F3981" s="23">
        <v>2.5</v>
      </c>
      <c r="G3981" s="152" cm="1">
        <f t="array" ref="G3981">SUM(E3981/F3981)</f>
        <v>2.368</v>
      </c>
      <c r="H3981" s="15"/>
    </row>
    <row r="3982" ht="13.65" customHeight="1">
      <c r="A3982" s="21">
        <v>87</v>
      </c>
      <c r="B3982" t="s" s="22">
        <v>110</v>
      </c>
      <c r="C3982" s="23">
        <v>50</v>
      </c>
      <c r="D3982" t="s" s="24">
        <v>274</v>
      </c>
      <c r="E3982" s="25">
        <v>9</v>
      </c>
      <c r="F3982" s="23">
        <v>12.5</v>
      </c>
      <c r="G3982" s="152" cm="1">
        <f t="array" ref="G3982">SUM(E3982/F3982)</f>
        <v>0.72</v>
      </c>
      <c r="H3982" s="15"/>
    </row>
    <row r="3983" ht="13.65" customHeight="1">
      <c r="A3983" s="21">
        <v>55</v>
      </c>
      <c r="B3983" t="s" s="22">
        <v>111</v>
      </c>
      <c r="C3983" t="s" s="24">
        <v>112</v>
      </c>
      <c r="D3983" t="s" s="24">
        <v>461</v>
      </c>
      <c r="E3983" s="25">
        <v>2.71</v>
      </c>
      <c r="F3983" s="23">
        <v>37.5</v>
      </c>
      <c r="G3983" s="152" cm="1">
        <f t="array" ref="G3983">SUM(E3983/F3983)</f>
        <v>0.0722666666666667</v>
      </c>
      <c r="H3983" s="15"/>
    </row>
    <row r="3984" ht="13.65" customHeight="1">
      <c r="A3984" s="21">
        <v>19</v>
      </c>
      <c r="B3984" t="s" s="22">
        <v>445</v>
      </c>
      <c r="C3984" s="23">
        <v>2</v>
      </c>
      <c r="D3984" t="s" s="24">
        <v>790</v>
      </c>
      <c r="E3984" s="25">
        <v>5.2</v>
      </c>
      <c r="F3984" s="23">
        <v>40</v>
      </c>
      <c r="G3984" s="152" cm="1">
        <f t="array" ref="G3984">SUM(E3984/F3984)</f>
        <v>0.13</v>
      </c>
      <c r="H3984" s="15"/>
    </row>
    <row r="3985" ht="13.65" customHeight="1">
      <c r="A3985" s="21">
        <v>19</v>
      </c>
      <c r="B3985" t="s" s="22">
        <v>437</v>
      </c>
      <c r="C3985" s="23">
        <v>1</v>
      </c>
      <c r="D3985" t="s" s="24">
        <v>373</v>
      </c>
      <c r="E3985" s="25">
        <v>5.2</v>
      </c>
      <c r="F3985" s="23">
        <v>15</v>
      </c>
      <c r="G3985" s="152" cm="1">
        <f t="array" ref="G3985">SUM(E3985/F3985)</f>
        <v>0.346666666666667</v>
      </c>
      <c r="H3985" s="15"/>
    </row>
    <row r="3986" ht="13.65" customHeight="1">
      <c r="A3986" s="21">
        <v>13</v>
      </c>
      <c r="B3986" t="s" s="22">
        <v>791</v>
      </c>
      <c r="C3986" s="23">
        <v>6</v>
      </c>
      <c r="D3986" t="s" s="24">
        <v>444</v>
      </c>
      <c r="E3986" s="25">
        <v>14</v>
      </c>
      <c r="F3986" s="23">
        <v>10</v>
      </c>
      <c r="G3986" s="152" cm="1">
        <f t="array" ref="G3986">SUM(E3986/F3986)</f>
        <v>1.4</v>
      </c>
      <c r="H3986" s="15"/>
    </row>
    <row r="3987" ht="13.65" customHeight="1">
      <c r="A3987" s="21">
        <v>14</v>
      </c>
      <c r="B3987" t="s" s="22">
        <v>792</v>
      </c>
      <c r="C3987" s="23">
        <v>1</v>
      </c>
      <c r="D3987" t="s" s="24">
        <v>495</v>
      </c>
      <c r="E3987" s="25">
        <v>14</v>
      </c>
      <c r="F3987" s="23">
        <v>20</v>
      </c>
      <c r="G3987" s="152" cm="1">
        <f t="array" ref="G3987">SUM(E3987/F3987)</f>
        <v>0.7</v>
      </c>
      <c r="H3987" s="15"/>
    </row>
    <row r="3988" ht="13.65" customHeight="1">
      <c r="A3988" s="21">
        <v>93</v>
      </c>
      <c r="B3988" t="s" s="22">
        <v>793</v>
      </c>
      <c r="C3988" s="23">
        <v>20</v>
      </c>
      <c r="D3988" t="s" s="24">
        <v>104</v>
      </c>
      <c r="E3988" s="25">
        <v>34</v>
      </c>
      <c r="F3988" s="23">
        <v>20</v>
      </c>
      <c r="G3988" s="152" cm="1">
        <f t="array" ref="G3988">SUM(E3988/F3988)</f>
        <v>1.7</v>
      </c>
      <c r="H3988" s="15"/>
    </row>
    <row r="3989" ht="13.65" customHeight="1">
      <c r="A3989" s="21">
        <v>2</v>
      </c>
      <c r="B3989" t="s" s="22">
        <v>794</v>
      </c>
      <c r="C3989" t="s" s="24">
        <v>614</v>
      </c>
      <c r="D3989" t="s" s="24">
        <v>424</v>
      </c>
      <c r="E3989" s="25">
        <v>16.56</v>
      </c>
      <c r="F3989" s="23">
        <v>20</v>
      </c>
      <c r="G3989" s="152" cm="1">
        <f t="array" ref="G3989">SUM(E3989/F3989)</f>
        <v>0.828</v>
      </c>
      <c r="H3989" s="15"/>
    </row>
    <row r="3990" ht="13.65" customHeight="1">
      <c r="A3990" s="21">
        <v>103</v>
      </c>
      <c r="B3990" t="s" s="22">
        <v>114</v>
      </c>
      <c r="C3990" s="23">
        <v>144</v>
      </c>
      <c r="D3990" t="s" s="24">
        <v>104</v>
      </c>
      <c r="E3990" s="25">
        <v>18</v>
      </c>
      <c r="F3990" s="23">
        <v>144</v>
      </c>
      <c r="G3990" s="152" cm="1">
        <f t="array" ref="G3990">SUM(E3990/F3990)</f>
        <v>0.125</v>
      </c>
      <c r="H3990" s="15"/>
    </row>
    <row r="3991" ht="13.65" customHeight="1">
      <c r="A3991" s="21">
        <v>139</v>
      </c>
      <c r="B3991" t="s" s="22">
        <v>795</v>
      </c>
      <c r="C3991" t="s" s="24">
        <v>432</v>
      </c>
      <c r="D3991" t="s" s="24">
        <v>495</v>
      </c>
      <c r="E3991" s="25">
        <v>15</v>
      </c>
      <c r="F3991" s="23">
        <v>20</v>
      </c>
      <c r="G3991" s="152" cm="1">
        <f t="array" ref="G3991">SUM(E3991/F3991)</f>
        <v>0.75</v>
      </c>
      <c r="H3991" s="15"/>
    </row>
    <row r="3992" ht="13.65" customHeight="1">
      <c r="A3992" s="21">
        <v>125</v>
      </c>
      <c r="B3992" t="s" s="22">
        <v>708</v>
      </c>
      <c r="C3992" t="s" s="24">
        <v>648</v>
      </c>
      <c r="D3992" t="s" s="24">
        <v>627</v>
      </c>
      <c r="E3992" s="25">
        <v>130</v>
      </c>
      <c r="F3992" s="23">
        <v>30</v>
      </c>
      <c r="G3992" s="26" cm="1">
        <f t="array" ref="G3992">SUM(E3992/F3992)</f>
        <v>4.33333333333333</v>
      </c>
      <c r="H3992" s="15"/>
    </row>
    <row r="3993" ht="13.65" customHeight="1">
      <c r="A3993" s="21">
        <v>131</v>
      </c>
      <c r="B3993" t="s" s="22">
        <v>482</v>
      </c>
      <c r="C3993" s="27"/>
      <c r="D3993" s="24"/>
      <c r="E3993" s="25"/>
      <c r="F3993" s="27"/>
      <c r="G3993" s="179">
        <v>20</v>
      </c>
      <c r="H3993" s="15"/>
    </row>
    <row r="3994" ht="13.65" customHeight="1">
      <c r="A3994" s="28"/>
      <c r="B3994" s="28"/>
      <c r="C3994" s="27"/>
      <c r="D3994" s="24"/>
      <c r="E3994" s="27"/>
      <c r="F3994" t="s" s="29">
        <v>118</v>
      </c>
      <c r="G3994" s="197" cm="1">
        <f t="array" ref="G3994">SUM(G3977:G3993)</f>
        <v>35.1876666666667</v>
      </c>
      <c r="H3994" s="15"/>
    </row>
    <row r="3995" ht="13.65" customHeight="1">
      <c r="A3995" s="129"/>
      <c r="B3995" s="129"/>
      <c r="C3995" s="129"/>
      <c r="D3995" s="129"/>
      <c r="E3995" s="129"/>
      <c r="F3995" s="31"/>
      <c r="G3995" s="31"/>
      <c r="H3995" s="3"/>
    </row>
    <row r="3996" ht="11.7" customHeight="1">
      <c r="A3996" t="s" s="167">
        <v>136</v>
      </c>
      <c r="B3996" t="s" s="167">
        <v>281</v>
      </c>
      <c r="C3996" t="s" s="167">
        <v>282</v>
      </c>
      <c r="D3996" t="s" s="168">
        <v>283</v>
      </c>
      <c r="E3996" s="169"/>
      <c r="F3996" s="170"/>
      <c r="G3996" s="171"/>
      <c r="H3996" s="171"/>
    </row>
    <row r="3997" ht="13.65" customHeight="1">
      <c r="A3997" s="23">
        <v>90</v>
      </c>
      <c r="B3997" s="172" cm="1">
        <f t="array" ref="B3997">SUM(H256)</f>
        <v>2.47496540404041</v>
      </c>
      <c r="C3997" s="172" cm="1">
        <f t="array" ref="C3997">SUM(G3994)</f>
        <v>35.1876666666667</v>
      </c>
      <c r="D3997" s="199" cm="1">
        <f t="array" ref="D3997">SUM(A3997*B3997)+(C3997)</f>
        <v>257.934553030304</v>
      </c>
      <c r="E3997" s="200"/>
      <c r="F3997" s="15"/>
      <c r="G3997" s="3"/>
      <c r="H3997" s="3"/>
    </row>
    <row r="3998" ht="13.65" customHeight="1">
      <c r="A3998" s="289"/>
      <c r="B3998" s="289"/>
      <c r="C3998" s="289"/>
      <c r="D3998" s="289"/>
      <c r="E3998" s="289"/>
      <c r="F3998" s="203"/>
      <c r="G3998" s="203"/>
      <c r="H3998" s="203"/>
    </row>
    <row r="3999" ht="13.65" customHeight="1">
      <c r="A3999" t="s" s="274">
        <v>185</v>
      </c>
      <c r="B3999" s="275"/>
      <c r="C3999" s="275"/>
      <c r="D3999" s="275"/>
      <c r="E3999" s="280"/>
      <c r="F3999" s="275"/>
      <c r="G3999" s="275"/>
      <c r="H3999" s="277"/>
    </row>
    <row r="4000" ht="13.65" customHeight="1">
      <c r="A4000" s="278"/>
      <c r="B4000" s="278"/>
      <c r="C4000" s="278"/>
      <c r="D4000" s="278"/>
      <c r="E4000" s="278"/>
      <c r="F4000" s="278"/>
      <c r="G4000" s="278"/>
      <c r="H4000" s="278"/>
    </row>
    <row r="4001" ht="13.65" customHeight="1">
      <c r="A4001" t="s" s="5">
        <v>796</v>
      </c>
      <c r="B4001" s="3"/>
      <c r="C4001" s="3"/>
      <c r="D4001" s="3"/>
      <c r="E4001" s="3"/>
      <c r="F4001" s="3"/>
      <c r="G4001" s="3"/>
      <c r="H4001" s="3"/>
    </row>
    <row r="4002" ht="13.65" customHeight="1">
      <c r="A4002" s="11"/>
      <c r="B4002" s="11"/>
      <c r="C4002" s="11"/>
      <c r="D4002" s="11"/>
      <c r="E4002" s="11"/>
      <c r="F4002" s="11"/>
      <c r="G4002" s="11"/>
      <c r="H4002" s="3"/>
    </row>
    <row r="4003" ht="13.65" customHeight="1">
      <c r="A4003" s="12"/>
      <c r="B4003" s="12"/>
      <c r="C4003" s="13"/>
      <c r="D4003" s="14"/>
      <c r="E4003" s="13"/>
      <c r="F4003" s="13"/>
      <c r="G4003" t="s" s="14">
        <v>252</v>
      </c>
      <c r="H4003" s="150"/>
    </row>
    <row r="4004" ht="13.65" customHeight="1">
      <c r="A4004" t="s" s="16">
        <v>93</v>
      </c>
      <c r="B4004" t="s" s="16">
        <v>94</v>
      </c>
      <c r="C4004" t="s" s="16">
        <v>95</v>
      </c>
      <c r="D4004" t="s" s="16">
        <v>96</v>
      </c>
      <c r="E4004" t="s" s="16">
        <v>97</v>
      </c>
      <c r="F4004" t="s" s="16">
        <v>98</v>
      </c>
      <c r="G4004" t="s" s="16">
        <v>99</v>
      </c>
      <c r="H4004" s="15"/>
    </row>
    <row r="4005" ht="13.65" customHeight="1">
      <c r="A4005" s="151"/>
      <c r="B4005" s="151"/>
      <c r="C4005" s="19"/>
      <c r="D4005" s="20"/>
      <c r="E4005" s="19"/>
      <c r="F4005" s="19"/>
      <c r="G4005" t="s" s="20">
        <v>100</v>
      </c>
      <c r="H4005" s="15"/>
    </row>
    <row r="4006" ht="13.65" customHeight="1">
      <c r="A4006" s="21">
        <v>72</v>
      </c>
      <c r="B4006" t="s" s="22">
        <v>101</v>
      </c>
      <c r="C4006" s="23">
        <v>50</v>
      </c>
      <c r="D4006" t="s" s="24">
        <v>102</v>
      </c>
      <c r="E4006" s="25">
        <v>1.93</v>
      </c>
      <c r="F4006" s="23">
        <v>25</v>
      </c>
      <c r="G4006" s="152" cm="1">
        <f t="array" ref="G4006">SUM(E4006/F4006)</f>
        <v>0.0772</v>
      </c>
      <c r="H4006" s="15"/>
    </row>
    <row r="4007" ht="13.65" customHeight="1">
      <c r="A4007" s="21">
        <v>123</v>
      </c>
      <c r="B4007" t="s" s="22">
        <v>103</v>
      </c>
      <c r="C4007" s="23">
        <v>40</v>
      </c>
      <c r="D4007" t="s" s="24">
        <v>104</v>
      </c>
      <c r="E4007" s="25">
        <v>3.2</v>
      </c>
      <c r="F4007" s="23">
        <v>40</v>
      </c>
      <c r="G4007" s="152" cm="1">
        <f t="array" ref="G4007">SUM(E4007/F4007)</f>
        <v>0.08</v>
      </c>
      <c r="H4007" s="15"/>
    </row>
    <row r="4008" ht="13.65" customHeight="1">
      <c r="A4008" s="21">
        <v>57</v>
      </c>
      <c r="B4008" t="s" s="22">
        <v>253</v>
      </c>
      <c r="C4008" t="s" s="24">
        <v>389</v>
      </c>
      <c r="D4008" t="s" s="24">
        <v>371</v>
      </c>
      <c r="E4008" s="25">
        <v>4.5</v>
      </c>
      <c r="F4008" s="23">
        <v>33</v>
      </c>
      <c r="G4008" s="152" cm="1">
        <f t="array" ref="G4008">SUM(E4008/F4008)</f>
        <v>0.136363636363636</v>
      </c>
      <c r="H4008" s="15"/>
    </row>
    <row r="4009" ht="13.65" customHeight="1">
      <c r="A4009" s="21">
        <v>117</v>
      </c>
      <c r="B4009" t="s" s="22">
        <v>105</v>
      </c>
      <c r="C4009" s="23">
        <v>100</v>
      </c>
      <c r="D4009" t="s" s="24">
        <v>106</v>
      </c>
      <c r="E4009" s="25">
        <v>1.2</v>
      </c>
      <c r="F4009" s="23">
        <v>10</v>
      </c>
      <c r="G4009" s="152" cm="1">
        <f t="array" ref="G4009">SUM(E4009/F4009)</f>
        <v>0.12</v>
      </c>
      <c r="H4009" s="15"/>
    </row>
    <row r="4010" ht="13.65" customHeight="1">
      <c r="A4010" s="21">
        <v>86</v>
      </c>
      <c r="B4010" t="s" s="22">
        <v>107</v>
      </c>
      <c r="C4010" s="23">
        <v>1</v>
      </c>
      <c r="D4010" t="s" s="24">
        <v>274</v>
      </c>
      <c r="E4010" s="25">
        <v>0.32</v>
      </c>
      <c r="F4010" t="s" s="24">
        <v>301</v>
      </c>
      <c r="G4010" s="152" cm="1">
        <f t="array" ref="G4010">SUM(E4010*4)</f>
        <v>1.28</v>
      </c>
      <c r="H4010" s="15"/>
    </row>
    <row r="4011" ht="13.65" customHeight="1">
      <c r="A4011" s="21">
        <v>71</v>
      </c>
      <c r="B4011" t="s" s="22">
        <v>109</v>
      </c>
      <c r="C4011" s="23">
        <v>10</v>
      </c>
      <c r="D4011" t="s" s="24">
        <v>274</v>
      </c>
      <c r="E4011" s="25">
        <v>5.92</v>
      </c>
      <c r="F4011" s="23">
        <v>2.5</v>
      </c>
      <c r="G4011" s="152" cm="1">
        <f t="array" ref="G4011">SUM(E4011/F4011)</f>
        <v>2.368</v>
      </c>
      <c r="H4011" s="15"/>
    </row>
    <row r="4012" ht="13.65" customHeight="1">
      <c r="A4012" s="21">
        <v>87</v>
      </c>
      <c r="B4012" t="s" s="22">
        <v>110</v>
      </c>
      <c r="C4012" s="23">
        <v>50</v>
      </c>
      <c r="D4012" t="s" s="24">
        <v>274</v>
      </c>
      <c r="E4012" s="25">
        <v>9</v>
      </c>
      <c r="F4012" s="23">
        <v>12.5</v>
      </c>
      <c r="G4012" s="152" cm="1">
        <f t="array" ref="G4012">SUM(E4012/F4012)</f>
        <v>0.72</v>
      </c>
      <c r="H4012" s="15"/>
    </row>
    <row r="4013" ht="13.65" customHeight="1">
      <c r="A4013" s="21">
        <v>55</v>
      </c>
      <c r="B4013" t="s" s="22">
        <v>111</v>
      </c>
      <c r="C4013" t="s" s="24">
        <v>112</v>
      </c>
      <c r="D4013" t="s" s="24">
        <v>113</v>
      </c>
      <c r="E4013" s="25">
        <v>2.71</v>
      </c>
      <c r="F4013" s="23">
        <v>75</v>
      </c>
      <c r="G4013" s="152" cm="1">
        <f t="array" ref="G4013">SUM(E4013/F4013)</f>
        <v>0.0361333333333333</v>
      </c>
      <c r="H4013" s="15"/>
    </row>
    <row r="4014" ht="13.65" customHeight="1">
      <c r="A4014" s="21">
        <v>24</v>
      </c>
      <c r="B4014" t="s" s="22">
        <v>406</v>
      </c>
      <c r="C4014" s="23">
        <v>10</v>
      </c>
      <c r="D4014" t="s" s="24">
        <v>104</v>
      </c>
      <c r="E4014" s="25">
        <v>9.6</v>
      </c>
      <c r="F4014" s="23">
        <v>10</v>
      </c>
      <c r="G4014" s="152" cm="1">
        <f t="array" ref="G4014">SUM(E4014/F4014)</f>
        <v>0.96</v>
      </c>
      <c r="H4014" s="15"/>
    </row>
    <row r="4015" ht="13.65" customHeight="1">
      <c r="A4015" s="21">
        <v>2</v>
      </c>
      <c r="B4015" t="s" s="22">
        <v>794</v>
      </c>
      <c r="C4015" t="s" s="24">
        <v>614</v>
      </c>
      <c r="D4015" t="s" s="24">
        <v>408</v>
      </c>
      <c r="E4015" s="25">
        <v>16.56</v>
      </c>
      <c r="F4015" s="23">
        <v>10</v>
      </c>
      <c r="G4015" s="152" cm="1">
        <f t="array" ref="G4015">SUM(E4015/F4015)</f>
        <v>1.656</v>
      </c>
      <c r="H4015" s="15"/>
    </row>
    <row r="4016" ht="13.65" customHeight="1">
      <c r="A4016" s="21">
        <v>46</v>
      </c>
      <c r="B4016" t="s" s="22">
        <v>797</v>
      </c>
      <c r="C4016" s="23">
        <v>6</v>
      </c>
      <c r="D4016" t="s" s="24">
        <v>104</v>
      </c>
      <c r="E4016" s="25">
        <v>4.5</v>
      </c>
      <c r="F4016" s="23">
        <v>6</v>
      </c>
      <c r="G4016" s="152" cm="1">
        <f t="array" ref="G4016">SUM(E4016/F4016)</f>
        <v>0.75</v>
      </c>
      <c r="H4016" s="15"/>
    </row>
    <row r="4017" ht="13.65" customHeight="1">
      <c r="A4017" s="21">
        <v>102</v>
      </c>
      <c r="B4017" t="s" s="22">
        <v>709</v>
      </c>
      <c r="C4017" s="23">
        <v>1</v>
      </c>
      <c r="D4017" t="s" s="24">
        <v>397</v>
      </c>
      <c r="E4017" s="25">
        <v>2.7</v>
      </c>
      <c r="F4017" s="23">
        <v>50</v>
      </c>
      <c r="G4017" s="152" cm="1">
        <f t="array" ref="G4017">SUM(E4017/F4017)</f>
        <v>0.054</v>
      </c>
      <c r="H4017" s="15"/>
    </row>
    <row r="4018" ht="13.65" customHeight="1">
      <c r="A4018" s="21">
        <v>103</v>
      </c>
      <c r="B4018" t="s" s="22">
        <v>114</v>
      </c>
      <c r="C4018" s="23">
        <v>144</v>
      </c>
      <c r="D4018" t="s" s="24">
        <v>104</v>
      </c>
      <c r="E4018" s="25">
        <v>18</v>
      </c>
      <c r="F4018" s="23">
        <v>144</v>
      </c>
      <c r="G4018" s="152" cm="1">
        <f t="array" ref="G4018">SUM(E4018/F4018)</f>
        <v>0.125</v>
      </c>
      <c r="H4018" s="15"/>
    </row>
    <row r="4019" ht="13.65" customHeight="1">
      <c r="A4019" s="21">
        <v>101</v>
      </c>
      <c r="B4019" t="s" s="22">
        <v>407</v>
      </c>
      <c r="C4019" t="s" s="24">
        <v>380</v>
      </c>
      <c r="D4019" t="s" s="24">
        <v>408</v>
      </c>
      <c r="E4019" s="25">
        <v>7.5</v>
      </c>
      <c r="F4019" s="23">
        <v>50</v>
      </c>
      <c r="G4019" s="152" cm="1">
        <f t="array" ref="G4019">SUM(E4019/F4019)</f>
        <v>0.15</v>
      </c>
      <c r="H4019" s="15"/>
    </row>
    <row r="4020" ht="13.65" customHeight="1">
      <c r="A4020" s="21">
        <v>49</v>
      </c>
      <c r="B4020" t="s" s="22">
        <v>706</v>
      </c>
      <c r="C4020" s="23">
        <v>120</v>
      </c>
      <c r="D4020" t="s" s="24">
        <v>256</v>
      </c>
      <c r="E4020" s="25">
        <v>132</v>
      </c>
      <c r="F4020" s="23">
        <v>40</v>
      </c>
      <c r="G4020" s="152" cm="1">
        <f t="array" ref="G4020">SUM(E4020/F4020)</f>
        <v>3.3</v>
      </c>
      <c r="H4020" s="15"/>
    </row>
    <row r="4021" ht="13.65" customHeight="1">
      <c r="A4021" s="21">
        <v>48</v>
      </c>
      <c r="B4021" t="s" s="22">
        <v>710</v>
      </c>
      <c r="C4021" s="23">
        <v>1</v>
      </c>
      <c r="D4021" t="s" s="24">
        <v>277</v>
      </c>
      <c r="E4021" s="25">
        <v>1</v>
      </c>
      <c r="F4021" s="23">
        <v>2</v>
      </c>
      <c r="G4021" s="152" cm="1">
        <f t="array" ref="G4021">SUM(E4021/F4021)</f>
        <v>0.5</v>
      </c>
      <c r="H4021" s="15"/>
    </row>
    <row r="4022" ht="13.65" customHeight="1">
      <c r="A4022" s="21">
        <v>125</v>
      </c>
      <c r="B4022" t="s" s="22">
        <v>708</v>
      </c>
      <c r="C4022" t="s" s="24">
        <v>648</v>
      </c>
      <c r="D4022" t="s" s="24">
        <v>627</v>
      </c>
      <c r="E4022" s="25">
        <v>130</v>
      </c>
      <c r="F4022" s="23">
        <v>30</v>
      </c>
      <c r="G4022" s="152" cm="1">
        <f t="array" ref="G4022">SUM(E4022/F4022)</f>
        <v>4.33333333333333</v>
      </c>
      <c r="H4022" s="15"/>
    </row>
    <row r="4023" ht="13.65" customHeight="1">
      <c r="A4023" s="28"/>
      <c r="B4023" s="28"/>
      <c r="C4023" s="27"/>
      <c r="D4023" s="24"/>
      <c r="E4023" s="27"/>
      <c r="F4023" t="s" s="29">
        <v>118</v>
      </c>
      <c r="G4023" s="197" cm="1">
        <f t="array" ref="G4023">SUM(G4006:G4022)</f>
        <v>16.6460303030303</v>
      </c>
      <c r="H4023" s="15"/>
    </row>
    <row r="4024" ht="13.65" customHeight="1">
      <c r="A4024" s="129"/>
      <c r="B4024" s="129"/>
      <c r="C4024" s="129"/>
      <c r="D4024" s="129"/>
      <c r="E4024" s="129"/>
      <c r="F4024" s="31"/>
      <c r="G4024" s="31"/>
      <c r="H4024" s="3"/>
    </row>
    <row r="4025" ht="11.7" customHeight="1">
      <c r="A4025" t="s" s="167">
        <v>136</v>
      </c>
      <c r="B4025" t="s" s="167">
        <v>281</v>
      </c>
      <c r="C4025" t="s" s="167">
        <v>282</v>
      </c>
      <c r="D4025" t="s" s="168">
        <v>283</v>
      </c>
      <c r="E4025" s="169"/>
      <c r="F4025" s="170"/>
      <c r="G4025" s="171"/>
      <c r="H4025" s="171"/>
    </row>
    <row r="4026" ht="13.65" customHeight="1">
      <c r="A4026" s="23">
        <v>60</v>
      </c>
      <c r="B4026" s="172" cm="1">
        <f t="array" ref="B4026">SUM(H256)</f>
        <v>2.47496540404041</v>
      </c>
      <c r="C4026" s="172" cm="1">
        <f t="array" ref="C4026">SUM(G4023)</f>
        <v>16.6460303030303</v>
      </c>
      <c r="D4026" s="199" cm="1">
        <f t="array" ref="D4026">SUM(A4026*B4026)+(C4026)</f>
        <v>165.143954545455</v>
      </c>
      <c r="E4026" s="200"/>
      <c r="F4026" s="15"/>
      <c r="G4026" s="3"/>
      <c r="H4026" s="3"/>
    </row>
    <row r="4027" ht="13.65" customHeight="1">
      <c r="A4027" s="31"/>
      <c r="B4027" s="31"/>
      <c r="C4027" s="31"/>
      <c r="D4027" s="31"/>
      <c r="E4027" s="31"/>
      <c r="F4027" s="3"/>
      <c r="G4027" s="3"/>
      <c r="H4027" s="3"/>
    </row>
    <row r="4028" ht="13.65" customHeight="1">
      <c r="A4028" s="3"/>
      <c r="B4028" s="3"/>
      <c r="C4028" s="3"/>
      <c r="D4028" s="3"/>
      <c r="E4028" s="3"/>
      <c r="F4028" s="3"/>
      <c r="G4028" s="3"/>
      <c r="H4028" s="3"/>
    </row>
    <row r="4029" ht="13.65" customHeight="1">
      <c r="A4029" t="s" s="5">
        <v>798</v>
      </c>
      <c r="B4029" s="3"/>
      <c r="C4029" s="3"/>
      <c r="D4029" s="3"/>
      <c r="E4029" s="3"/>
      <c r="F4029" s="3"/>
      <c r="G4029" s="3"/>
      <c r="H4029" s="3"/>
    </row>
    <row r="4030" ht="13.65" customHeight="1">
      <c r="A4030" s="11"/>
      <c r="B4030" s="11"/>
      <c r="C4030" s="11"/>
      <c r="D4030" s="11"/>
      <c r="E4030" s="11"/>
      <c r="F4030" s="11"/>
      <c r="G4030" s="11"/>
      <c r="H4030" s="3"/>
    </row>
    <row r="4031" ht="13.65" customHeight="1">
      <c r="A4031" s="12"/>
      <c r="B4031" s="12"/>
      <c r="C4031" s="13"/>
      <c r="D4031" s="14"/>
      <c r="E4031" s="13"/>
      <c r="F4031" s="13"/>
      <c r="G4031" t="s" s="14">
        <v>252</v>
      </c>
      <c r="H4031" s="150"/>
    </row>
    <row r="4032" ht="13.65" customHeight="1">
      <c r="A4032" t="s" s="16">
        <v>93</v>
      </c>
      <c r="B4032" t="s" s="16">
        <v>94</v>
      </c>
      <c r="C4032" t="s" s="16">
        <v>95</v>
      </c>
      <c r="D4032" t="s" s="16">
        <v>96</v>
      </c>
      <c r="E4032" t="s" s="16">
        <v>97</v>
      </c>
      <c r="F4032" t="s" s="16">
        <v>98</v>
      </c>
      <c r="G4032" t="s" s="16">
        <v>99</v>
      </c>
      <c r="H4032" s="15"/>
    </row>
    <row r="4033" ht="13.65" customHeight="1">
      <c r="A4033" s="151"/>
      <c r="B4033" s="151"/>
      <c r="C4033" s="19"/>
      <c r="D4033" s="20"/>
      <c r="E4033" s="19"/>
      <c r="F4033" s="19"/>
      <c r="G4033" t="s" s="20">
        <v>100</v>
      </c>
      <c r="H4033" s="15"/>
    </row>
    <row r="4034" ht="13.65" customHeight="1">
      <c r="A4034" s="21">
        <v>72</v>
      </c>
      <c r="B4034" t="s" s="22">
        <v>101</v>
      </c>
      <c r="C4034" s="23">
        <v>50</v>
      </c>
      <c r="D4034" t="s" s="24">
        <v>274</v>
      </c>
      <c r="E4034" s="25">
        <v>1.93</v>
      </c>
      <c r="F4034" s="23">
        <v>12.5</v>
      </c>
      <c r="G4034" s="152" cm="1">
        <f t="array" ref="G4034">SUM(E4034/F4034)</f>
        <v>0.1544</v>
      </c>
      <c r="H4034" s="15"/>
    </row>
    <row r="4035" ht="13.65" customHeight="1">
      <c r="A4035" s="21">
        <v>123</v>
      </c>
      <c r="B4035" t="s" s="22">
        <v>103</v>
      </c>
      <c r="C4035" s="23">
        <v>40</v>
      </c>
      <c r="D4035" t="s" s="24">
        <v>102</v>
      </c>
      <c r="E4035" s="25">
        <v>3.2</v>
      </c>
      <c r="F4035" s="23">
        <v>2</v>
      </c>
      <c r="G4035" s="152" cm="1">
        <f t="array" ref="G4035">SUM(E4035/F4035)</f>
        <v>1.6</v>
      </c>
      <c r="H4035" s="15"/>
    </row>
    <row r="4036" ht="13.65" customHeight="1">
      <c r="A4036" s="21">
        <v>57</v>
      </c>
      <c r="B4036" t="s" s="22">
        <v>253</v>
      </c>
      <c r="C4036" t="s" s="24">
        <v>389</v>
      </c>
      <c r="D4036" t="s" s="24">
        <v>371</v>
      </c>
      <c r="E4036" s="25">
        <v>4.5</v>
      </c>
      <c r="F4036" s="23">
        <v>33</v>
      </c>
      <c r="G4036" s="152" cm="1">
        <f t="array" ref="G4036">SUM(E4036/F4036)</f>
        <v>0.136363636363636</v>
      </c>
      <c r="H4036" s="15"/>
    </row>
    <row r="4037" ht="13.65" customHeight="1">
      <c r="A4037" s="21">
        <v>117</v>
      </c>
      <c r="B4037" t="s" s="22">
        <v>105</v>
      </c>
      <c r="C4037" s="23">
        <v>100</v>
      </c>
      <c r="D4037" t="s" s="24">
        <v>106</v>
      </c>
      <c r="E4037" s="25">
        <v>1.2</v>
      </c>
      <c r="F4037" s="23">
        <v>10</v>
      </c>
      <c r="G4037" s="152" cm="1">
        <f t="array" ref="G4037">SUM(E4037/F4037)</f>
        <v>0.12</v>
      </c>
      <c r="H4037" s="15"/>
    </row>
    <row r="4038" ht="13.65" customHeight="1">
      <c r="A4038" s="21">
        <v>86</v>
      </c>
      <c r="B4038" t="s" s="22">
        <v>107</v>
      </c>
      <c r="C4038" s="23">
        <v>1</v>
      </c>
      <c r="D4038" t="s" s="24">
        <v>274</v>
      </c>
      <c r="E4038" s="25">
        <v>0.32</v>
      </c>
      <c r="F4038" t="s" s="24">
        <v>301</v>
      </c>
      <c r="G4038" s="152" cm="1">
        <f t="array" ref="G4038">SUM(E4038*4)</f>
        <v>1.28</v>
      </c>
      <c r="H4038" s="15"/>
    </row>
    <row r="4039" ht="13.65" customHeight="1">
      <c r="A4039" s="21">
        <v>71</v>
      </c>
      <c r="B4039" t="s" s="22">
        <v>109</v>
      </c>
      <c r="C4039" s="23">
        <v>10</v>
      </c>
      <c r="D4039" t="s" s="24">
        <v>274</v>
      </c>
      <c r="E4039" s="25">
        <v>5.92</v>
      </c>
      <c r="F4039" s="23">
        <v>2.5</v>
      </c>
      <c r="G4039" s="152" cm="1">
        <f t="array" ref="G4039">SUM(E4039/F4039)</f>
        <v>2.368</v>
      </c>
      <c r="H4039" s="15"/>
    </row>
    <row r="4040" ht="13.65" customHeight="1">
      <c r="A4040" s="21">
        <v>87</v>
      </c>
      <c r="B4040" t="s" s="22">
        <v>110</v>
      </c>
      <c r="C4040" s="23">
        <v>50</v>
      </c>
      <c r="D4040" t="s" s="24">
        <v>274</v>
      </c>
      <c r="E4040" s="25">
        <v>9</v>
      </c>
      <c r="F4040" s="23">
        <v>12.5</v>
      </c>
      <c r="G4040" s="152" cm="1">
        <f t="array" ref="G4040">SUM(E4040/F4040)</f>
        <v>0.72</v>
      </c>
      <c r="H4040" s="15"/>
    </row>
    <row r="4041" ht="13.65" customHeight="1">
      <c r="A4041" s="21">
        <v>55</v>
      </c>
      <c r="B4041" t="s" s="22">
        <v>111</v>
      </c>
      <c r="C4041" t="s" s="24">
        <v>112</v>
      </c>
      <c r="D4041" t="s" s="24">
        <v>642</v>
      </c>
      <c r="E4041" s="25">
        <v>2.71</v>
      </c>
      <c r="F4041" s="23">
        <v>37</v>
      </c>
      <c r="G4041" s="152" cm="1">
        <f t="array" ref="G4041">SUM(E4041/F4041)</f>
        <v>0.0732432432432432</v>
      </c>
      <c r="H4041" s="15"/>
    </row>
    <row r="4042" ht="13.65" customHeight="1">
      <c r="A4042" s="21">
        <v>24</v>
      </c>
      <c r="B4042" t="s" s="22">
        <v>531</v>
      </c>
      <c r="C4042" s="23">
        <v>10</v>
      </c>
      <c r="D4042" t="s" s="24">
        <v>104</v>
      </c>
      <c r="E4042" s="25">
        <v>9.6</v>
      </c>
      <c r="F4042" s="23">
        <v>10</v>
      </c>
      <c r="G4042" s="152" cm="1">
        <f t="array" ref="G4042">SUM(E4042/F4042)</f>
        <v>0.96</v>
      </c>
      <c r="H4042" s="15"/>
    </row>
    <row r="4043" ht="13.65" customHeight="1">
      <c r="A4043" s="21">
        <v>101</v>
      </c>
      <c r="B4043" t="s" s="22">
        <v>407</v>
      </c>
      <c r="C4043" t="s" s="24">
        <v>380</v>
      </c>
      <c r="D4043" t="s" s="24">
        <v>537</v>
      </c>
      <c r="E4043" s="25">
        <v>7.5</v>
      </c>
      <c r="F4043" s="23">
        <v>25</v>
      </c>
      <c r="G4043" s="152" cm="1">
        <f t="array" ref="G4043">SUM(E4043/F4043)</f>
        <v>0.3</v>
      </c>
      <c r="H4043" s="15"/>
    </row>
    <row r="4044" ht="13.65" customHeight="1">
      <c r="A4044" s="21">
        <v>59</v>
      </c>
      <c r="B4044" t="s" s="22">
        <v>591</v>
      </c>
      <c r="C4044" t="s" s="24">
        <v>592</v>
      </c>
      <c r="D4044" t="s" s="24">
        <v>593</v>
      </c>
      <c r="E4044" s="25">
        <v>18</v>
      </c>
      <c r="F4044" s="23">
        <v>36</v>
      </c>
      <c r="G4044" s="152" cm="1">
        <f t="array" ref="G4044">SUM(E4044/F4044)</f>
        <v>0.5</v>
      </c>
      <c r="H4044" s="15"/>
    </row>
    <row r="4045" ht="13.65" customHeight="1">
      <c r="A4045" s="21">
        <v>27</v>
      </c>
      <c r="B4045" t="s" s="22">
        <v>474</v>
      </c>
      <c r="C4045" s="23">
        <v>18</v>
      </c>
      <c r="D4045" t="s" s="24">
        <v>277</v>
      </c>
      <c r="E4045" s="25">
        <v>6.5</v>
      </c>
      <c r="F4045" s="23">
        <v>36</v>
      </c>
      <c r="G4045" s="152" cm="1">
        <f t="array" ref="G4045">SUM(E4045/F4045)</f>
        <v>0.180555555555556</v>
      </c>
      <c r="H4045" s="15"/>
    </row>
    <row r="4046" ht="13.65" customHeight="1">
      <c r="A4046" s="21">
        <v>49</v>
      </c>
      <c r="B4046" t="s" s="22">
        <v>706</v>
      </c>
      <c r="C4046" s="23">
        <v>120</v>
      </c>
      <c r="D4046" t="s" s="24">
        <v>256</v>
      </c>
      <c r="E4046" s="25">
        <v>132</v>
      </c>
      <c r="F4046" s="23">
        <v>40</v>
      </c>
      <c r="G4046" s="152" cm="1">
        <f t="array" ref="G4046">SUM(E4046/F4046)</f>
        <v>3.3</v>
      </c>
      <c r="H4046" s="15"/>
    </row>
    <row r="4047" ht="13.65" customHeight="1">
      <c r="A4047" s="21">
        <v>120</v>
      </c>
      <c r="B4047" t="s" s="22">
        <v>799</v>
      </c>
      <c r="C4047" t="s" s="24">
        <v>538</v>
      </c>
      <c r="D4047" t="s" s="24">
        <v>401</v>
      </c>
      <c r="E4047" s="25">
        <v>165</v>
      </c>
      <c r="F4047" s="23">
        <v>30</v>
      </c>
      <c r="G4047" s="152" cm="1">
        <f t="array" ref="G4047">SUM(E4047/F4047)</f>
        <v>5.5</v>
      </c>
      <c r="H4047" s="15"/>
    </row>
    <row r="4048" ht="13.65" customHeight="1">
      <c r="A4048" s="21">
        <v>7</v>
      </c>
      <c r="B4048" t="s" s="22">
        <v>477</v>
      </c>
      <c r="C4048" t="s" s="24">
        <v>478</v>
      </c>
      <c r="D4048" t="s" s="24">
        <v>614</v>
      </c>
      <c r="E4048" s="25">
        <v>14</v>
      </c>
      <c r="F4048" s="23">
        <v>20</v>
      </c>
      <c r="G4048" s="152" cm="1">
        <f t="array" ref="G4048">SUM(E4048/F4048)</f>
        <v>0.7</v>
      </c>
      <c r="H4048" s="15"/>
    </row>
    <row r="4049" ht="13.65" customHeight="1">
      <c r="A4049" s="21">
        <v>68</v>
      </c>
      <c r="B4049" t="s" s="22">
        <v>480</v>
      </c>
      <c r="C4049" t="s" s="24">
        <v>481</v>
      </c>
      <c r="D4049" t="s" s="24">
        <v>380</v>
      </c>
      <c r="E4049" s="25">
        <v>16</v>
      </c>
      <c r="F4049" s="23">
        <v>10</v>
      </c>
      <c r="G4049" s="152" cm="1">
        <f t="array" ref="G4049">SUM(E4049/F4049)</f>
        <v>1.6</v>
      </c>
      <c r="H4049" s="15"/>
    </row>
    <row r="4050" ht="13.65" customHeight="1">
      <c r="A4050" s="21">
        <v>69</v>
      </c>
      <c r="B4050" t="s" s="22">
        <v>598</v>
      </c>
      <c r="C4050" t="s" s="24">
        <v>481</v>
      </c>
      <c r="D4050" t="s" s="24">
        <v>380</v>
      </c>
      <c r="E4050" s="25">
        <v>3.5</v>
      </c>
      <c r="F4050" s="23">
        <v>10</v>
      </c>
      <c r="G4050" s="152" cm="1">
        <f t="array" ref="G4050">SUM(E4050/F4050)</f>
        <v>0.35</v>
      </c>
      <c r="H4050" s="15"/>
    </row>
    <row r="4051" ht="13.65" customHeight="1">
      <c r="A4051" s="21">
        <v>76</v>
      </c>
      <c r="B4051" t="s" s="22">
        <v>599</v>
      </c>
      <c r="C4051" t="s" s="24">
        <v>384</v>
      </c>
      <c r="D4051" t="s" s="24">
        <v>418</v>
      </c>
      <c r="E4051" s="25">
        <v>18</v>
      </c>
      <c r="F4051" s="23">
        <v>100</v>
      </c>
      <c r="G4051" s="152" cm="1">
        <f t="array" ref="G4051">SUM(E4051/F4051)</f>
        <v>0.18</v>
      </c>
      <c r="H4051" s="15"/>
    </row>
    <row r="4052" ht="13.65" customHeight="1">
      <c r="A4052" s="21">
        <v>125</v>
      </c>
      <c r="B4052" t="s" s="22">
        <v>708</v>
      </c>
      <c r="C4052" t="s" s="24">
        <v>648</v>
      </c>
      <c r="D4052" t="s" s="24">
        <v>627</v>
      </c>
      <c r="E4052" s="25">
        <v>130</v>
      </c>
      <c r="F4052" s="23">
        <v>30</v>
      </c>
      <c r="G4052" s="152" cm="1">
        <f t="array" ref="G4052">SUM(E4052/F4052)</f>
        <v>4.33333333333333</v>
      </c>
      <c r="H4052" s="15"/>
    </row>
    <row r="4053" ht="13.65" customHeight="1">
      <c r="A4053" s="21">
        <v>48</v>
      </c>
      <c r="B4053" t="s" s="22">
        <v>800</v>
      </c>
      <c r="C4053" s="23">
        <v>1</v>
      </c>
      <c r="D4053" t="s" s="24">
        <v>277</v>
      </c>
      <c r="E4053" s="25">
        <v>1</v>
      </c>
      <c r="F4053" s="23">
        <v>2</v>
      </c>
      <c r="G4053" s="152" cm="1">
        <f t="array" ref="G4053">SUM(E4053/F4053)</f>
        <v>0.5</v>
      </c>
      <c r="H4053" s="15"/>
    </row>
    <row r="4054" ht="13.65" customHeight="1">
      <c r="A4054" s="21">
        <v>131</v>
      </c>
      <c r="B4054" t="s" s="22">
        <v>482</v>
      </c>
      <c r="C4054" s="27"/>
      <c r="D4054" s="24"/>
      <c r="E4054" s="27"/>
      <c r="F4054" s="27"/>
      <c r="G4054" s="152">
        <v>20</v>
      </c>
      <c r="H4054" s="15"/>
    </row>
    <row r="4055" ht="13.65" customHeight="1">
      <c r="A4055" s="28"/>
      <c r="B4055" s="28"/>
      <c r="C4055" s="27"/>
      <c r="D4055" s="24"/>
      <c r="E4055" s="27"/>
      <c r="F4055" t="s" s="29">
        <v>118</v>
      </c>
      <c r="G4055" s="197" cm="1">
        <f t="array" ref="G4055">SUM(G4034:G4054)</f>
        <v>44.8558957684958</v>
      </c>
      <c r="H4055" s="15"/>
    </row>
    <row r="4056" ht="13.65" customHeight="1">
      <c r="A4056" s="129"/>
      <c r="B4056" s="129"/>
      <c r="C4056" s="129"/>
      <c r="D4056" s="129"/>
      <c r="E4056" s="129"/>
      <c r="F4056" s="31"/>
      <c r="G4056" s="31"/>
      <c r="H4056" s="3"/>
    </row>
    <row r="4057" ht="11.7" customHeight="1">
      <c r="A4057" t="s" s="167">
        <v>136</v>
      </c>
      <c r="B4057" t="s" s="167">
        <v>281</v>
      </c>
      <c r="C4057" t="s" s="167">
        <v>282</v>
      </c>
      <c r="D4057" t="s" s="168">
        <v>283</v>
      </c>
      <c r="E4057" s="169"/>
      <c r="F4057" s="170"/>
      <c r="G4057" s="171"/>
      <c r="H4057" s="171"/>
    </row>
    <row r="4058" ht="13.65" customHeight="1">
      <c r="A4058" s="23">
        <v>100</v>
      </c>
      <c r="B4058" s="172" cm="1">
        <f t="array" ref="B4058">SUM(H256)</f>
        <v>2.47496540404041</v>
      </c>
      <c r="C4058" s="172" cm="1">
        <f t="array" ref="C4058">SUM(G4055)</f>
        <v>44.8558957684958</v>
      </c>
      <c r="D4058" s="199" cm="1">
        <f t="array" ref="D4058">SUM(A4058*B4058)+(C4058)</f>
        <v>292.352436172537</v>
      </c>
      <c r="E4058" s="200"/>
      <c r="F4058" s="282"/>
      <c r="G4058" s="203"/>
      <c r="H4058" s="203"/>
    </row>
    <row r="4059" ht="13.65" customHeight="1">
      <c r="A4059" t="s" s="283">
        <v>185</v>
      </c>
      <c r="B4059" s="284"/>
      <c r="C4059" s="284"/>
      <c r="D4059" s="284"/>
      <c r="E4059" s="291"/>
      <c r="F4059" s="275"/>
      <c r="G4059" s="275"/>
      <c r="H4059" s="277"/>
    </row>
    <row r="4060" ht="13.65" customHeight="1">
      <c r="A4060" s="278"/>
      <c r="B4060" s="278"/>
      <c r="C4060" s="278"/>
      <c r="D4060" s="278"/>
      <c r="E4060" s="278"/>
      <c r="F4060" s="278"/>
      <c r="G4060" s="278"/>
      <c r="H4060" s="278"/>
    </row>
    <row r="4061" ht="13.65" customHeight="1">
      <c r="A4061" s="3"/>
      <c r="B4061" s="3"/>
      <c r="C4061" s="3"/>
      <c r="D4061" s="3"/>
      <c r="E4061" s="3"/>
      <c r="F4061" s="3"/>
      <c r="G4061" s="3"/>
      <c r="H4061" s="3"/>
    </row>
    <row r="4062" ht="13.65" customHeight="1">
      <c r="A4062" t="s" s="5">
        <v>801</v>
      </c>
      <c r="B4062" s="3"/>
      <c r="C4062" s="3"/>
      <c r="D4062" s="3"/>
      <c r="E4062" s="3"/>
      <c r="F4062" s="3"/>
      <c r="G4062" s="3"/>
      <c r="H4062" s="3"/>
    </row>
    <row r="4063" ht="13.65" customHeight="1">
      <c r="A4063" s="11"/>
      <c r="B4063" s="11"/>
      <c r="C4063" s="11"/>
      <c r="D4063" s="11"/>
      <c r="E4063" s="11"/>
      <c r="F4063" s="11"/>
      <c r="G4063" s="11"/>
      <c r="H4063" s="3"/>
    </row>
    <row r="4064" ht="13.65" customHeight="1">
      <c r="A4064" s="12"/>
      <c r="B4064" s="12"/>
      <c r="C4064" s="13"/>
      <c r="D4064" s="14"/>
      <c r="E4064" s="13"/>
      <c r="F4064" s="13"/>
      <c r="G4064" t="s" s="14">
        <v>252</v>
      </c>
      <c r="H4064" s="150"/>
    </row>
    <row r="4065" ht="13.65" customHeight="1">
      <c r="A4065" t="s" s="16">
        <v>93</v>
      </c>
      <c r="B4065" t="s" s="16">
        <v>94</v>
      </c>
      <c r="C4065" t="s" s="16">
        <v>95</v>
      </c>
      <c r="D4065" t="s" s="16">
        <v>96</v>
      </c>
      <c r="E4065" t="s" s="16">
        <v>97</v>
      </c>
      <c r="F4065" t="s" s="16">
        <v>98</v>
      </c>
      <c r="G4065" t="s" s="16">
        <v>99</v>
      </c>
      <c r="H4065" s="15"/>
    </row>
    <row r="4066" ht="13.65" customHeight="1">
      <c r="A4066" s="151"/>
      <c r="B4066" s="151"/>
      <c r="C4066" s="19"/>
      <c r="D4066" s="20"/>
      <c r="E4066" s="19"/>
      <c r="F4066" s="19"/>
      <c r="G4066" t="s" s="20">
        <v>100</v>
      </c>
      <c r="H4066" s="15"/>
    </row>
    <row r="4067" ht="13.65" customHeight="1">
      <c r="A4067" s="21">
        <v>72</v>
      </c>
      <c r="B4067" t="s" s="22">
        <v>101</v>
      </c>
      <c r="C4067" s="23">
        <v>50</v>
      </c>
      <c r="D4067" t="s" s="24">
        <v>102</v>
      </c>
      <c r="E4067" s="25">
        <v>1.93</v>
      </c>
      <c r="F4067" s="23">
        <v>25</v>
      </c>
      <c r="G4067" s="152" cm="1">
        <f t="array" ref="G4067">SUM(E4067/F4067)</f>
        <v>0.0772</v>
      </c>
      <c r="H4067" s="15"/>
    </row>
    <row r="4068" ht="13.65" customHeight="1">
      <c r="A4068" s="21">
        <v>123</v>
      </c>
      <c r="B4068" t="s" s="22">
        <v>103</v>
      </c>
      <c r="C4068" s="23">
        <v>40</v>
      </c>
      <c r="D4068" t="s" s="24">
        <v>104</v>
      </c>
      <c r="E4068" s="25">
        <v>3.2</v>
      </c>
      <c r="F4068" s="23">
        <v>40</v>
      </c>
      <c r="G4068" s="152" cm="1">
        <f t="array" ref="G4068">SUM(E4068/F4068)</f>
        <v>0.08</v>
      </c>
      <c r="H4068" s="15"/>
    </row>
    <row r="4069" ht="13.65" customHeight="1">
      <c r="A4069" s="21">
        <v>57</v>
      </c>
      <c r="B4069" t="s" s="22">
        <v>253</v>
      </c>
      <c r="C4069" t="s" s="24">
        <v>254</v>
      </c>
      <c r="D4069" t="s" s="24">
        <v>371</v>
      </c>
      <c r="E4069" s="25">
        <v>4.5</v>
      </c>
      <c r="F4069" s="23">
        <v>33</v>
      </c>
      <c r="G4069" s="152" cm="1">
        <f t="array" ref="G4069">SUM(E4069/F4069)</f>
        <v>0.136363636363636</v>
      </c>
      <c r="H4069" s="15"/>
    </row>
    <row r="4070" ht="13.65" customHeight="1">
      <c r="A4070" s="21">
        <v>117</v>
      </c>
      <c r="B4070" t="s" s="22">
        <v>105</v>
      </c>
      <c r="C4070" s="23">
        <v>100</v>
      </c>
      <c r="D4070" t="s" s="24">
        <v>106</v>
      </c>
      <c r="E4070" s="25">
        <v>1.2</v>
      </c>
      <c r="F4070" s="23">
        <v>10</v>
      </c>
      <c r="G4070" s="152" cm="1">
        <f t="array" ref="G4070">SUM(E4070/F4070)</f>
        <v>0.12</v>
      </c>
      <c r="H4070" s="15"/>
    </row>
    <row r="4071" ht="13.65" customHeight="1">
      <c r="A4071" s="21">
        <v>86</v>
      </c>
      <c r="B4071" t="s" s="22">
        <v>107</v>
      </c>
      <c r="C4071" s="23">
        <v>1</v>
      </c>
      <c r="D4071" t="s" s="24">
        <v>102</v>
      </c>
      <c r="E4071" s="25">
        <v>0.32</v>
      </c>
      <c r="F4071" t="s" s="24">
        <v>387</v>
      </c>
      <c r="G4071" s="152" cm="1">
        <f t="array" ref="G4071">SUM(E4071*2)</f>
        <v>0.64</v>
      </c>
      <c r="H4071" s="15"/>
    </row>
    <row r="4072" ht="13.65" customHeight="1">
      <c r="A4072" s="21">
        <v>71</v>
      </c>
      <c r="B4072" t="s" s="22">
        <v>109</v>
      </c>
      <c r="C4072" s="23">
        <v>10</v>
      </c>
      <c r="D4072" t="s" s="24">
        <v>102</v>
      </c>
      <c r="E4072" s="25">
        <v>5.92</v>
      </c>
      <c r="F4072" s="23">
        <v>5</v>
      </c>
      <c r="G4072" s="152" cm="1">
        <f t="array" ref="G4072">SUM(E4072/F4072)</f>
        <v>1.184</v>
      </c>
      <c r="H4072" s="15"/>
    </row>
    <row r="4073" ht="13.65" customHeight="1">
      <c r="A4073" s="21">
        <v>87</v>
      </c>
      <c r="B4073" t="s" s="22">
        <v>110</v>
      </c>
      <c r="C4073" s="23">
        <v>50</v>
      </c>
      <c r="D4073" t="s" s="24">
        <v>102</v>
      </c>
      <c r="E4073" s="25">
        <v>9</v>
      </c>
      <c r="F4073" s="23">
        <v>25</v>
      </c>
      <c r="G4073" s="152" cm="1">
        <f t="array" ref="G4073">SUM(E4073/F4073)</f>
        <v>0.36</v>
      </c>
      <c r="H4073" s="15"/>
    </row>
    <row r="4074" ht="13.65" customHeight="1">
      <c r="A4074" s="21">
        <v>55</v>
      </c>
      <c r="B4074" t="s" s="22">
        <v>111</v>
      </c>
      <c r="C4074" t="s" s="24">
        <v>112</v>
      </c>
      <c r="D4074" t="s" s="24">
        <v>705</v>
      </c>
      <c r="E4074" s="25">
        <v>2.71</v>
      </c>
      <c r="F4074" s="23">
        <v>75</v>
      </c>
      <c r="G4074" s="152" cm="1">
        <f t="array" ref="G4074">SUM(E4074/F4074)</f>
        <v>0.0361333333333333</v>
      </c>
      <c r="H4074" s="15"/>
    </row>
    <row r="4075" ht="13.65" customHeight="1">
      <c r="A4075" s="21">
        <v>24</v>
      </c>
      <c r="B4075" t="s" s="22">
        <v>531</v>
      </c>
      <c r="C4075" s="23">
        <v>10</v>
      </c>
      <c r="D4075" t="s" s="24">
        <v>104</v>
      </c>
      <c r="E4075" s="25">
        <v>9.6</v>
      </c>
      <c r="F4075" s="23">
        <v>10</v>
      </c>
      <c r="G4075" s="152" cm="1">
        <f t="array" ref="G4075">SUM(E4075/F4075)</f>
        <v>0.96</v>
      </c>
      <c r="H4075" s="15"/>
    </row>
    <row r="4076" ht="13.65" customHeight="1">
      <c r="A4076" s="21">
        <v>49</v>
      </c>
      <c r="B4076" t="s" s="22">
        <v>706</v>
      </c>
      <c r="C4076" s="23">
        <v>100</v>
      </c>
      <c r="D4076" t="s" s="24">
        <v>256</v>
      </c>
      <c r="E4076" s="25">
        <v>32</v>
      </c>
      <c r="F4076" s="23">
        <v>33</v>
      </c>
      <c r="G4076" s="152" cm="1">
        <f t="array" ref="G4076">SUM(E4076/F4076)</f>
        <v>0.9696969696969699</v>
      </c>
      <c r="H4076" s="15"/>
    </row>
    <row r="4077" ht="13.65" customHeight="1">
      <c r="A4077" s="21">
        <v>2</v>
      </c>
      <c r="B4077" t="s" s="22">
        <v>707</v>
      </c>
      <c r="C4077" t="s" s="24">
        <v>614</v>
      </c>
      <c r="D4077" t="s" s="24">
        <v>424</v>
      </c>
      <c r="E4077" s="25">
        <v>16.56</v>
      </c>
      <c r="F4077" s="23">
        <v>20</v>
      </c>
      <c r="G4077" s="152" cm="1">
        <f t="array" ref="G4077">SUM(E4077/F4077)</f>
        <v>0.828</v>
      </c>
      <c r="H4077" s="15"/>
    </row>
    <row r="4078" ht="13.65" customHeight="1">
      <c r="A4078" s="21">
        <v>125</v>
      </c>
      <c r="B4078" t="s" s="22">
        <v>708</v>
      </c>
      <c r="C4078" t="s" s="24">
        <v>648</v>
      </c>
      <c r="D4078" t="s" s="24">
        <v>627</v>
      </c>
      <c r="E4078" s="25">
        <v>130</v>
      </c>
      <c r="F4078" s="23">
        <v>30</v>
      </c>
      <c r="G4078" s="152" cm="1">
        <f t="array" ref="G4078">SUM(E4078/F4078)</f>
        <v>4.33333333333333</v>
      </c>
      <c r="H4078" s="15"/>
    </row>
    <row r="4079" ht="13.65" customHeight="1">
      <c r="A4079" s="21">
        <v>103</v>
      </c>
      <c r="B4079" t="s" s="22">
        <v>114</v>
      </c>
      <c r="C4079" s="23">
        <v>144</v>
      </c>
      <c r="D4079" t="s" s="24">
        <v>104</v>
      </c>
      <c r="E4079" s="25">
        <v>18</v>
      </c>
      <c r="F4079" s="23">
        <v>144</v>
      </c>
      <c r="G4079" s="152" cm="1">
        <f t="array" ref="G4079">SUM(E4079/F4079)</f>
        <v>0.125</v>
      </c>
      <c r="H4079" s="15"/>
    </row>
    <row r="4080" ht="13.65" customHeight="1">
      <c r="A4080" s="21">
        <v>102</v>
      </c>
      <c r="B4080" t="s" s="22">
        <v>709</v>
      </c>
      <c r="C4080" s="23">
        <v>1</v>
      </c>
      <c r="D4080" t="s" s="24">
        <v>397</v>
      </c>
      <c r="E4080" s="25">
        <v>2.7</v>
      </c>
      <c r="F4080" s="23">
        <v>50</v>
      </c>
      <c r="G4080" s="152" cm="1">
        <f t="array" ref="G4080">SUM(E4080/F4080)</f>
        <v>0.054</v>
      </c>
      <c r="H4080" s="15"/>
    </row>
    <row r="4081" ht="13.65" customHeight="1">
      <c r="A4081" s="21">
        <v>48</v>
      </c>
      <c r="B4081" t="s" s="22">
        <v>710</v>
      </c>
      <c r="C4081" s="23">
        <v>1</v>
      </c>
      <c r="D4081" t="s" s="24">
        <v>277</v>
      </c>
      <c r="E4081" s="25">
        <v>1</v>
      </c>
      <c r="F4081" s="23">
        <v>2</v>
      </c>
      <c r="G4081" s="152" cm="1">
        <f t="array" ref="G4081">SUM(E4081/F4081)</f>
        <v>0.5</v>
      </c>
      <c r="H4081" s="15"/>
    </row>
    <row r="4082" ht="13.65" customHeight="1">
      <c r="A4082" s="21">
        <v>101</v>
      </c>
      <c r="B4082" t="s" s="22">
        <v>407</v>
      </c>
      <c r="C4082" t="s" s="24">
        <v>380</v>
      </c>
      <c r="D4082" t="s" s="24">
        <v>408</v>
      </c>
      <c r="E4082" s="25">
        <v>7.5</v>
      </c>
      <c r="F4082" s="23">
        <v>50</v>
      </c>
      <c r="G4082" s="152" cm="1">
        <f t="array" ref="G4082">SUM(E4082/F4082)</f>
        <v>0.15</v>
      </c>
      <c r="H4082" s="15"/>
    </row>
    <row r="4083" ht="13.65" customHeight="1">
      <c r="A4083" s="28"/>
      <c r="B4083" s="28"/>
      <c r="C4083" s="27"/>
      <c r="D4083" s="24"/>
      <c r="E4083" s="27"/>
      <c r="F4083" t="s" s="29">
        <v>118</v>
      </c>
      <c r="G4083" s="197" cm="1">
        <f t="array" ref="G4083">SUM(G4067:G4082)</f>
        <v>10.5537272727273</v>
      </c>
      <c r="H4083" s="15"/>
    </row>
    <row r="4084" ht="13.65" customHeight="1">
      <c r="A4084" s="129"/>
      <c r="B4084" s="129"/>
      <c r="C4084" s="129"/>
      <c r="D4084" s="129"/>
      <c r="E4084" s="129"/>
      <c r="F4084" s="31"/>
      <c r="G4084" s="31"/>
      <c r="H4084" s="3"/>
    </row>
    <row r="4085" ht="11.7" customHeight="1">
      <c r="A4085" t="s" s="167">
        <v>136</v>
      </c>
      <c r="B4085" t="s" s="167">
        <v>281</v>
      </c>
      <c r="C4085" t="s" s="167">
        <v>282</v>
      </c>
      <c r="D4085" t="s" s="168">
        <v>283</v>
      </c>
      <c r="E4085" s="169"/>
      <c r="F4085" s="170"/>
      <c r="G4085" s="171"/>
      <c r="H4085" s="171"/>
    </row>
    <row r="4086" ht="13.65" customHeight="1">
      <c r="A4086" s="23">
        <v>20</v>
      </c>
      <c r="B4086" s="172" cm="1">
        <f t="array" ref="B4086">SUM(H256)</f>
        <v>2.47496540404041</v>
      </c>
      <c r="C4086" s="172" cm="1">
        <f t="array" ref="C4086">SUM(G4083)</f>
        <v>10.5537272727273</v>
      </c>
      <c r="D4086" s="199" cm="1">
        <f t="array" ref="D4086">SUM(A4086*B4086)+(C4086)</f>
        <v>60.0530353535355</v>
      </c>
      <c r="E4086" s="200"/>
      <c r="F4086" s="15"/>
      <c r="G4086" s="3"/>
      <c r="H4086" s="3"/>
    </row>
    <row r="4087" ht="13.65" customHeight="1">
      <c r="A4087" s="31"/>
      <c r="B4087" s="31"/>
      <c r="C4087" s="31"/>
      <c r="D4087" s="31"/>
      <c r="E4087" s="31"/>
      <c r="F4087" s="3"/>
      <c r="G4087" s="3"/>
      <c r="H4087" s="3"/>
    </row>
    <row r="4088" ht="13.65" customHeight="1">
      <c r="A4088" s="3"/>
      <c r="B4088" s="3"/>
      <c r="C4088" s="3"/>
      <c r="D4088" s="3"/>
      <c r="E4088" s="3"/>
      <c r="F4088" s="3"/>
      <c r="G4088" s="3"/>
      <c r="H4088" s="3"/>
    </row>
    <row r="4089" ht="13.65" customHeight="1">
      <c r="A4089" t="s" s="5">
        <v>185</v>
      </c>
      <c r="B4089" s="3"/>
      <c r="C4089" s="3"/>
      <c r="D4089" s="3"/>
      <c r="E4089" s="3"/>
      <c r="F4089" s="3"/>
      <c r="G4089" s="3"/>
      <c r="H4089" s="3"/>
    </row>
    <row r="4090" ht="13.65" customHeight="1">
      <c r="A4090" s="3"/>
      <c r="B4090" s="3"/>
      <c r="C4090" s="3"/>
      <c r="D4090" s="3"/>
      <c r="E4090" s="3"/>
      <c r="F4090" s="3"/>
      <c r="G4090" s="3"/>
      <c r="H4090" s="3"/>
    </row>
    <row r="4091" ht="13.65" customHeight="1">
      <c r="A4091" s="3"/>
      <c r="B4091" s="3"/>
      <c r="C4091" s="3"/>
      <c r="D4091" s="3"/>
      <c r="E4091" s="3"/>
      <c r="F4091" s="3"/>
      <c r="G4091" s="3"/>
      <c r="H4091" s="3"/>
    </row>
    <row r="4092" ht="13.65" customHeight="1">
      <c r="A4092" t="s" s="5">
        <v>802</v>
      </c>
      <c r="B4092" s="3"/>
      <c r="C4092" s="3"/>
      <c r="D4092" s="3"/>
      <c r="E4092" s="3"/>
      <c r="F4092" s="3"/>
      <c r="G4092" s="3"/>
      <c r="H4092" s="3"/>
    </row>
    <row r="4093" ht="13.65" customHeight="1">
      <c r="A4093" s="11"/>
      <c r="B4093" s="11"/>
      <c r="C4093" s="11"/>
      <c r="D4093" s="11"/>
      <c r="E4093" s="11"/>
      <c r="F4093" s="11"/>
      <c r="G4093" s="11"/>
      <c r="H4093" s="3"/>
    </row>
    <row r="4094" ht="13.65" customHeight="1">
      <c r="A4094" s="12"/>
      <c r="B4094" s="12"/>
      <c r="C4094" s="13"/>
      <c r="D4094" s="14"/>
      <c r="E4094" s="13"/>
      <c r="F4094" s="13"/>
      <c r="G4094" t="s" s="14">
        <v>252</v>
      </c>
      <c r="H4094" s="150"/>
    </row>
    <row r="4095" ht="13.65" customHeight="1">
      <c r="A4095" t="s" s="16">
        <v>93</v>
      </c>
      <c r="B4095" t="s" s="16">
        <v>94</v>
      </c>
      <c r="C4095" t="s" s="16">
        <v>95</v>
      </c>
      <c r="D4095" t="s" s="16">
        <v>96</v>
      </c>
      <c r="E4095" t="s" s="16">
        <v>97</v>
      </c>
      <c r="F4095" t="s" s="16">
        <v>98</v>
      </c>
      <c r="G4095" t="s" s="16">
        <v>99</v>
      </c>
      <c r="H4095" s="15"/>
    </row>
    <row r="4096" ht="13.65" customHeight="1">
      <c r="A4096" s="151"/>
      <c r="B4096" s="151"/>
      <c r="C4096" s="19"/>
      <c r="D4096" s="20"/>
      <c r="E4096" s="19"/>
      <c r="F4096" s="19"/>
      <c r="G4096" t="s" s="20">
        <v>100</v>
      </c>
      <c r="H4096" s="15"/>
    </row>
    <row r="4097" ht="13.65" customHeight="1">
      <c r="A4097" s="21">
        <v>72</v>
      </c>
      <c r="B4097" t="s" s="22">
        <v>101</v>
      </c>
      <c r="C4097" s="23">
        <v>50</v>
      </c>
      <c r="D4097" t="s" s="24">
        <v>274</v>
      </c>
      <c r="E4097" s="25">
        <v>1.93</v>
      </c>
      <c r="F4097" s="23">
        <v>12.5</v>
      </c>
      <c r="G4097" s="152" cm="1">
        <f t="array" ref="G4097">SUM(E4097/F4097)</f>
        <v>0.1544</v>
      </c>
      <c r="H4097" s="15"/>
    </row>
    <row r="4098" ht="13.65" customHeight="1">
      <c r="A4098" s="21">
        <v>123</v>
      </c>
      <c r="B4098" t="s" s="22">
        <v>103</v>
      </c>
      <c r="C4098" s="23">
        <v>40</v>
      </c>
      <c r="D4098" t="s" s="24">
        <v>102</v>
      </c>
      <c r="E4098" s="25">
        <v>3.2</v>
      </c>
      <c r="F4098" s="23">
        <v>2</v>
      </c>
      <c r="G4098" s="152" cm="1">
        <f t="array" ref="G4098">SUM(E4098/F4098)</f>
        <v>1.6</v>
      </c>
      <c r="H4098" s="15"/>
    </row>
    <row r="4099" ht="13.65" customHeight="1">
      <c r="A4099" s="21">
        <v>57</v>
      </c>
      <c r="B4099" t="s" s="22">
        <v>253</v>
      </c>
      <c r="C4099" t="s" s="24">
        <v>389</v>
      </c>
      <c r="D4099" t="s" s="24">
        <v>371</v>
      </c>
      <c r="E4099" s="25">
        <v>4.5</v>
      </c>
      <c r="F4099" s="23">
        <v>33</v>
      </c>
      <c r="G4099" s="152" cm="1">
        <f t="array" ref="G4099">SUM(E4099/F4099)</f>
        <v>0.136363636363636</v>
      </c>
      <c r="H4099" s="15"/>
    </row>
    <row r="4100" ht="13.65" customHeight="1">
      <c r="A4100" s="21">
        <v>86</v>
      </c>
      <c r="B4100" t="s" s="22">
        <v>107</v>
      </c>
      <c r="C4100" s="23">
        <v>1</v>
      </c>
      <c r="D4100" t="s" s="24">
        <v>274</v>
      </c>
      <c r="E4100" s="25">
        <v>0.32</v>
      </c>
      <c r="F4100" t="s" s="24">
        <v>803</v>
      </c>
      <c r="G4100" s="152" cm="1">
        <f t="array" ref="G4100">SUM(E4100*4)</f>
        <v>1.28</v>
      </c>
      <c r="H4100" s="15"/>
    </row>
    <row r="4101" ht="13.65" customHeight="1">
      <c r="A4101" s="21">
        <v>71</v>
      </c>
      <c r="B4101" t="s" s="22">
        <v>109</v>
      </c>
      <c r="C4101" s="23">
        <v>10</v>
      </c>
      <c r="D4101" t="s" s="24">
        <v>274</v>
      </c>
      <c r="E4101" s="25">
        <v>5.92</v>
      </c>
      <c r="F4101" s="23">
        <v>2.5</v>
      </c>
      <c r="G4101" s="152" cm="1">
        <f t="array" ref="G4101">SUM(E4101/F4101)</f>
        <v>2.368</v>
      </c>
      <c r="H4101" s="15"/>
    </row>
    <row r="4102" ht="13.65" customHeight="1">
      <c r="A4102" s="21">
        <v>87</v>
      </c>
      <c r="B4102" t="s" s="22">
        <v>110</v>
      </c>
      <c r="C4102" s="23">
        <v>50</v>
      </c>
      <c r="D4102" t="s" s="24">
        <v>274</v>
      </c>
      <c r="E4102" s="25">
        <v>9</v>
      </c>
      <c r="F4102" s="23">
        <v>12.5</v>
      </c>
      <c r="G4102" s="152" cm="1">
        <f t="array" ref="G4102">SUM(E4102/F4102)</f>
        <v>0.72</v>
      </c>
      <c r="H4102" s="15"/>
    </row>
    <row r="4103" ht="13.65" customHeight="1">
      <c r="A4103" s="21">
        <v>55</v>
      </c>
      <c r="B4103" t="s" s="22">
        <v>111</v>
      </c>
      <c r="C4103" t="s" s="24">
        <v>112</v>
      </c>
      <c r="D4103" t="s" s="24">
        <v>642</v>
      </c>
      <c r="E4103" s="25">
        <v>2.71</v>
      </c>
      <c r="F4103" s="23">
        <v>37</v>
      </c>
      <c r="G4103" s="152" cm="1">
        <f t="array" ref="G4103">SUM(E4103/F4103)</f>
        <v>0.0732432432432432</v>
      </c>
      <c r="H4103" s="15"/>
    </row>
    <row r="4104" ht="13.65" customHeight="1">
      <c r="A4104" s="21">
        <v>24</v>
      </c>
      <c r="B4104" t="s" s="22">
        <v>531</v>
      </c>
      <c r="C4104" s="23">
        <v>10</v>
      </c>
      <c r="D4104" t="s" s="24">
        <v>104</v>
      </c>
      <c r="E4104" s="25">
        <v>9.6</v>
      </c>
      <c r="F4104" s="23">
        <v>10</v>
      </c>
      <c r="G4104" s="152" cm="1">
        <f t="array" ref="G4104">SUM(E4104/F4104)</f>
        <v>0.96</v>
      </c>
      <c r="H4104" s="15"/>
    </row>
    <row r="4105" ht="13.65" customHeight="1">
      <c r="A4105" s="21">
        <v>19</v>
      </c>
      <c r="B4105" t="s" s="22">
        <v>445</v>
      </c>
      <c r="C4105" s="23">
        <v>6</v>
      </c>
      <c r="D4105" t="s" s="24">
        <v>694</v>
      </c>
      <c r="E4105" s="25">
        <v>5.2</v>
      </c>
      <c r="F4105" s="23">
        <v>10</v>
      </c>
      <c r="G4105" s="152" cm="1">
        <f t="array" ref="G4105">SUM(E4105/F4105)</f>
        <v>0.52</v>
      </c>
      <c r="H4105" s="15"/>
    </row>
    <row r="4106" ht="13.65" customHeight="1">
      <c r="A4106" s="21">
        <v>19</v>
      </c>
      <c r="B4106" t="s" s="22">
        <v>437</v>
      </c>
      <c r="C4106" s="23">
        <v>2</v>
      </c>
      <c r="D4106" t="s" s="24">
        <v>640</v>
      </c>
      <c r="E4106" s="25">
        <v>5.2</v>
      </c>
      <c r="F4106" s="23">
        <v>5</v>
      </c>
      <c r="G4106" s="152" cm="1">
        <f t="array" ref="G4106">SUM(E4106/F4106)</f>
        <v>1.04</v>
      </c>
      <c r="H4106" s="15"/>
    </row>
    <row r="4107" ht="13.65" customHeight="1">
      <c r="A4107" s="21">
        <v>30</v>
      </c>
      <c r="B4107" t="s" s="22">
        <v>589</v>
      </c>
      <c r="C4107" t="s" s="24">
        <v>538</v>
      </c>
      <c r="D4107" t="s" s="24">
        <v>518</v>
      </c>
      <c r="E4107" s="25">
        <v>423</v>
      </c>
      <c r="F4107" s="23">
        <v>40</v>
      </c>
      <c r="G4107" s="152" cm="1">
        <f t="array" ref="G4107">SUM(E4107/F4107)</f>
        <v>10.575</v>
      </c>
      <c r="H4107" s="15"/>
    </row>
    <row r="4108" ht="13.65" customHeight="1">
      <c r="A4108" s="21">
        <v>59</v>
      </c>
      <c r="B4108" t="s" s="22">
        <v>591</v>
      </c>
      <c r="C4108" t="s" s="24">
        <v>592</v>
      </c>
      <c r="D4108" t="s" s="24">
        <v>593</v>
      </c>
      <c r="E4108" s="25">
        <v>18</v>
      </c>
      <c r="F4108" s="23">
        <v>36</v>
      </c>
      <c r="G4108" s="152" cm="1">
        <f t="array" ref="G4108">SUM(E4108/F4108)</f>
        <v>0.5</v>
      </c>
      <c r="H4108" s="15"/>
    </row>
    <row r="4109" ht="13.65" customHeight="1">
      <c r="A4109" s="21">
        <v>27</v>
      </c>
      <c r="B4109" t="s" s="22">
        <v>474</v>
      </c>
      <c r="C4109" s="23">
        <v>18</v>
      </c>
      <c r="D4109" t="s" s="24">
        <v>104</v>
      </c>
      <c r="E4109" s="25">
        <v>6.5</v>
      </c>
      <c r="F4109" s="23">
        <v>18</v>
      </c>
      <c r="G4109" s="152" cm="1">
        <f t="array" ref="G4109">SUM(E4109/F4109)</f>
        <v>0.361111111111111</v>
      </c>
      <c r="H4109" s="15"/>
    </row>
    <row r="4110" ht="13.65" customHeight="1">
      <c r="A4110" s="21">
        <v>49</v>
      </c>
      <c r="B4110" t="s" s="22">
        <v>706</v>
      </c>
      <c r="C4110" s="23">
        <v>120</v>
      </c>
      <c r="D4110" t="s" s="24">
        <v>256</v>
      </c>
      <c r="E4110" s="25">
        <v>132</v>
      </c>
      <c r="F4110" s="23">
        <v>40</v>
      </c>
      <c r="G4110" s="152" cm="1">
        <f t="array" ref="G4110">SUM(E4110/F4110)</f>
        <v>3.3</v>
      </c>
      <c r="H4110" s="15"/>
    </row>
    <row r="4111" ht="13.65" customHeight="1">
      <c r="A4111" s="21">
        <v>120</v>
      </c>
      <c r="B4111" t="s" s="22">
        <v>799</v>
      </c>
      <c r="C4111" t="s" s="24">
        <v>538</v>
      </c>
      <c r="D4111" t="s" s="24">
        <v>401</v>
      </c>
      <c r="E4111" s="25">
        <v>165</v>
      </c>
      <c r="F4111" s="23">
        <v>30</v>
      </c>
      <c r="G4111" s="152" cm="1">
        <f t="array" ref="G4111">SUM(E4111/F4111)</f>
        <v>5.5</v>
      </c>
      <c r="H4111" s="15"/>
    </row>
    <row r="4112" ht="13.65" customHeight="1">
      <c r="A4112" s="21">
        <v>111</v>
      </c>
      <c r="B4112" t="s" s="22">
        <v>476</v>
      </c>
      <c r="C4112" s="23">
        <v>1</v>
      </c>
      <c r="D4112" t="s" s="24">
        <v>401</v>
      </c>
      <c r="E4112" s="25">
        <v>2.7</v>
      </c>
      <c r="F4112" s="23">
        <v>30</v>
      </c>
      <c r="G4112" s="152" cm="1">
        <f t="array" ref="G4112">SUM(E4112/F4112)</f>
        <v>0.09</v>
      </c>
      <c r="H4112" s="15"/>
    </row>
    <row r="4113" ht="13.65" customHeight="1">
      <c r="A4113" s="21">
        <v>7</v>
      </c>
      <c r="B4113" t="s" s="22">
        <v>477</v>
      </c>
      <c r="C4113" t="s" s="24">
        <v>478</v>
      </c>
      <c r="D4113" t="s" s="24">
        <v>479</v>
      </c>
      <c r="E4113" s="25">
        <v>14</v>
      </c>
      <c r="F4113" s="23">
        <v>10</v>
      </c>
      <c r="G4113" s="152" cm="1">
        <f t="array" ref="G4113">SUM(E4113/F4113)</f>
        <v>1.4</v>
      </c>
      <c r="H4113" s="15"/>
    </row>
    <row r="4114" ht="13.65" customHeight="1">
      <c r="A4114" s="21">
        <v>68</v>
      </c>
      <c r="B4114" t="s" s="22">
        <v>480</v>
      </c>
      <c r="C4114" t="s" s="24">
        <v>481</v>
      </c>
      <c r="D4114" t="s" s="24">
        <v>597</v>
      </c>
      <c r="E4114" s="25">
        <v>16</v>
      </c>
      <c r="F4114" s="23">
        <v>5</v>
      </c>
      <c r="G4114" s="152" cm="1">
        <f t="array" ref="G4114">SUM(E4114/F4114)</f>
        <v>3.2</v>
      </c>
      <c r="H4114" s="15"/>
    </row>
    <row r="4115" ht="13.65" customHeight="1">
      <c r="A4115" s="21">
        <v>69</v>
      </c>
      <c r="B4115" t="s" s="22">
        <v>598</v>
      </c>
      <c r="C4115" t="s" s="24">
        <v>481</v>
      </c>
      <c r="D4115" t="s" s="24">
        <v>597</v>
      </c>
      <c r="E4115" s="25">
        <v>3.5</v>
      </c>
      <c r="F4115" s="23">
        <v>5</v>
      </c>
      <c r="G4115" s="152" cm="1">
        <f t="array" ref="G4115">SUM(E4115/F4115)</f>
        <v>0.7</v>
      </c>
      <c r="H4115" s="15"/>
    </row>
    <row r="4116" ht="13.65" customHeight="1">
      <c r="A4116" s="21">
        <v>76</v>
      </c>
      <c r="B4116" t="s" s="22">
        <v>599</v>
      </c>
      <c r="C4116" t="s" s="24">
        <v>384</v>
      </c>
      <c r="D4116" t="s" s="24">
        <v>418</v>
      </c>
      <c r="E4116" s="25">
        <v>18</v>
      </c>
      <c r="F4116" s="23">
        <v>100</v>
      </c>
      <c r="G4116" s="152" cm="1">
        <f t="array" ref="G4116">SUM(E4116/F4116)</f>
        <v>0.18</v>
      </c>
      <c r="H4116" s="15"/>
    </row>
    <row r="4117" ht="13.65" customHeight="1">
      <c r="A4117" s="21">
        <v>48</v>
      </c>
      <c r="B4117" t="s" s="22">
        <v>710</v>
      </c>
      <c r="C4117" s="23">
        <v>1</v>
      </c>
      <c r="D4117" t="s" s="24">
        <v>277</v>
      </c>
      <c r="E4117" s="25">
        <v>1</v>
      </c>
      <c r="F4117" s="23">
        <v>2</v>
      </c>
      <c r="G4117" s="152" cm="1">
        <f t="array" ref="G4117">SUM(E4117/F4117)</f>
        <v>0.5</v>
      </c>
      <c r="H4117" s="15"/>
    </row>
    <row r="4118" ht="13.65" customHeight="1">
      <c r="A4118" s="21">
        <v>101</v>
      </c>
      <c r="B4118" t="s" s="22">
        <v>407</v>
      </c>
      <c r="C4118" t="s" s="24">
        <v>380</v>
      </c>
      <c r="D4118" t="s" s="24">
        <v>408</v>
      </c>
      <c r="E4118" s="25">
        <v>7.5</v>
      </c>
      <c r="F4118" s="23">
        <v>50</v>
      </c>
      <c r="G4118" s="152" cm="1">
        <f t="array" ref="G4118">SUM(E4118/F4118)</f>
        <v>0.15</v>
      </c>
      <c r="H4118" s="15"/>
    </row>
    <row r="4119" ht="13.65" customHeight="1">
      <c r="A4119" s="21">
        <v>105</v>
      </c>
      <c r="B4119" t="s" s="22">
        <v>600</v>
      </c>
      <c r="C4119" s="23">
        <v>1</v>
      </c>
      <c r="D4119" t="s" s="24">
        <v>104</v>
      </c>
      <c r="E4119" s="25">
        <v>0.35</v>
      </c>
      <c r="F4119" s="23">
        <v>1</v>
      </c>
      <c r="G4119" s="152" cm="1">
        <f t="array" ref="G4119">SUM(E4119/F4119)</f>
        <v>0.35</v>
      </c>
      <c r="H4119" s="15"/>
    </row>
    <row r="4120" ht="13.65" customHeight="1">
      <c r="A4120" s="21">
        <v>131</v>
      </c>
      <c r="B4120" t="s" s="22">
        <v>482</v>
      </c>
      <c r="C4120" s="27"/>
      <c r="D4120" s="24"/>
      <c r="E4120" s="27"/>
      <c r="F4120" s="27"/>
      <c r="G4120" s="152">
        <v>40</v>
      </c>
      <c r="H4120" s="15"/>
    </row>
    <row r="4121" ht="13.65" customHeight="1">
      <c r="A4121" s="28"/>
      <c r="B4121" s="28"/>
      <c r="C4121" s="27"/>
      <c r="D4121" s="24"/>
      <c r="E4121" s="27"/>
      <c r="F4121" t="s" s="29">
        <v>118</v>
      </c>
      <c r="G4121" s="197" cm="1">
        <f t="array" ref="G4121">SUM(G4097:G4120)</f>
        <v>75.658117990718</v>
      </c>
      <c r="H4121" s="15"/>
    </row>
    <row r="4122" ht="13.65" customHeight="1">
      <c r="A4122" s="129"/>
      <c r="B4122" s="129"/>
      <c r="C4122" s="129"/>
      <c r="D4122" s="129"/>
      <c r="E4122" s="129"/>
      <c r="F4122" s="31"/>
      <c r="G4122" s="31"/>
      <c r="H4122" s="3"/>
    </row>
    <row r="4123" ht="11.7" customHeight="1">
      <c r="A4123" t="s" s="167">
        <v>136</v>
      </c>
      <c r="B4123" t="s" s="167">
        <v>281</v>
      </c>
      <c r="C4123" t="s" s="167">
        <v>282</v>
      </c>
      <c r="D4123" t="s" s="168">
        <v>283</v>
      </c>
      <c r="E4123" s="169"/>
      <c r="F4123" s="170"/>
      <c r="G4123" s="171"/>
      <c r="H4123" s="171"/>
    </row>
    <row r="4124" ht="13.65" customHeight="1">
      <c r="A4124" s="23">
        <v>90</v>
      </c>
      <c r="B4124" s="172" cm="1">
        <f t="array" ref="B4124">SUM(H256)</f>
        <v>2.47496540404041</v>
      </c>
      <c r="C4124" s="172" cm="1">
        <f t="array" ref="C4124">SUM(G4121)</f>
        <v>75.658117990718</v>
      </c>
      <c r="D4124" s="199" cm="1">
        <f t="array" ref="D4124">SUM(A4124*B4124)+(C4124)</f>
        <v>298.405004354355</v>
      </c>
      <c r="E4124" s="200"/>
      <c r="F4124" s="15"/>
      <c r="G4124" s="3"/>
      <c r="H4124" s="3"/>
    </row>
    <row r="4125" ht="13.65" customHeight="1">
      <c r="A4125" s="31"/>
      <c r="B4125" s="31"/>
      <c r="C4125" s="31"/>
      <c r="D4125" s="31"/>
      <c r="E4125" s="31"/>
      <c r="F4125" s="3"/>
      <c r="G4125" s="3"/>
      <c r="H4125" s="3"/>
    </row>
    <row r="4126" ht="13.65" customHeight="1">
      <c r="A4126" s="203"/>
      <c r="B4126" s="203"/>
      <c r="C4126" s="203"/>
      <c r="D4126" s="203"/>
      <c r="E4126" s="203"/>
      <c r="F4126" s="203"/>
      <c r="G4126" s="203"/>
      <c r="H4126" s="203"/>
    </row>
    <row r="4127" ht="13.65" customHeight="1">
      <c r="A4127" t="s" s="274">
        <v>185</v>
      </c>
      <c r="B4127" s="275"/>
      <c r="C4127" s="275"/>
      <c r="D4127" s="275"/>
      <c r="E4127" s="280"/>
      <c r="F4127" s="275"/>
      <c r="G4127" s="275"/>
      <c r="H4127" s="277"/>
    </row>
    <row r="4128" ht="13.65" customHeight="1">
      <c r="A4128" s="278"/>
      <c r="B4128" s="278"/>
      <c r="C4128" s="278"/>
      <c r="D4128" s="278"/>
      <c r="E4128" s="278"/>
      <c r="F4128" s="278"/>
      <c r="G4128" s="278"/>
      <c r="H4128" s="278"/>
    </row>
    <row r="4129" ht="13.65" customHeight="1">
      <c r="A4129" s="3"/>
      <c r="B4129" s="3"/>
      <c r="C4129" s="3"/>
      <c r="D4129" s="3"/>
      <c r="E4129" s="3"/>
      <c r="F4129" s="3"/>
      <c r="G4129" s="3"/>
      <c r="H4129" s="3"/>
    </row>
    <row r="4130" ht="13.65" customHeight="1">
      <c r="A4130" t="s" s="5">
        <v>804</v>
      </c>
      <c r="B4130" s="3"/>
      <c r="C4130" s="3"/>
      <c r="D4130" s="3"/>
      <c r="E4130" s="3"/>
      <c r="F4130" s="3"/>
      <c r="G4130" s="3"/>
      <c r="H4130" s="3"/>
    </row>
    <row r="4131" ht="13.65" customHeight="1">
      <c r="A4131" s="11"/>
      <c r="B4131" s="11"/>
      <c r="C4131" s="11"/>
      <c r="D4131" s="11"/>
      <c r="E4131" s="11"/>
      <c r="F4131" s="11"/>
      <c r="G4131" s="11"/>
      <c r="H4131" s="3"/>
    </row>
    <row r="4132" ht="13.65" customHeight="1">
      <c r="A4132" s="12"/>
      <c r="B4132" s="12"/>
      <c r="C4132" s="13"/>
      <c r="D4132" s="14"/>
      <c r="E4132" s="13"/>
      <c r="F4132" s="13"/>
      <c r="G4132" t="s" s="14">
        <v>252</v>
      </c>
      <c r="H4132" s="150"/>
    </row>
    <row r="4133" ht="13.65" customHeight="1">
      <c r="A4133" t="s" s="16">
        <v>93</v>
      </c>
      <c r="B4133" t="s" s="16">
        <v>94</v>
      </c>
      <c r="C4133" t="s" s="16">
        <v>95</v>
      </c>
      <c r="D4133" t="s" s="16">
        <v>96</v>
      </c>
      <c r="E4133" t="s" s="16">
        <v>97</v>
      </c>
      <c r="F4133" t="s" s="16">
        <v>98</v>
      </c>
      <c r="G4133" t="s" s="16">
        <v>99</v>
      </c>
      <c r="H4133" s="15"/>
    </row>
    <row r="4134" ht="13.65" customHeight="1">
      <c r="A4134" s="151"/>
      <c r="B4134" s="151"/>
      <c r="C4134" s="19"/>
      <c r="D4134" s="20"/>
      <c r="E4134" s="19"/>
      <c r="F4134" s="19"/>
      <c r="G4134" t="s" s="20">
        <v>100</v>
      </c>
      <c r="H4134" s="15"/>
    </row>
    <row r="4135" ht="13.65" customHeight="1">
      <c r="A4135" s="21">
        <v>72</v>
      </c>
      <c r="B4135" t="s" s="22">
        <v>101</v>
      </c>
      <c r="C4135" s="23">
        <v>50</v>
      </c>
      <c r="D4135" t="s" s="24">
        <v>274</v>
      </c>
      <c r="E4135" s="25">
        <v>1.93</v>
      </c>
      <c r="F4135" s="23">
        <v>12.5</v>
      </c>
      <c r="G4135" s="152" cm="1">
        <f t="array" ref="G4135">SUM(E4135/F4135)</f>
        <v>0.1544</v>
      </c>
      <c r="H4135" s="15"/>
    </row>
    <row r="4136" ht="13.65" customHeight="1">
      <c r="A4136" s="21">
        <v>123</v>
      </c>
      <c r="B4136" t="s" s="22">
        <v>103</v>
      </c>
      <c r="C4136" s="23">
        <v>40</v>
      </c>
      <c r="D4136" t="s" s="24">
        <v>102</v>
      </c>
      <c r="E4136" s="25">
        <v>3.2</v>
      </c>
      <c r="F4136" s="23">
        <v>2</v>
      </c>
      <c r="G4136" s="152" cm="1">
        <f t="array" ref="G4136">SUM(E4136/F4136)</f>
        <v>1.6</v>
      </c>
      <c r="H4136" s="15"/>
    </row>
    <row r="4137" ht="13.65" customHeight="1">
      <c r="A4137" s="21">
        <v>57</v>
      </c>
      <c r="B4137" t="s" s="22">
        <v>253</v>
      </c>
      <c r="C4137" t="s" s="24">
        <v>389</v>
      </c>
      <c r="D4137" t="s" s="24">
        <v>371</v>
      </c>
      <c r="E4137" s="25">
        <v>4.5</v>
      </c>
      <c r="F4137" s="23">
        <v>33</v>
      </c>
      <c r="G4137" s="152" cm="1">
        <f t="array" ref="G4137">SUM(E4137/F4137)</f>
        <v>0.136363636363636</v>
      </c>
      <c r="H4137" s="15"/>
    </row>
    <row r="4138" ht="13.65" customHeight="1">
      <c r="A4138" s="21">
        <v>117</v>
      </c>
      <c r="B4138" t="s" s="22">
        <v>105</v>
      </c>
      <c r="C4138" s="23">
        <v>100</v>
      </c>
      <c r="D4138" t="s" s="24">
        <v>106</v>
      </c>
      <c r="E4138" s="25">
        <v>1.2</v>
      </c>
      <c r="F4138" s="23">
        <v>10</v>
      </c>
      <c r="G4138" s="152" cm="1">
        <f t="array" ref="G4138">SUM(E4138/F4138)</f>
        <v>0.12</v>
      </c>
      <c r="H4138" s="15"/>
    </row>
    <row r="4139" ht="13.65" customHeight="1">
      <c r="A4139" s="21">
        <v>86</v>
      </c>
      <c r="B4139" t="s" s="22">
        <v>107</v>
      </c>
      <c r="C4139" t="s" s="24">
        <v>108</v>
      </c>
      <c r="D4139" t="s" s="24">
        <v>274</v>
      </c>
      <c r="E4139" s="25">
        <v>0.32</v>
      </c>
      <c r="F4139" t="s" s="24">
        <v>803</v>
      </c>
      <c r="G4139" s="152" cm="1">
        <f t="array" ref="G4139">SUM(E4139*4)</f>
        <v>1.28</v>
      </c>
      <c r="H4139" s="15"/>
    </row>
    <row r="4140" ht="13.65" customHeight="1">
      <c r="A4140" s="21">
        <v>71</v>
      </c>
      <c r="B4140" t="s" s="22">
        <v>109</v>
      </c>
      <c r="C4140" s="23">
        <v>10</v>
      </c>
      <c r="D4140" t="s" s="24">
        <v>274</v>
      </c>
      <c r="E4140" s="25">
        <v>5.92</v>
      </c>
      <c r="F4140" s="23">
        <v>2.5</v>
      </c>
      <c r="G4140" s="152" cm="1">
        <f t="array" ref="G4140">SUM(E4140/F4140)</f>
        <v>2.368</v>
      </c>
      <c r="H4140" s="15"/>
    </row>
    <row r="4141" ht="13.65" customHeight="1">
      <c r="A4141" s="21">
        <v>87</v>
      </c>
      <c r="B4141" t="s" s="22">
        <v>110</v>
      </c>
      <c r="C4141" s="23">
        <v>50</v>
      </c>
      <c r="D4141" t="s" s="24">
        <v>274</v>
      </c>
      <c r="E4141" s="25">
        <v>9</v>
      </c>
      <c r="F4141" s="23">
        <v>12.5</v>
      </c>
      <c r="G4141" s="152" cm="1">
        <f t="array" ref="G4141">SUM(E4141/F4141)</f>
        <v>0.72</v>
      </c>
      <c r="H4141" s="15"/>
    </row>
    <row r="4142" ht="13.65" customHeight="1">
      <c r="A4142" s="21">
        <v>55</v>
      </c>
      <c r="B4142" t="s" s="22">
        <v>111</v>
      </c>
      <c r="C4142" t="s" s="24">
        <v>112</v>
      </c>
      <c r="D4142" t="s" s="24">
        <v>642</v>
      </c>
      <c r="E4142" s="25">
        <v>2.71</v>
      </c>
      <c r="F4142" s="23">
        <v>37</v>
      </c>
      <c r="G4142" s="152" cm="1">
        <f t="array" ref="G4142">SUM(E4142/F4142)</f>
        <v>0.0732432432432432</v>
      </c>
      <c r="H4142" s="15"/>
    </row>
    <row r="4143" ht="13.65" customHeight="1">
      <c r="A4143" s="21">
        <v>24</v>
      </c>
      <c r="B4143" t="s" s="22">
        <v>531</v>
      </c>
      <c r="C4143" s="23">
        <v>10</v>
      </c>
      <c r="D4143" t="s" s="24">
        <v>104</v>
      </c>
      <c r="E4143" s="25">
        <v>9.6</v>
      </c>
      <c r="F4143" s="23">
        <v>10</v>
      </c>
      <c r="G4143" s="152" cm="1">
        <f t="array" ref="G4143">SUM(E4143/F4143)</f>
        <v>0.96</v>
      </c>
      <c r="H4143" s="15"/>
    </row>
    <row r="4144" ht="13.65" customHeight="1">
      <c r="A4144" s="21">
        <v>19</v>
      </c>
      <c r="B4144" t="s" s="22">
        <v>445</v>
      </c>
      <c r="C4144" s="23">
        <v>6</v>
      </c>
      <c r="D4144" t="s" s="24">
        <v>694</v>
      </c>
      <c r="E4144" s="25">
        <v>5.2</v>
      </c>
      <c r="F4144" s="23">
        <v>10</v>
      </c>
      <c r="G4144" s="152" cm="1">
        <f t="array" ref="G4144">SUM(E4144/F4144)</f>
        <v>0.52</v>
      </c>
      <c r="H4144" s="15"/>
    </row>
    <row r="4145" ht="13.65" customHeight="1">
      <c r="A4145" s="21">
        <v>19</v>
      </c>
      <c r="B4145" t="s" s="22">
        <v>437</v>
      </c>
      <c r="C4145" s="23">
        <v>2</v>
      </c>
      <c r="D4145" t="s" s="24">
        <v>640</v>
      </c>
      <c r="E4145" s="25">
        <v>5.2</v>
      </c>
      <c r="F4145" s="23">
        <v>5</v>
      </c>
      <c r="G4145" s="152" cm="1">
        <f t="array" ref="G4145">SUM(E4145/F4145)</f>
        <v>1.04</v>
      </c>
      <c r="H4145" s="15"/>
    </row>
    <row r="4146" ht="13.65" customHeight="1">
      <c r="A4146" s="21">
        <v>30</v>
      </c>
      <c r="B4146" t="s" s="22">
        <v>589</v>
      </c>
      <c r="C4146" t="s" s="24">
        <v>538</v>
      </c>
      <c r="D4146" t="s" s="24">
        <v>518</v>
      </c>
      <c r="E4146" s="25">
        <v>423</v>
      </c>
      <c r="F4146" s="23">
        <v>40</v>
      </c>
      <c r="G4146" s="152" cm="1">
        <f t="array" ref="G4146">SUM(E4146/F4146)</f>
        <v>10.575</v>
      </c>
      <c r="H4146" s="15"/>
    </row>
    <row r="4147" ht="13.65" customHeight="1">
      <c r="A4147" s="21">
        <v>59</v>
      </c>
      <c r="B4147" t="s" s="22">
        <v>591</v>
      </c>
      <c r="C4147" t="s" s="24">
        <v>592</v>
      </c>
      <c r="D4147" t="s" s="24">
        <v>593</v>
      </c>
      <c r="E4147" s="25">
        <v>18</v>
      </c>
      <c r="F4147" s="23">
        <v>36</v>
      </c>
      <c r="G4147" s="152" cm="1">
        <f t="array" ref="G4147">SUM(E4147/F4147)</f>
        <v>0.5</v>
      </c>
      <c r="H4147" s="15"/>
    </row>
    <row r="4148" ht="13.65" customHeight="1">
      <c r="A4148" s="21">
        <v>27</v>
      </c>
      <c r="B4148" t="s" s="22">
        <v>474</v>
      </c>
      <c r="C4148" s="23">
        <v>18</v>
      </c>
      <c r="D4148" t="s" s="24">
        <v>104</v>
      </c>
      <c r="E4148" s="25">
        <v>6.5</v>
      </c>
      <c r="F4148" s="23">
        <v>18</v>
      </c>
      <c r="G4148" s="152" cm="1">
        <f t="array" ref="G4148">SUM(E4148/F4148)</f>
        <v>0.361111111111111</v>
      </c>
      <c r="H4148" s="15"/>
    </row>
    <row r="4149" ht="13.65" customHeight="1">
      <c r="A4149" s="21">
        <v>49</v>
      </c>
      <c r="B4149" t="s" s="22">
        <v>706</v>
      </c>
      <c r="C4149" s="23">
        <v>120</v>
      </c>
      <c r="D4149" t="s" s="24">
        <v>256</v>
      </c>
      <c r="E4149" s="25">
        <v>132</v>
      </c>
      <c r="F4149" s="23">
        <v>40</v>
      </c>
      <c r="G4149" s="152" cm="1">
        <f t="array" ref="G4149">SUM(E4149/F4149)</f>
        <v>3.3</v>
      </c>
      <c r="H4149" s="15"/>
    </row>
    <row r="4150" ht="13.65" customHeight="1">
      <c r="A4150" s="21">
        <v>120</v>
      </c>
      <c r="B4150" t="s" s="22">
        <v>799</v>
      </c>
      <c r="C4150" t="s" s="24">
        <v>538</v>
      </c>
      <c r="D4150" t="s" s="24">
        <v>805</v>
      </c>
      <c r="E4150" s="25">
        <v>165</v>
      </c>
      <c r="F4150" s="23">
        <v>30</v>
      </c>
      <c r="G4150" s="152" cm="1">
        <f t="array" ref="G4150">SUM(E4150/F4150)</f>
        <v>5.5</v>
      </c>
      <c r="H4150" s="15"/>
    </row>
    <row r="4151" ht="13.65" customHeight="1">
      <c r="A4151" s="21">
        <v>111</v>
      </c>
      <c r="B4151" t="s" s="22">
        <v>476</v>
      </c>
      <c r="C4151" s="23">
        <v>1</v>
      </c>
      <c r="D4151" t="s" s="24">
        <v>401</v>
      </c>
      <c r="E4151" s="25">
        <v>2.7</v>
      </c>
      <c r="F4151" s="23">
        <v>30</v>
      </c>
      <c r="G4151" s="152" cm="1">
        <f t="array" ref="G4151">SUM(E4151/F4151)</f>
        <v>0.09</v>
      </c>
      <c r="H4151" s="15"/>
    </row>
    <row r="4152" ht="13.65" customHeight="1">
      <c r="A4152" s="21">
        <v>7</v>
      </c>
      <c r="B4152" t="s" s="22">
        <v>477</v>
      </c>
      <c r="C4152" t="s" s="24">
        <v>478</v>
      </c>
      <c r="D4152" t="s" s="24">
        <v>479</v>
      </c>
      <c r="E4152" s="25">
        <v>14</v>
      </c>
      <c r="F4152" s="23">
        <v>10</v>
      </c>
      <c r="G4152" s="152" cm="1">
        <f t="array" ref="G4152">SUM(E4152/F4152)</f>
        <v>1.4</v>
      </c>
      <c r="H4152" s="15"/>
    </row>
    <row r="4153" ht="13.65" customHeight="1">
      <c r="A4153" s="21">
        <v>68</v>
      </c>
      <c r="B4153" t="s" s="22">
        <v>480</v>
      </c>
      <c r="C4153" t="s" s="24">
        <v>481</v>
      </c>
      <c r="D4153" t="s" s="24">
        <v>597</v>
      </c>
      <c r="E4153" s="25">
        <v>16</v>
      </c>
      <c r="F4153" s="23">
        <v>5</v>
      </c>
      <c r="G4153" s="152" cm="1">
        <f t="array" ref="G4153">SUM(E4153/F4153)</f>
        <v>3.2</v>
      </c>
      <c r="H4153" s="15"/>
    </row>
    <row r="4154" ht="13.65" customHeight="1">
      <c r="A4154" s="21">
        <v>69</v>
      </c>
      <c r="B4154" t="s" s="22">
        <v>598</v>
      </c>
      <c r="C4154" t="s" s="24">
        <v>481</v>
      </c>
      <c r="D4154" t="s" s="24">
        <v>597</v>
      </c>
      <c r="E4154" s="25">
        <v>3.5</v>
      </c>
      <c r="F4154" s="23">
        <v>5</v>
      </c>
      <c r="G4154" s="152" cm="1">
        <f t="array" ref="G4154">SUM(E4154/F4154)</f>
        <v>0.7</v>
      </c>
      <c r="H4154" s="15"/>
    </row>
    <row r="4155" ht="13.65" customHeight="1">
      <c r="A4155" s="21">
        <v>76</v>
      </c>
      <c r="B4155" t="s" s="22">
        <v>599</v>
      </c>
      <c r="C4155" t="s" s="24">
        <v>384</v>
      </c>
      <c r="D4155" t="s" s="24">
        <v>418</v>
      </c>
      <c r="E4155" s="25">
        <v>18</v>
      </c>
      <c r="F4155" s="23">
        <v>100</v>
      </c>
      <c r="G4155" s="152" cm="1">
        <f t="array" ref="G4155">SUM(E4155/F4155)</f>
        <v>0.18</v>
      </c>
      <c r="H4155" s="15"/>
    </row>
    <row r="4156" ht="13.65" customHeight="1">
      <c r="A4156" s="21">
        <v>48</v>
      </c>
      <c r="B4156" t="s" s="22">
        <v>710</v>
      </c>
      <c r="C4156" s="23">
        <v>1</v>
      </c>
      <c r="D4156" t="s" s="24">
        <v>277</v>
      </c>
      <c r="E4156" s="25">
        <v>1</v>
      </c>
      <c r="F4156" s="23">
        <v>2</v>
      </c>
      <c r="G4156" s="152" cm="1">
        <f t="array" ref="G4156">SUM(E4156/F4156)</f>
        <v>0.5</v>
      </c>
      <c r="H4156" s="15"/>
    </row>
    <row r="4157" ht="13.65" customHeight="1">
      <c r="A4157" s="21">
        <v>101</v>
      </c>
      <c r="B4157" t="s" s="22">
        <v>407</v>
      </c>
      <c r="C4157" t="s" s="24">
        <v>380</v>
      </c>
      <c r="D4157" t="s" s="24">
        <v>408</v>
      </c>
      <c r="E4157" s="25">
        <v>7.5</v>
      </c>
      <c r="F4157" s="23">
        <v>50</v>
      </c>
      <c r="G4157" s="152" cm="1">
        <f t="array" ref="G4157">SUM(E4157/F4157)</f>
        <v>0.15</v>
      </c>
      <c r="H4157" s="15"/>
    </row>
    <row r="4158" ht="13.65" customHeight="1">
      <c r="A4158" s="21">
        <v>105</v>
      </c>
      <c r="B4158" t="s" s="22">
        <v>600</v>
      </c>
      <c r="C4158" s="23">
        <v>1</v>
      </c>
      <c r="D4158" t="s" s="24">
        <v>104</v>
      </c>
      <c r="E4158" s="25">
        <v>0.35</v>
      </c>
      <c r="F4158" s="23">
        <v>1</v>
      </c>
      <c r="G4158" s="152" cm="1">
        <f t="array" ref="G4158">SUM(E4158/F4158)</f>
        <v>0.35</v>
      </c>
      <c r="H4158" s="15"/>
    </row>
    <row r="4159" ht="13.65" customHeight="1">
      <c r="A4159" s="21">
        <v>131</v>
      </c>
      <c r="B4159" t="s" s="22">
        <v>482</v>
      </c>
      <c r="C4159" s="27"/>
      <c r="D4159" s="24"/>
      <c r="E4159" s="25"/>
      <c r="F4159" s="27"/>
      <c r="G4159" s="152">
        <v>120</v>
      </c>
      <c r="H4159" s="15"/>
    </row>
    <row r="4160" ht="13.65" customHeight="1">
      <c r="A4160" s="28"/>
      <c r="B4160" s="28"/>
      <c r="C4160" s="27"/>
      <c r="D4160" s="24"/>
      <c r="E4160" s="27"/>
      <c r="F4160" t="s" s="29">
        <v>118</v>
      </c>
      <c r="G4160" s="197" cm="1">
        <f t="array" ref="G4160">SUM(G4135:G4159)</f>
        <v>155.778117990718</v>
      </c>
      <c r="H4160" s="15"/>
    </row>
    <row r="4161" ht="13.65" customHeight="1">
      <c r="A4161" s="31"/>
      <c r="B4161" s="31"/>
      <c r="C4161" s="31"/>
      <c r="D4161" s="31"/>
      <c r="E4161" s="31"/>
      <c r="F4161" s="31"/>
      <c r="G4161" s="31"/>
      <c r="H4161" s="3"/>
    </row>
    <row r="4162" ht="13.65" customHeight="1">
      <c r="A4162" t="s" s="5">
        <v>806</v>
      </c>
      <c r="B4162" s="3"/>
      <c r="C4162" s="3"/>
      <c r="D4162" s="3"/>
      <c r="E4162" s="3"/>
      <c r="F4162" s="3"/>
      <c r="G4162" s="3"/>
      <c r="H4162" s="3"/>
    </row>
    <row r="4163" ht="13.65" customHeight="1">
      <c r="A4163" s="11"/>
      <c r="B4163" s="11"/>
      <c r="C4163" s="11"/>
      <c r="D4163" s="11"/>
      <c r="E4163" s="11"/>
      <c r="F4163" s="11"/>
      <c r="G4163" s="11"/>
      <c r="H4163" s="3"/>
    </row>
    <row r="4164" ht="11.7" customHeight="1">
      <c r="A4164" t="s" s="167">
        <v>136</v>
      </c>
      <c r="B4164" t="s" s="167">
        <v>281</v>
      </c>
      <c r="C4164" t="s" s="167">
        <v>282</v>
      </c>
      <c r="D4164" t="s" s="167">
        <v>118</v>
      </c>
      <c r="E4164" t="s" s="167">
        <v>807</v>
      </c>
      <c r="F4164" t="s" s="167">
        <v>605</v>
      </c>
      <c r="G4164" s="167"/>
      <c r="H4164" s="170"/>
    </row>
    <row r="4165" ht="13.65" customHeight="1">
      <c r="A4165" s="23">
        <v>160</v>
      </c>
      <c r="B4165" s="172" cm="1">
        <f t="array" ref="B4165">SUM(H256)</f>
        <v>2.47496540404041</v>
      </c>
      <c r="C4165" s="172" cm="1">
        <f t="array" ref="C4165">SUM(G4160)</f>
        <v>155.778117990718</v>
      </c>
      <c r="D4165" s="305" cm="1">
        <f t="array" ref="D4165">SUM(A4165*B4165)+(C4165)</f>
        <v>551.772582637184</v>
      </c>
      <c r="E4165" s="305" cm="1">
        <f t="array" ref="E4165">SUM(D4165)*0.3</f>
        <v>165.531774791155</v>
      </c>
      <c r="F4165" s="296" cm="1">
        <f t="array" ref="F4165">SUM(D4165:E4165)</f>
        <v>717.304357428339</v>
      </c>
      <c r="G4165" s="306"/>
      <c r="H4165" s="15"/>
    </row>
    <row r="4166" ht="13.65" customHeight="1">
      <c r="A4166" s="31"/>
      <c r="B4166" s="31"/>
      <c r="C4166" s="31"/>
      <c r="D4166" s="31"/>
      <c r="E4166" s="31"/>
      <c r="F4166" s="31"/>
      <c r="G4166" s="31"/>
      <c r="H4166" s="3"/>
    </row>
    <row r="4167" ht="13.65" customHeight="1">
      <c r="A4167" s="203"/>
      <c r="B4167" s="203"/>
      <c r="C4167" s="203"/>
      <c r="D4167" s="203"/>
      <c r="E4167" s="203"/>
      <c r="F4167" s="203"/>
      <c r="G4167" s="203"/>
      <c r="H4167" s="203"/>
    </row>
    <row r="4168" ht="13.65" customHeight="1">
      <c r="A4168" t="s" s="274">
        <v>185</v>
      </c>
      <c r="B4168" s="275"/>
      <c r="C4168" s="275"/>
      <c r="D4168" s="275"/>
      <c r="E4168" s="280"/>
      <c r="F4168" s="275"/>
      <c r="G4168" s="275"/>
      <c r="H4168" s="277"/>
    </row>
    <row r="4169" ht="13.65" customHeight="1">
      <c r="A4169" s="278"/>
      <c r="B4169" s="278"/>
      <c r="C4169" s="278"/>
      <c r="D4169" s="278"/>
      <c r="E4169" s="278"/>
      <c r="F4169" s="278"/>
      <c r="G4169" s="278"/>
      <c r="H4169" s="278"/>
    </row>
    <row r="4170" ht="13.65" customHeight="1">
      <c r="A4170" s="3"/>
      <c r="B4170" s="3"/>
      <c r="C4170" s="3"/>
      <c r="D4170" s="3"/>
      <c r="E4170" s="3"/>
      <c r="F4170" s="3"/>
      <c r="G4170" s="3"/>
      <c r="H4170" s="3"/>
    </row>
    <row r="4171" ht="13.65" customHeight="1">
      <c r="A4171" t="s" s="5">
        <v>808</v>
      </c>
      <c r="B4171" s="3"/>
      <c r="C4171" s="3"/>
      <c r="D4171" s="3"/>
      <c r="E4171" s="3"/>
      <c r="F4171" s="3"/>
      <c r="G4171" s="3"/>
      <c r="H4171" s="3"/>
    </row>
    <row r="4172" ht="13.65" customHeight="1">
      <c r="A4172" s="11"/>
      <c r="B4172" s="11"/>
      <c r="C4172" s="11"/>
      <c r="D4172" s="11"/>
      <c r="E4172" s="11"/>
      <c r="F4172" s="11"/>
      <c r="G4172" s="11"/>
      <c r="H4172" s="3"/>
    </row>
    <row r="4173" ht="13.65" customHeight="1">
      <c r="A4173" s="12"/>
      <c r="B4173" s="12"/>
      <c r="C4173" s="13"/>
      <c r="D4173" s="14"/>
      <c r="E4173" s="13"/>
      <c r="F4173" s="13"/>
      <c r="G4173" t="s" s="14">
        <v>252</v>
      </c>
      <c r="H4173" s="150"/>
    </row>
    <row r="4174" ht="13.65" customHeight="1">
      <c r="A4174" t="s" s="16">
        <v>93</v>
      </c>
      <c r="B4174" t="s" s="16">
        <v>94</v>
      </c>
      <c r="C4174" t="s" s="16">
        <v>95</v>
      </c>
      <c r="D4174" t="s" s="16">
        <v>96</v>
      </c>
      <c r="E4174" t="s" s="16">
        <v>97</v>
      </c>
      <c r="F4174" t="s" s="16">
        <v>98</v>
      </c>
      <c r="G4174" t="s" s="16">
        <v>99</v>
      </c>
      <c r="H4174" s="15"/>
    </row>
    <row r="4175" ht="13.65" customHeight="1">
      <c r="A4175" s="151"/>
      <c r="B4175" s="151"/>
      <c r="C4175" s="19"/>
      <c r="D4175" s="20"/>
      <c r="E4175" s="19"/>
      <c r="F4175" s="19"/>
      <c r="G4175" t="s" s="20">
        <v>100</v>
      </c>
      <c r="H4175" s="15"/>
    </row>
    <row r="4176" ht="13.65" customHeight="1">
      <c r="A4176" s="21">
        <v>72</v>
      </c>
      <c r="B4176" t="s" s="22">
        <v>101</v>
      </c>
      <c r="C4176" s="23">
        <v>50</v>
      </c>
      <c r="D4176" t="s" s="24">
        <v>274</v>
      </c>
      <c r="E4176" s="25">
        <v>1.93</v>
      </c>
      <c r="F4176" s="23">
        <v>12.5</v>
      </c>
      <c r="G4176" s="152" cm="1">
        <f t="array" ref="G4176">SUM(E4176/F4176)</f>
        <v>0.1544</v>
      </c>
      <c r="H4176" s="15"/>
    </row>
    <row r="4177" ht="13.65" customHeight="1">
      <c r="A4177" s="21">
        <v>123</v>
      </c>
      <c r="B4177" t="s" s="22">
        <v>103</v>
      </c>
      <c r="C4177" s="23">
        <v>40</v>
      </c>
      <c r="D4177" t="s" s="24">
        <v>102</v>
      </c>
      <c r="E4177" s="25">
        <v>3.2</v>
      </c>
      <c r="F4177" s="23">
        <v>2</v>
      </c>
      <c r="G4177" s="152" cm="1">
        <f t="array" ref="G4177">SUM(E4177/F4177)</f>
        <v>1.6</v>
      </c>
      <c r="H4177" s="15"/>
    </row>
    <row r="4178" ht="13.65" customHeight="1">
      <c r="A4178" s="21">
        <v>57</v>
      </c>
      <c r="B4178" t="s" s="22">
        <v>253</v>
      </c>
      <c r="C4178" t="s" s="24">
        <v>389</v>
      </c>
      <c r="D4178" t="s" s="24">
        <v>371</v>
      </c>
      <c r="E4178" s="25">
        <v>4.5</v>
      </c>
      <c r="F4178" s="23">
        <v>33</v>
      </c>
      <c r="G4178" s="152" cm="1">
        <f t="array" ref="G4178">SUM(E4178/F4178)</f>
        <v>0.136363636363636</v>
      </c>
      <c r="H4178" s="15"/>
    </row>
    <row r="4179" ht="13.65" customHeight="1">
      <c r="A4179" s="21">
        <v>117</v>
      </c>
      <c r="B4179" t="s" s="22">
        <v>105</v>
      </c>
      <c r="C4179" s="23">
        <v>100</v>
      </c>
      <c r="D4179" t="s" s="24">
        <v>106</v>
      </c>
      <c r="E4179" s="25">
        <v>1.2</v>
      </c>
      <c r="F4179" s="23">
        <v>10</v>
      </c>
      <c r="G4179" s="152" cm="1">
        <f t="array" ref="G4179">SUM(E4179/F4179)</f>
        <v>0.12</v>
      </c>
      <c r="H4179" s="15"/>
    </row>
    <row r="4180" ht="13.65" customHeight="1">
      <c r="A4180" s="21">
        <v>86</v>
      </c>
      <c r="B4180" t="s" s="22">
        <v>107</v>
      </c>
      <c r="C4180" t="s" s="24">
        <v>108</v>
      </c>
      <c r="D4180" t="s" s="24">
        <v>274</v>
      </c>
      <c r="E4180" s="25">
        <v>0.32</v>
      </c>
      <c r="F4180" t="s" s="24">
        <v>803</v>
      </c>
      <c r="G4180" s="152" cm="1">
        <f t="array" ref="G4180">SUM(E4180*4)</f>
        <v>1.28</v>
      </c>
      <c r="H4180" s="15"/>
    </row>
    <row r="4181" ht="13.65" customHeight="1">
      <c r="A4181" s="21">
        <v>71</v>
      </c>
      <c r="B4181" t="s" s="22">
        <v>109</v>
      </c>
      <c r="C4181" s="23">
        <v>10</v>
      </c>
      <c r="D4181" t="s" s="24">
        <v>274</v>
      </c>
      <c r="E4181" s="25">
        <v>5.92</v>
      </c>
      <c r="F4181" s="23">
        <v>2.5</v>
      </c>
      <c r="G4181" s="152" cm="1">
        <f t="array" ref="G4181">SUM(E4181/F4181)</f>
        <v>2.368</v>
      </c>
      <c r="H4181" s="15"/>
    </row>
    <row r="4182" ht="13.65" customHeight="1">
      <c r="A4182" s="21">
        <v>87</v>
      </c>
      <c r="B4182" t="s" s="22">
        <v>110</v>
      </c>
      <c r="C4182" s="23">
        <v>50</v>
      </c>
      <c r="D4182" t="s" s="24">
        <v>274</v>
      </c>
      <c r="E4182" s="25">
        <v>9</v>
      </c>
      <c r="F4182" s="23">
        <v>12.5</v>
      </c>
      <c r="G4182" s="152" cm="1">
        <f t="array" ref="G4182">SUM(E4182/F4182)</f>
        <v>0.72</v>
      </c>
      <c r="H4182" s="15"/>
    </row>
    <row r="4183" ht="13.65" customHeight="1">
      <c r="A4183" s="21">
        <v>55</v>
      </c>
      <c r="B4183" t="s" s="22">
        <v>111</v>
      </c>
      <c r="C4183" t="s" s="24">
        <v>112</v>
      </c>
      <c r="D4183" t="s" s="24">
        <v>642</v>
      </c>
      <c r="E4183" s="25">
        <v>2.71</v>
      </c>
      <c r="F4183" s="23">
        <v>37</v>
      </c>
      <c r="G4183" s="152" cm="1">
        <f t="array" ref="G4183">SUM(E4183/F4183)</f>
        <v>0.0732432432432432</v>
      </c>
      <c r="H4183" s="15"/>
    </row>
    <row r="4184" ht="13.65" customHeight="1">
      <c r="A4184" s="21">
        <v>24</v>
      </c>
      <c r="B4184" t="s" s="22">
        <v>531</v>
      </c>
      <c r="C4184" s="23">
        <v>10</v>
      </c>
      <c r="D4184" t="s" s="24">
        <v>104</v>
      </c>
      <c r="E4184" s="25">
        <v>9.6</v>
      </c>
      <c r="F4184" s="23">
        <v>10</v>
      </c>
      <c r="G4184" s="152" cm="1">
        <f t="array" ref="G4184">SUM(E4184/F4184)</f>
        <v>0.96</v>
      </c>
      <c r="H4184" s="15"/>
    </row>
    <row r="4185" ht="13.65" customHeight="1">
      <c r="A4185" s="21">
        <v>19</v>
      </c>
      <c r="B4185" t="s" s="22">
        <v>445</v>
      </c>
      <c r="C4185" s="23">
        <v>6</v>
      </c>
      <c r="D4185" t="s" s="24">
        <v>694</v>
      </c>
      <c r="E4185" s="25">
        <v>5.2</v>
      </c>
      <c r="F4185" s="23">
        <v>10</v>
      </c>
      <c r="G4185" s="152" cm="1">
        <f t="array" ref="G4185">SUM(E4185/F4185)</f>
        <v>0.52</v>
      </c>
      <c r="H4185" s="15"/>
    </row>
    <row r="4186" ht="13.65" customHeight="1">
      <c r="A4186" s="21">
        <v>19</v>
      </c>
      <c r="B4186" t="s" s="22">
        <v>437</v>
      </c>
      <c r="C4186" s="23">
        <v>2</v>
      </c>
      <c r="D4186" t="s" s="24">
        <v>640</v>
      </c>
      <c r="E4186" s="25">
        <v>5.2</v>
      </c>
      <c r="F4186" s="23">
        <v>5</v>
      </c>
      <c r="G4186" s="152" cm="1">
        <f t="array" ref="G4186">SUM(E4186/F4186)</f>
        <v>1.04</v>
      </c>
      <c r="H4186" s="15"/>
    </row>
    <row r="4187" ht="13.65" customHeight="1">
      <c r="A4187" s="21">
        <v>139</v>
      </c>
      <c r="B4187" t="s" s="22">
        <v>613</v>
      </c>
      <c r="C4187" t="s" s="24">
        <v>432</v>
      </c>
      <c r="D4187" t="s" s="24">
        <v>495</v>
      </c>
      <c r="E4187" s="25">
        <v>15</v>
      </c>
      <c r="F4187" s="23">
        <v>20</v>
      </c>
      <c r="G4187" s="152" cm="1">
        <f t="array" ref="G4187">SUM(E4187/F4187)</f>
        <v>0.75</v>
      </c>
      <c r="H4187" s="15"/>
    </row>
    <row r="4188" ht="13.65" customHeight="1">
      <c r="A4188" s="21">
        <v>59</v>
      </c>
      <c r="B4188" t="s" s="22">
        <v>591</v>
      </c>
      <c r="C4188" t="s" s="24">
        <v>592</v>
      </c>
      <c r="D4188" t="s" s="24">
        <v>593</v>
      </c>
      <c r="E4188" s="25">
        <v>18</v>
      </c>
      <c r="F4188" s="23">
        <v>36</v>
      </c>
      <c r="G4188" s="152" cm="1">
        <f t="array" ref="G4188">SUM(E4188/F4188)</f>
        <v>0.5</v>
      </c>
      <c r="H4188" s="15"/>
    </row>
    <row r="4189" ht="13.65" customHeight="1">
      <c r="A4189" s="21">
        <v>27</v>
      </c>
      <c r="B4189" t="s" s="22">
        <v>474</v>
      </c>
      <c r="C4189" s="23">
        <v>18</v>
      </c>
      <c r="D4189" t="s" s="24">
        <v>104</v>
      </c>
      <c r="E4189" s="25">
        <v>6.5</v>
      </c>
      <c r="F4189" s="23">
        <v>18</v>
      </c>
      <c r="G4189" s="152" cm="1">
        <f t="array" ref="G4189">SUM(E4189/F4189)</f>
        <v>0.361111111111111</v>
      </c>
      <c r="H4189" s="15"/>
    </row>
    <row r="4190" ht="13.65" customHeight="1">
      <c r="A4190" s="21">
        <v>49</v>
      </c>
      <c r="B4190" t="s" s="22">
        <v>706</v>
      </c>
      <c r="C4190" s="23">
        <v>120</v>
      </c>
      <c r="D4190" t="s" s="24">
        <v>256</v>
      </c>
      <c r="E4190" s="25">
        <v>132</v>
      </c>
      <c r="F4190" s="23">
        <v>40</v>
      </c>
      <c r="G4190" s="152" cm="1">
        <f t="array" ref="G4190">SUM(E4190/F4190)</f>
        <v>3.3</v>
      </c>
      <c r="H4190" s="15"/>
    </row>
    <row r="4191" ht="13.65" customHeight="1">
      <c r="A4191" s="21">
        <v>120</v>
      </c>
      <c r="B4191" t="s" s="22">
        <v>799</v>
      </c>
      <c r="C4191" t="s" s="24">
        <v>538</v>
      </c>
      <c r="D4191" t="s" s="24">
        <v>401</v>
      </c>
      <c r="E4191" s="25">
        <v>165</v>
      </c>
      <c r="F4191" s="23">
        <v>30</v>
      </c>
      <c r="G4191" s="152" cm="1">
        <f t="array" ref="G4191">SUM(E4191/F4191)</f>
        <v>5.5</v>
      </c>
      <c r="H4191" s="15"/>
    </row>
    <row r="4192" ht="13.65" customHeight="1">
      <c r="A4192" s="21">
        <v>111</v>
      </c>
      <c r="B4192" t="s" s="22">
        <v>476</v>
      </c>
      <c r="C4192" s="23">
        <v>1</v>
      </c>
      <c r="D4192" t="s" s="24">
        <v>401</v>
      </c>
      <c r="E4192" s="25">
        <v>2.7</v>
      </c>
      <c r="F4192" s="23">
        <v>30</v>
      </c>
      <c r="G4192" s="152" cm="1">
        <f t="array" ref="G4192">SUM(E4192/F4192)</f>
        <v>0.09</v>
      </c>
      <c r="H4192" s="15"/>
    </row>
    <row r="4193" ht="13.65" customHeight="1">
      <c r="A4193" s="21">
        <v>7</v>
      </c>
      <c r="B4193" t="s" s="22">
        <v>477</v>
      </c>
      <c r="C4193" t="s" s="24">
        <v>478</v>
      </c>
      <c r="D4193" t="s" s="24">
        <v>479</v>
      </c>
      <c r="E4193" s="25">
        <v>14</v>
      </c>
      <c r="F4193" s="23">
        <v>10</v>
      </c>
      <c r="G4193" s="152" cm="1">
        <f t="array" ref="G4193">SUM(E4193/F4193)</f>
        <v>1.4</v>
      </c>
      <c r="H4193" s="15"/>
    </row>
    <row r="4194" ht="13.65" customHeight="1">
      <c r="A4194" s="21">
        <v>68</v>
      </c>
      <c r="B4194" t="s" s="22">
        <v>480</v>
      </c>
      <c r="C4194" t="s" s="24">
        <v>481</v>
      </c>
      <c r="D4194" t="s" s="24">
        <v>597</v>
      </c>
      <c r="E4194" s="25">
        <v>16</v>
      </c>
      <c r="F4194" s="23">
        <v>5</v>
      </c>
      <c r="G4194" s="152" cm="1">
        <f t="array" ref="G4194">SUM(E4194/F4194)</f>
        <v>3.2</v>
      </c>
      <c r="H4194" s="15"/>
    </row>
    <row r="4195" ht="13.65" customHeight="1">
      <c r="A4195" s="21">
        <v>69</v>
      </c>
      <c r="B4195" t="s" s="22">
        <v>598</v>
      </c>
      <c r="C4195" t="s" s="24">
        <v>481</v>
      </c>
      <c r="D4195" t="s" s="24">
        <v>597</v>
      </c>
      <c r="E4195" s="25">
        <v>3.5</v>
      </c>
      <c r="F4195" s="23">
        <v>5</v>
      </c>
      <c r="G4195" s="152" cm="1">
        <f t="array" ref="G4195">SUM(E4195/F4195)</f>
        <v>0.7</v>
      </c>
      <c r="H4195" s="15"/>
    </row>
    <row r="4196" ht="13.65" customHeight="1">
      <c r="A4196" s="21">
        <v>76</v>
      </c>
      <c r="B4196" t="s" s="22">
        <v>599</v>
      </c>
      <c r="C4196" t="s" s="24">
        <v>384</v>
      </c>
      <c r="D4196" t="s" s="24">
        <v>418</v>
      </c>
      <c r="E4196" s="25">
        <v>18</v>
      </c>
      <c r="F4196" s="23">
        <v>100</v>
      </c>
      <c r="G4196" s="152" cm="1">
        <f t="array" ref="G4196">SUM(E4196/F4196)</f>
        <v>0.18</v>
      </c>
      <c r="H4196" s="15"/>
    </row>
    <row r="4197" ht="13.65" customHeight="1">
      <c r="A4197" s="21">
        <v>48</v>
      </c>
      <c r="B4197" t="s" s="22">
        <v>710</v>
      </c>
      <c r="C4197" s="23">
        <v>1</v>
      </c>
      <c r="D4197" t="s" s="24">
        <v>277</v>
      </c>
      <c r="E4197" s="25">
        <v>1</v>
      </c>
      <c r="F4197" s="23">
        <v>2</v>
      </c>
      <c r="G4197" s="152" cm="1">
        <f t="array" ref="G4197">SUM(E4197/F4197)</f>
        <v>0.5</v>
      </c>
      <c r="H4197" s="15"/>
    </row>
    <row r="4198" ht="13.65" customHeight="1">
      <c r="A4198" s="21">
        <v>101</v>
      </c>
      <c r="B4198" t="s" s="22">
        <v>407</v>
      </c>
      <c r="C4198" t="s" s="24">
        <v>380</v>
      </c>
      <c r="D4198" t="s" s="24">
        <v>408</v>
      </c>
      <c r="E4198" s="25">
        <v>7.5</v>
      </c>
      <c r="F4198" s="23">
        <v>50</v>
      </c>
      <c r="G4198" s="152" cm="1">
        <f t="array" ref="G4198">SUM(E4198/F4198)</f>
        <v>0.15</v>
      </c>
      <c r="H4198" s="15"/>
    </row>
    <row r="4199" ht="13.65" customHeight="1">
      <c r="A4199" s="21">
        <v>105</v>
      </c>
      <c r="B4199" t="s" s="22">
        <v>600</v>
      </c>
      <c r="C4199" s="23">
        <v>1</v>
      </c>
      <c r="D4199" t="s" s="24">
        <v>104</v>
      </c>
      <c r="E4199" s="25">
        <v>0.35</v>
      </c>
      <c r="F4199" s="23">
        <v>1</v>
      </c>
      <c r="G4199" s="152" cm="1">
        <f t="array" ref="G4199">SUM(E4199/F4199)</f>
        <v>0.35</v>
      </c>
      <c r="H4199" s="15"/>
    </row>
    <row r="4200" ht="13.65" customHeight="1">
      <c r="A4200" s="21">
        <v>131</v>
      </c>
      <c r="B4200" t="s" s="22">
        <v>482</v>
      </c>
      <c r="C4200" s="27"/>
      <c r="D4200" s="24"/>
      <c r="E4200" s="27"/>
      <c r="F4200" s="27"/>
      <c r="G4200" s="152">
        <v>100</v>
      </c>
      <c r="H4200" s="15"/>
    </row>
    <row r="4201" ht="13.65" customHeight="1">
      <c r="A4201" s="28"/>
      <c r="B4201" s="28"/>
      <c r="C4201" s="27"/>
      <c r="D4201" s="24"/>
      <c r="E4201" s="27"/>
      <c r="F4201" t="s" s="29">
        <v>118</v>
      </c>
      <c r="G4201" s="197" cm="1">
        <f t="array" ref="G4201">SUM(G4176:G4200)</f>
        <v>125.953117990718</v>
      </c>
      <c r="H4201" s="15"/>
    </row>
    <row r="4202" ht="13.65" customHeight="1">
      <c r="A4202" s="31"/>
      <c r="B4202" s="31"/>
      <c r="C4202" s="31"/>
      <c r="D4202" s="31"/>
      <c r="E4202" s="31"/>
      <c r="F4202" s="31"/>
      <c r="G4202" s="31"/>
      <c r="H4202" s="3"/>
    </row>
    <row r="4203" ht="13.65" customHeight="1">
      <c r="A4203" t="s" s="5">
        <v>809</v>
      </c>
      <c r="B4203" s="3"/>
      <c r="C4203" s="3"/>
      <c r="D4203" s="3"/>
      <c r="E4203" s="3"/>
      <c r="F4203" s="3"/>
      <c r="G4203" s="3"/>
      <c r="H4203" s="3"/>
    </row>
    <row r="4204" ht="13.65" customHeight="1">
      <c r="A4204" s="11"/>
      <c r="B4204" s="11"/>
      <c r="C4204" s="11"/>
      <c r="D4204" s="11"/>
      <c r="E4204" s="11"/>
      <c r="F4204" s="11"/>
      <c r="G4204" s="11"/>
      <c r="H4204" s="3"/>
    </row>
    <row r="4205" ht="11.7" customHeight="1">
      <c r="A4205" t="s" s="167">
        <v>136</v>
      </c>
      <c r="B4205" t="s" s="167">
        <v>281</v>
      </c>
      <c r="C4205" t="s" s="167">
        <v>282</v>
      </c>
      <c r="D4205" t="s" s="167">
        <v>118</v>
      </c>
      <c r="E4205" t="s" s="167">
        <v>810</v>
      </c>
      <c r="F4205" t="s" s="167">
        <v>605</v>
      </c>
      <c r="G4205" s="167"/>
      <c r="H4205" s="170"/>
    </row>
    <row r="4206" ht="13.65" customHeight="1">
      <c r="A4206" s="23">
        <v>170</v>
      </c>
      <c r="B4206" s="172" cm="1">
        <f t="array" ref="B4206">SUM(H256)</f>
        <v>2.47496540404041</v>
      </c>
      <c r="C4206" s="172" cm="1">
        <f t="array" ref="C4206">SUM(G4201)</f>
        <v>125.953117990718</v>
      </c>
      <c r="D4206" s="305" cm="1">
        <f t="array" ref="D4206">SUM(A4206*B4206)+(C4206)</f>
        <v>546.697236677588</v>
      </c>
      <c r="E4206" s="173" cm="1">
        <f t="array" ref="E4206">SUM(D4206)*0.15</f>
        <v>82.0045855016382</v>
      </c>
      <c r="F4206" s="296" cm="1">
        <f t="array" ref="F4206">SUM(D4206:E4206)</f>
        <v>628.701822179226</v>
      </c>
      <c r="G4206" s="306"/>
      <c r="H4206" s="15"/>
    </row>
    <row r="4207" ht="13.65" customHeight="1">
      <c r="A4207" s="31"/>
      <c r="B4207" s="31"/>
      <c r="C4207" s="31"/>
      <c r="D4207" s="31"/>
      <c r="E4207" s="31"/>
      <c r="F4207" s="31"/>
      <c r="G4207" s="31"/>
      <c r="H4207" s="3"/>
    </row>
    <row r="4208" ht="13.65" customHeight="1">
      <c r="A4208" s="203"/>
      <c r="B4208" s="203"/>
      <c r="C4208" s="203"/>
      <c r="D4208" s="203"/>
      <c r="E4208" s="203"/>
      <c r="F4208" s="203"/>
      <c r="G4208" s="203"/>
      <c r="H4208" s="203"/>
    </row>
    <row r="4209" ht="13.65" customHeight="1">
      <c r="A4209" t="s" s="274">
        <v>284</v>
      </c>
      <c r="B4209" s="275"/>
      <c r="C4209" s="275"/>
      <c r="D4209" s="275"/>
      <c r="E4209" s="280"/>
      <c r="F4209" s="275"/>
      <c r="G4209" s="275"/>
      <c r="H4209" s="277"/>
    </row>
    <row r="4210" ht="13.65" customHeight="1">
      <c r="A4210" s="278"/>
      <c r="B4210" s="278"/>
      <c r="C4210" s="278"/>
      <c r="D4210" s="278"/>
      <c r="E4210" s="278"/>
      <c r="F4210" s="278"/>
      <c r="G4210" s="278"/>
      <c r="H4210" s="278"/>
    </row>
    <row r="4211" ht="13.65" customHeight="1">
      <c r="A4211" s="3"/>
      <c r="B4211" s="3"/>
      <c r="C4211" s="3"/>
      <c r="D4211" s="3"/>
      <c r="E4211" s="3"/>
      <c r="F4211" s="3"/>
      <c r="G4211" s="3"/>
      <c r="H4211" s="3"/>
    </row>
    <row r="4212" ht="13.65" customHeight="1">
      <c r="A4212" t="s" s="5">
        <v>811</v>
      </c>
      <c r="B4212" s="3"/>
      <c r="C4212" s="3"/>
      <c r="D4212" s="3"/>
      <c r="E4212" s="3"/>
      <c r="F4212" s="3"/>
      <c r="G4212" s="3"/>
      <c r="H4212" s="3"/>
    </row>
    <row r="4213" ht="13.65" customHeight="1">
      <c r="A4213" s="11"/>
      <c r="B4213" s="11"/>
      <c r="C4213" s="11"/>
      <c r="D4213" s="11"/>
      <c r="E4213" s="11"/>
      <c r="F4213" s="11"/>
      <c r="G4213" s="11"/>
      <c r="H4213" s="3"/>
    </row>
    <row r="4214" ht="13.65" customHeight="1">
      <c r="A4214" s="12"/>
      <c r="B4214" s="12"/>
      <c r="C4214" s="13"/>
      <c r="D4214" s="14"/>
      <c r="E4214" s="13"/>
      <c r="F4214" s="13"/>
      <c r="G4214" t="s" s="14">
        <v>252</v>
      </c>
      <c r="H4214" s="150"/>
    </row>
    <row r="4215" ht="13.65" customHeight="1">
      <c r="A4215" t="s" s="16">
        <v>93</v>
      </c>
      <c r="B4215" t="s" s="16">
        <v>94</v>
      </c>
      <c r="C4215" t="s" s="16">
        <v>95</v>
      </c>
      <c r="D4215" t="s" s="16">
        <v>96</v>
      </c>
      <c r="E4215" t="s" s="16">
        <v>97</v>
      </c>
      <c r="F4215" t="s" s="16">
        <v>98</v>
      </c>
      <c r="G4215" t="s" s="16">
        <v>99</v>
      </c>
      <c r="H4215" s="15"/>
    </row>
    <row r="4216" ht="13.65" customHeight="1">
      <c r="A4216" s="151"/>
      <c r="B4216" s="151"/>
      <c r="C4216" s="19"/>
      <c r="D4216" s="20"/>
      <c r="E4216" s="19"/>
      <c r="F4216" s="19"/>
      <c r="G4216" t="s" s="20">
        <v>100</v>
      </c>
      <c r="H4216" s="15"/>
    </row>
    <row r="4217" ht="13.65" customHeight="1">
      <c r="A4217" s="21">
        <v>72</v>
      </c>
      <c r="B4217" t="s" s="22">
        <v>101</v>
      </c>
      <c r="C4217" s="23">
        <v>50</v>
      </c>
      <c r="D4217" t="s" s="24">
        <v>274</v>
      </c>
      <c r="E4217" s="25">
        <v>1.93</v>
      </c>
      <c r="F4217" s="23">
        <v>12.5</v>
      </c>
      <c r="G4217" s="152" cm="1">
        <f t="array" ref="G4217">SUM(E4217/F4217)</f>
        <v>0.1544</v>
      </c>
      <c r="H4217" s="15"/>
    </row>
    <row r="4218" ht="13.65" customHeight="1">
      <c r="A4218" s="21">
        <v>123</v>
      </c>
      <c r="B4218" t="s" s="22">
        <v>103</v>
      </c>
      <c r="C4218" s="23">
        <v>40</v>
      </c>
      <c r="D4218" t="s" s="24">
        <v>102</v>
      </c>
      <c r="E4218" s="25">
        <v>3.2</v>
      </c>
      <c r="F4218" s="23">
        <v>2</v>
      </c>
      <c r="G4218" s="152" cm="1">
        <f t="array" ref="G4218">SUM(E4218/F4218)</f>
        <v>1.6</v>
      </c>
      <c r="H4218" s="15"/>
    </row>
    <row r="4219" ht="13.65" customHeight="1">
      <c r="A4219" s="21">
        <v>57</v>
      </c>
      <c r="B4219" t="s" s="22">
        <v>253</v>
      </c>
      <c r="C4219" t="s" s="24">
        <v>389</v>
      </c>
      <c r="D4219" t="s" s="24">
        <v>371</v>
      </c>
      <c r="E4219" s="25">
        <v>4.5</v>
      </c>
      <c r="F4219" s="23">
        <v>33</v>
      </c>
      <c r="G4219" s="152" cm="1">
        <f t="array" ref="G4219">SUM(E4219/F4219)</f>
        <v>0.136363636363636</v>
      </c>
      <c r="H4219" s="15"/>
    </row>
    <row r="4220" ht="13.65" customHeight="1">
      <c r="A4220" s="21">
        <v>117</v>
      </c>
      <c r="B4220" t="s" s="22">
        <v>105</v>
      </c>
      <c r="C4220" s="23">
        <v>100</v>
      </c>
      <c r="D4220" t="s" s="24">
        <v>106</v>
      </c>
      <c r="E4220" s="25">
        <v>1.2</v>
      </c>
      <c r="F4220" s="23">
        <v>10</v>
      </c>
      <c r="G4220" s="152" cm="1">
        <f t="array" ref="G4220">SUM(E4220/F4220)</f>
        <v>0.12</v>
      </c>
      <c r="H4220" s="15"/>
    </row>
    <row r="4221" ht="13.65" customHeight="1">
      <c r="A4221" s="21">
        <v>86</v>
      </c>
      <c r="B4221" t="s" s="22">
        <v>107</v>
      </c>
      <c r="C4221" t="s" s="24">
        <v>108</v>
      </c>
      <c r="D4221" t="s" s="24">
        <v>274</v>
      </c>
      <c r="E4221" s="25">
        <v>0.32</v>
      </c>
      <c r="F4221" t="s" s="24">
        <v>803</v>
      </c>
      <c r="G4221" s="152" cm="1">
        <f t="array" ref="G4221">SUM(E4221*4)</f>
        <v>1.28</v>
      </c>
      <c r="H4221" s="15"/>
    </row>
    <row r="4222" ht="13.65" customHeight="1">
      <c r="A4222" s="21">
        <v>71</v>
      </c>
      <c r="B4222" t="s" s="22">
        <v>109</v>
      </c>
      <c r="C4222" s="23">
        <v>10</v>
      </c>
      <c r="D4222" t="s" s="24">
        <v>274</v>
      </c>
      <c r="E4222" s="25">
        <v>5.92</v>
      </c>
      <c r="F4222" s="23">
        <v>2.5</v>
      </c>
      <c r="G4222" s="152" cm="1">
        <f t="array" ref="G4222">SUM(E4222/F4222)</f>
        <v>2.368</v>
      </c>
      <c r="H4222" s="15"/>
    </row>
    <row r="4223" ht="13.65" customHeight="1">
      <c r="A4223" s="21">
        <v>87</v>
      </c>
      <c r="B4223" t="s" s="22">
        <v>110</v>
      </c>
      <c r="C4223" s="23">
        <v>50</v>
      </c>
      <c r="D4223" t="s" s="24">
        <v>274</v>
      </c>
      <c r="E4223" s="25">
        <v>9</v>
      </c>
      <c r="F4223" s="23">
        <v>12.5</v>
      </c>
      <c r="G4223" s="152" cm="1">
        <f t="array" ref="G4223">SUM(E4223/F4223)</f>
        <v>0.72</v>
      </c>
      <c r="H4223" s="15"/>
    </row>
    <row r="4224" ht="13.65" customHeight="1">
      <c r="A4224" s="21">
        <v>55</v>
      </c>
      <c r="B4224" t="s" s="22">
        <v>111</v>
      </c>
      <c r="C4224" t="s" s="24">
        <v>112</v>
      </c>
      <c r="D4224" t="s" s="24">
        <v>642</v>
      </c>
      <c r="E4224" s="25">
        <v>2.71</v>
      </c>
      <c r="F4224" s="23">
        <v>37</v>
      </c>
      <c r="G4224" s="152" cm="1">
        <f t="array" ref="G4224">SUM(E4224/F4224)</f>
        <v>0.0732432432432432</v>
      </c>
      <c r="H4224" s="15"/>
    </row>
    <row r="4225" ht="13.65" customHeight="1">
      <c r="A4225" s="21">
        <v>24</v>
      </c>
      <c r="B4225" t="s" s="22">
        <v>531</v>
      </c>
      <c r="C4225" s="23">
        <v>10</v>
      </c>
      <c r="D4225" t="s" s="24">
        <v>104</v>
      </c>
      <c r="E4225" s="25">
        <v>9.6</v>
      </c>
      <c r="F4225" s="23">
        <v>10</v>
      </c>
      <c r="G4225" s="152" cm="1">
        <f t="array" ref="G4225">SUM(E4225/F4225)</f>
        <v>0.96</v>
      </c>
      <c r="H4225" s="15"/>
    </row>
    <row r="4226" ht="13.65" customHeight="1">
      <c r="A4226" s="21">
        <v>19</v>
      </c>
      <c r="B4226" t="s" s="22">
        <v>445</v>
      </c>
      <c r="C4226" s="23">
        <v>6</v>
      </c>
      <c r="D4226" t="s" s="24">
        <v>694</v>
      </c>
      <c r="E4226" s="25">
        <v>5.2</v>
      </c>
      <c r="F4226" s="23">
        <v>10</v>
      </c>
      <c r="G4226" s="152" cm="1">
        <f t="array" ref="G4226">SUM(E4226/F4226)</f>
        <v>0.52</v>
      </c>
      <c r="H4226" s="15"/>
    </row>
    <row r="4227" ht="13.65" customHeight="1">
      <c r="A4227" s="21">
        <v>19</v>
      </c>
      <c r="B4227" t="s" s="22">
        <v>437</v>
      </c>
      <c r="C4227" s="23">
        <v>2</v>
      </c>
      <c r="D4227" t="s" s="24">
        <v>640</v>
      </c>
      <c r="E4227" s="25">
        <v>5.2</v>
      </c>
      <c r="F4227" s="23">
        <v>5</v>
      </c>
      <c r="G4227" s="152" cm="1">
        <f t="array" ref="G4227">SUM(E4227/F4227)</f>
        <v>1.04</v>
      </c>
      <c r="H4227" s="15"/>
    </row>
    <row r="4228" ht="13.65" customHeight="1">
      <c r="A4228" s="21">
        <v>139</v>
      </c>
      <c r="B4228" t="s" s="22">
        <v>613</v>
      </c>
      <c r="C4228" t="s" s="24">
        <v>432</v>
      </c>
      <c r="D4228" t="s" s="24">
        <v>495</v>
      </c>
      <c r="E4228" s="25">
        <v>15</v>
      </c>
      <c r="F4228" s="23">
        <v>20</v>
      </c>
      <c r="G4228" s="152" cm="1">
        <f t="array" ref="G4228">SUM(E4228/F4228)</f>
        <v>0.75</v>
      </c>
      <c r="H4228" s="15"/>
    </row>
    <row r="4229" ht="13.65" customHeight="1">
      <c r="A4229" s="21">
        <v>59</v>
      </c>
      <c r="B4229" t="s" s="22">
        <v>591</v>
      </c>
      <c r="C4229" t="s" s="24">
        <v>592</v>
      </c>
      <c r="D4229" t="s" s="24">
        <v>593</v>
      </c>
      <c r="E4229" s="25">
        <v>18</v>
      </c>
      <c r="F4229" s="23">
        <v>36</v>
      </c>
      <c r="G4229" s="152" cm="1">
        <f t="array" ref="G4229">SUM(E4229/F4229)</f>
        <v>0.5</v>
      </c>
      <c r="H4229" s="15"/>
    </row>
    <row r="4230" ht="13.65" customHeight="1">
      <c r="A4230" s="21">
        <v>27</v>
      </c>
      <c r="B4230" t="s" s="22">
        <v>474</v>
      </c>
      <c r="C4230" s="23">
        <v>18</v>
      </c>
      <c r="D4230" t="s" s="24">
        <v>104</v>
      </c>
      <c r="E4230" s="25">
        <v>6.5</v>
      </c>
      <c r="F4230" s="23">
        <v>18</v>
      </c>
      <c r="G4230" s="152" cm="1">
        <f t="array" ref="G4230">SUM(E4230/F4230)</f>
        <v>0.361111111111111</v>
      </c>
      <c r="H4230" s="15"/>
    </row>
    <row r="4231" ht="13.65" customHeight="1">
      <c r="A4231" s="21">
        <v>49</v>
      </c>
      <c r="B4231" t="s" s="22">
        <v>706</v>
      </c>
      <c r="C4231" s="23">
        <v>120</v>
      </c>
      <c r="D4231" t="s" s="24">
        <v>256</v>
      </c>
      <c r="E4231" s="25">
        <v>132</v>
      </c>
      <c r="F4231" s="23">
        <v>40</v>
      </c>
      <c r="G4231" s="152" cm="1">
        <f t="array" ref="G4231">SUM(E4231/F4231)</f>
        <v>3.3</v>
      </c>
      <c r="H4231" s="15"/>
    </row>
    <row r="4232" ht="13.65" customHeight="1">
      <c r="A4232" s="21">
        <v>120</v>
      </c>
      <c r="B4232" t="s" s="22">
        <v>799</v>
      </c>
      <c r="C4232" t="s" s="24">
        <v>538</v>
      </c>
      <c r="D4232" t="s" s="24">
        <v>401</v>
      </c>
      <c r="E4232" s="25">
        <v>165</v>
      </c>
      <c r="F4232" s="23">
        <v>30</v>
      </c>
      <c r="G4232" s="152" cm="1">
        <f t="array" ref="G4232">SUM(E4232/F4232)</f>
        <v>5.5</v>
      </c>
      <c r="H4232" s="15"/>
    </row>
    <row r="4233" ht="13.65" customHeight="1">
      <c r="A4233" s="21">
        <v>111</v>
      </c>
      <c r="B4233" t="s" s="22">
        <v>476</v>
      </c>
      <c r="C4233" s="23">
        <v>1</v>
      </c>
      <c r="D4233" t="s" s="24">
        <v>401</v>
      </c>
      <c r="E4233" s="25">
        <v>2.7</v>
      </c>
      <c r="F4233" s="23">
        <v>30</v>
      </c>
      <c r="G4233" s="152" cm="1">
        <f t="array" ref="G4233">SUM(E4233/F4233)</f>
        <v>0.09</v>
      </c>
      <c r="H4233" s="15"/>
    </row>
    <row r="4234" ht="13.65" customHeight="1">
      <c r="A4234" s="21">
        <v>7</v>
      </c>
      <c r="B4234" t="s" s="22">
        <v>477</v>
      </c>
      <c r="C4234" t="s" s="24">
        <v>478</v>
      </c>
      <c r="D4234" t="s" s="24">
        <v>479</v>
      </c>
      <c r="E4234" s="25">
        <v>14</v>
      </c>
      <c r="F4234" s="23">
        <v>10</v>
      </c>
      <c r="G4234" s="152" cm="1">
        <f t="array" ref="G4234">SUM(E4234/F4234)</f>
        <v>1.4</v>
      </c>
      <c r="H4234" s="15"/>
    </row>
    <row r="4235" ht="13.65" customHeight="1">
      <c r="A4235" s="21">
        <v>68</v>
      </c>
      <c r="B4235" t="s" s="22">
        <v>480</v>
      </c>
      <c r="C4235" t="s" s="24">
        <v>481</v>
      </c>
      <c r="D4235" t="s" s="24">
        <v>597</v>
      </c>
      <c r="E4235" s="25">
        <v>16</v>
      </c>
      <c r="F4235" s="23">
        <v>5</v>
      </c>
      <c r="G4235" s="152" cm="1">
        <f t="array" ref="G4235">SUM(E4235/F4235)</f>
        <v>3.2</v>
      </c>
      <c r="H4235" s="15"/>
    </row>
    <row r="4236" ht="13.65" customHeight="1">
      <c r="A4236" s="21">
        <v>69</v>
      </c>
      <c r="B4236" t="s" s="22">
        <v>598</v>
      </c>
      <c r="C4236" t="s" s="24">
        <v>481</v>
      </c>
      <c r="D4236" t="s" s="24">
        <v>597</v>
      </c>
      <c r="E4236" s="25">
        <v>3.5</v>
      </c>
      <c r="F4236" s="23">
        <v>5</v>
      </c>
      <c r="G4236" s="152" cm="1">
        <f t="array" ref="G4236">SUM(E4236/F4236)</f>
        <v>0.7</v>
      </c>
      <c r="H4236" s="15"/>
    </row>
    <row r="4237" ht="13.65" customHeight="1">
      <c r="A4237" s="21">
        <v>76</v>
      </c>
      <c r="B4237" t="s" s="22">
        <v>599</v>
      </c>
      <c r="C4237" t="s" s="24">
        <v>384</v>
      </c>
      <c r="D4237" t="s" s="24">
        <v>418</v>
      </c>
      <c r="E4237" s="25">
        <v>18</v>
      </c>
      <c r="F4237" s="23">
        <v>100</v>
      </c>
      <c r="G4237" s="152" cm="1">
        <f t="array" ref="G4237">SUM(E4237/F4237)</f>
        <v>0.18</v>
      </c>
      <c r="H4237" s="15"/>
    </row>
    <row r="4238" ht="13.65" customHeight="1">
      <c r="A4238" s="21">
        <v>48</v>
      </c>
      <c r="B4238" t="s" s="22">
        <v>710</v>
      </c>
      <c r="C4238" s="23">
        <v>1</v>
      </c>
      <c r="D4238" t="s" s="24">
        <v>277</v>
      </c>
      <c r="E4238" s="25">
        <v>1</v>
      </c>
      <c r="F4238" s="23">
        <v>2</v>
      </c>
      <c r="G4238" s="152" cm="1">
        <f t="array" ref="G4238">SUM(E4238/F4238)</f>
        <v>0.5</v>
      </c>
      <c r="H4238" s="15"/>
    </row>
    <row r="4239" ht="13.65" customHeight="1">
      <c r="A4239" s="21">
        <v>101</v>
      </c>
      <c r="B4239" t="s" s="22">
        <v>407</v>
      </c>
      <c r="C4239" t="s" s="24">
        <v>380</v>
      </c>
      <c r="D4239" t="s" s="24">
        <v>408</v>
      </c>
      <c r="E4239" s="25">
        <v>7.5</v>
      </c>
      <c r="F4239" s="23">
        <v>50</v>
      </c>
      <c r="G4239" s="152" cm="1">
        <f t="array" ref="G4239">SUM(E4239/F4239)</f>
        <v>0.15</v>
      </c>
      <c r="H4239" s="15"/>
    </row>
    <row r="4240" ht="13.65" customHeight="1">
      <c r="A4240" s="21">
        <v>105</v>
      </c>
      <c r="B4240" t="s" s="22">
        <v>600</v>
      </c>
      <c r="C4240" s="23">
        <v>1</v>
      </c>
      <c r="D4240" t="s" s="24">
        <v>104</v>
      </c>
      <c r="E4240" s="25">
        <v>0.35</v>
      </c>
      <c r="F4240" s="23">
        <v>1</v>
      </c>
      <c r="G4240" s="152" cm="1">
        <f t="array" ref="G4240">SUM(E4240/F4240)</f>
        <v>0.35</v>
      </c>
      <c r="H4240" s="15"/>
    </row>
    <row r="4241" ht="13.65" customHeight="1">
      <c r="A4241" s="21">
        <v>131</v>
      </c>
      <c r="B4241" t="s" s="22">
        <v>482</v>
      </c>
      <c r="C4241" s="27"/>
      <c r="D4241" s="24"/>
      <c r="E4241" s="27"/>
      <c r="F4241" s="27"/>
      <c r="G4241" s="152">
        <v>60</v>
      </c>
      <c r="H4241" s="15"/>
    </row>
    <row r="4242" ht="13.65" customHeight="1">
      <c r="A4242" s="28"/>
      <c r="B4242" s="28"/>
      <c r="C4242" s="27"/>
      <c r="D4242" s="24"/>
      <c r="E4242" s="27"/>
      <c r="F4242" t="s" s="29">
        <v>118</v>
      </c>
      <c r="G4242" s="197" cm="1">
        <f t="array" ref="G4242">SUM(G4217:G4241)</f>
        <v>85.953117990718</v>
      </c>
      <c r="H4242" s="15"/>
    </row>
    <row r="4243" ht="13.65" customHeight="1">
      <c r="A4243" s="31"/>
      <c r="B4243" s="31"/>
      <c r="C4243" s="31"/>
      <c r="D4243" s="31"/>
      <c r="E4243" s="31"/>
      <c r="F4243" s="31"/>
      <c r="G4243" s="31"/>
      <c r="H4243" s="3"/>
    </row>
    <row r="4244" ht="13.65" customHeight="1">
      <c r="A4244" t="s" s="5">
        <v>809</v>
      </c>
      <c r="B4244" s="3"/>
      <c r="C4244" s="3"/>
      <c r="D4244" s="3"/>
      <c r="E4244" s="3"/>
      <c r="F4244" s="3"/>
      <c r="G4244" s="3"/>
      <c r="H4244" s="3"/>
    </row>
    <row r="4245" ht="13.65" customHeight="1">
      <c r="A4245" s="11"/>
      <c r="B4245" s="11"/>
      <c r="C4245" s="11"/>
      <c r="D4245" s="11"/>
      <c r="E4245" s="11"/>
      <c r="F4245" s="11"/>
      <c r="G4245" s="11"/>
      <c r="H4245" s="3"/>
    </row>
    <row r="4246" ht="11.7" customHeight="1">
      <c r="A4246" t="s" s="167">
        <v>136</v>
      </c>
      <c r="B4246" t="s" s="167">
        <v>281</v>
      </c>
      <c r="C4246" t="s" s="167">
        <v>282</v>
      </c>
      <c r="D4246" t="s" s="167">
        <v>118</v>
      </c>
      <c r="E4246" t="s" s="167">
        <v>810</v>
      </c>
      <c r="F4246" t="s" s="167">
        <v>605</v>
      </c>
      <c r="G4246" s="167"/>
      <c r="H4246" s="170"/>
    </row>
    <row r="4247" ht="13.65" customHeight="1">
      <c r="A4247" s="23">
        <v>170</v>
      </c>
      <c r="B4247" s="172" cm="1">
        <f t="array" ref="B4247">SUM(H256)</f>
        <v>2.47496540404041</v>
      </c>
      <c r="C4247" s="172" cm="1">
        <f t="array" ref="C4247">SUM(G4242)</f>
        <v>85.953117990718</v>
      </c>
      <c r="D4247" s="305" cm="1">
        <f t="array" ref="D4247">SUM(A4247*B4247+C4247)</f>
        <v>506.697236677588</v>
      </c>
      <c r="E4247" s="198" cm="1">
        <f t="array" ref="E4247">SUM(D4247)*0.15</f>
        <v>76.0045855016382</v>
      </c>
      <c r="F4247" s="296" cm="1">
        <f t="array" ref="F4247">SUM(D4247:E4247)</f>
        <v>582.701822179226</v>
      </c>
      <c r="G4247" s="306"/>
      <c r="H4247" s="15"/>
    </row>
    <row r="4248" ht="13.65" customHeight="1">
      <c r="A4248" s="31"/>
      <c r="B4248" s="31"/>
      <c r="C4248" s="31"/>
      <c r="D4248" s="31"/>
      <c r="E4248" s="31"/>
      <c r="F4248" s="31"/>
      <c r="G4248" s="31"/>
      <c r="H4248" s="3"/>
    </row>
    <row r="4249" ht="13.65" customHeight="1">
      <c r="A4249" s="203"/>
      <c r="B4249" s="203"/>
      <c r="C4249" s="203"/>
      <c r="D4249" s="203"/>
      <c r="E4249" s="203"/>
      <c r="F4249" s="203"/>
      <c r="G4249" s="203"/>
      <c r="H4249" s="203"/>
    </row>
    <row r="4250" ht="13.65" customHeight="1">
      <c r="A4250" t="s" s="274">
        <v>284</v>
      </c>
      <c r="B4250" s="275"/>
      <c r="C4250" s="275"/>
      <c r="D4250" s="275"/>
      <c r="E4250" s="280"/>
      <c r="F4250" s="275"/>
      <c r="G4250" s="275"/>
      <c r="H4250" s="277"/>
    </row>
    <row r="4251" ht="13.65" customHeight="1">
      <c r="A4251" s="278"/>
      <c r="B4251" s="278"/>
      <c r="C4251" s="278"/>
      <c r="D4251" s="278"/>
      <c r="E4251" s="278"/>
      <c r="F4251" s="278"/>
      <c r="G4251" s="278"/>
      <c r="H4251" s="278"/>
    </row>
    <row r="4252" ht="13.65" customHeight="1">
      <c r="A4252" s="3"/>
      <c r="B4252" s="3"/>
      <c r="C4252" s="3"/>
      <c r="D4252" s="3"/>
      <c r="E4252" s="3"/>
      <c r="F4252" s="3"/>
      <c r="G4252" s="3"/>
      <c r="H4252" s="3"/>
    </row>
    <row r="4253" ht="13.65" customHeight="1">
      <c r="A4253" t="s" s="5">
        <v>812</v>
      </c>
      <c r="B4253" s="3"/>
      <c r="C4253" s="3"/>
      <c r="D4253" s="3"/>
      <c r="E4253" s="3"/>
      <c r="F4253" s="3"/>
      <c r="G4253" s="3"/>
      <c r="H4253" s="3"/>
    </row>
    <row r="4254" ht="13.65" customHeight="1">
      <c r="A4254" s="11"/>
      <c r="B4254" s="11"/>
      <c r="C4254" s="11"/>
      <c r="D4254" s="11"/>
      <c r="E4254" s="11"/>
      <c r="F4254" s="11"/>
      <c r="G4254" s="11"/>
      <c r="H4254" s="3"/>
    </row>
    <row r="4255" ht="13.65" customHeight="1">
      <c r="A4255" s="12"/>
      <c r="B4255" s="12"/>
      <c r="C4255" s="13"/>
      <c r="D4255" s="14"/>
      <c r="E4255" s="13"/>
      <c r="F4255" s="13"/>
      <c r="G4255" t="s" s="14">
        <v>252</v>
      </c>
      <c r="H4255" s="150"/>
    </row>
    <row r="4256" ht="13.65" customHeight="1">
      <c r="A4256" t="s" s="16">
        <v>93</v>
      </c>
      <c r="B4256" t="s" s="16">
        <v>94</v>
      </c>
      <c r="C4256" t="s" s="16">
        <v>95</v>
      </c>
      <c r="D4256" t="s" s="16">
        <v>96</v>
      </c>
      <c r="E4256" t="s" s="16">
        <v>97</v>
      </c>
      <c r="F4256" t="s" s="16">
        <v>98</v>
      </c>
      <c r="G4256" t="s" s="16">
        <v>99</v>
      </c>
      <c r="H4256" s="15"/>
    </row>
    <row r="4257" ht="13.65" customHeight="1">
      <c r="A4257" s="151"/>
      <c r="B4257" s="151"/>
      <c r="C4257" s="19"/>
      <c r="D4257" s="20"/>
      <c r="E4257" s="19"/>
      <c r="F4257" s="19"/>
      <c r="G4257" t="s" s="20">
        <v>100</v>
      </c>
      <c r="H4257" s="15"/>
    </row>
    <row r="4258" ht="13.65" customHeight="1">
      <c r="A4258" s="21">
        <v>72</v>
      </c>
      <c r="B4258" t="s" s="22">
        <v>101</v>
      </c>
      <c r="C4258" s="23">
        <v>50</v>
      </c>
      <c r="D4258" t="s" s="24">
        <v>274</v>
      </c>
      <c r="E4258" s="25">
        <v>1.93</v>
      </c>
      <c r="F4258" s="23">
        <v>12.5</v>
      </c>
      <c r="G4258" s="152" cm="1">
        <f t="array" ref="G4258">SUM(E4258/F4258)</f>
        <v>0.1544</v>
      </c>
      <c r="H4258" s="15"/>
    </row>
    <row r="4259" ht="13.65" customHeight="1">
      <c r="A4259" s="21">
        <v>123</v>
      </c>
      <c r="B4259" t="s" s="22">
        <v>103</v>
      </c>
      <c r="C4259" s="23">
        <v>40</v>
      </c>
      <c r="D4259" t="s" s="24">
        <v>102</v>
      </c>
      <c r="E4259" s="25">
        <v>3.2</v>
      </c>
      <c r="F4259" s="23">
        <v>2</v>
      </c>
      <c r="G4259" s="152" cm="1">
        <f t="array" ref="G4259">SUM(E4259/F4259)</f>
        <v>1.6</v>
      </c>
      <c r="H4259" s="15"/>
    </row>
    <row r="4260" ht="13.65" customHeight="1">
      <c r="A4260" s="21">
        <v>57</v>
      </c>
      <c r="B4260" t="s" s="22">
        <v>253</v>
      </c>
      <c r="C4260" t="s" s="24">
        <v>389</v>
      </c>
      <c r="D4260" t="s" s="24">
        <v>371</v>
      </c>
      <c r="E4260" s="25">
        <v>4.5</v>
      </c>
      <c r="F4260" s="23">
        <v>33</v>
      </c>
      <c r="G4260" s="152" cm="1">
        <f t="array" ref="G4260">SUM(E4260/F4260)</f>
        <v>0.136363636363636</v>
      </c>
      <c r="H4260" s="15"/>
    </row>
    <row r="4261" ht="13.65" customHeight="1">
      <c r="A4261" s="21">
        <v>117</v>
      </c>
      <c r="B4261" t="s" s="22">
        <v>105</v>
      </c>
      <c r="C4261" s="23">
        <v>100</v>
      </c>
      <c r="D4261" t="s" s="24">
        <v>106</v>
      </c>
      <c r="E4261" s="25">
        <v>1.2</v>
      </c>
      <c r="F4261" s="23">
        <v>10</v>
      </c>
      <c r="G4261" s="152" cm="1">
        <f t="array" ref="G4261">SUM(E4261/F4261)</f>
        <v>0.12</v>
      </c>
      <c r="H4261" s="15"/>
    </row>
    <row r="4262" ht="13.65" customHeight="1">
      <c r="A4262" s="21">
        <v>86</v>
      </c>
      <c r="B4262" t="s" s="22">
        <v>107</v>
      </c>
      <c r="C4262" t="s" s="24">
        <v>108</v>
      </c>
      <c r="D4262" t="s" s="24">
        <v>274</v>
      </c>
      <c r="E4262" s="25">
        <v>0.32</v>
      </c>
      <c r="F4262" t="s" s="24">
        <v>803</v>
      </c>
      <c r="G4262" s="152" cm="1">
        <f t="array" ref="G4262">SUM(E4262*4)</f>
        <v>1.28</v>
      </c>
      <c r="H4262" s="15"/>
    </row>
    <row r="4263" ht="13.65" customHeight="1">
      <c r="A4263" s="21">
        <v>71</v>
      </c>
      <c r="B4263" t="s" s="22">
        <v>109</v>
      </c>
      <c r="C4263" s="23">
        <v>10</v>
      </c>
      <c r="D4263" t="s" s="24">
        <v>274</v>
      </c>
      <c r="E4263" s="25">
        <v>5.92</v>
      </c>
      <c r="F4263" s="23">
        <v>2.5</v>
      </c>
      <c r="G4263" s="152" cm="1">
        <f t="array" ref="G4263">SUM(E4263/F4263)</f>
        <v>2.368</v>
      </c>
      <c r="H4263" s="15"/>
    </row>
    <row r="4264" ht="13.65" customHeight="1">
      <c r="A4264" s="21">
        <v>87</v>
      </c>
      <c r="B4264" t="s" s="22">
        <v>110</v>
      </c>
      <c r="C4264" s="23">
        <v>50</v>
      </c>
      <c r="D4264" t="s" s="24">
        <v>274</v>
      </c>
      <c r="E4264" s="25">
        <v>9</v>
      </c>
      <c r="F4264" s="23">
        <v>12.5</v>
      </c>
      <c r="G4264" s="152" cm="1">
        <f t="array" ref="G4264">SUM(E4264/F4264)</f>
        <v>0.72</v>
      </c>
      <c r="H4264" s="15"/>
    </row>
    <row r="4265" ht="13.65" customHeight="1">
      <c r="A4265" s="21">
        <v>55</v>
      </c>
      <c r="B4265" t="s" s="22">
        <v>111</v>
      </c>
      <c r="C4265" t="s" s="24">
        <v>112</v>
      </c>
      <c r="D4265" t="s" s="24">
        <v>642</v>
      </c>
      <c r="E4265" s="25">
        <v>2.71</v>
      </c>
      <c r="F4265" s="23">
        <v>37</v>
      </c>
      <c r="G4265" s="152" cm="1">
        <f t="array" ref="G4265">SUM(E4265/F4265)</f>
        <v>0.0732432432432432</v>
      </c>
      <c r="H4265" s="15"/>
    </row>
    <row r="4266" ht="13.65" customHeight="1">
      <c r="A4266" s="21">
        <v>24</v>
      </c>
      <c r="B4266" t="s" s="22">
        <v>531</v>
      </c>
      <c r="C4266" s="23">
        <v>10</v>
      </c>
      <c r="D4266" t="s" s="24">
        <v>104</v>
      </c>
      <c r="E4266" s="25">
        <v>9.6</v>
      </c>
      <c r="F4266" s="23">
        <v>10</v>
      </c>
      <c r="G4266" s="152" cm="1">
        <f t="array" ref="G4266">SUM(E4266/F4266)</f>
        <v>0.96</v>
      </c>
      <c r="H4266" s="15"/>
    </row>
    <row r="4267" ht="13.65" customHeight="1">
      <c r="A4267" s="21">
        <v>19</v>
      </c>
      <c r="B4267" t="s" s="22">
        <v>445</v>
      </c>
      <c r="C4267" s="23">
        <v>6</v>
      </c>
      <c r="D4267" t="s" s="24">
        <v>694</v>
      </c>
      <c r="E4267" s="25">
        <v>5.2</v>
      </c>
      <c r="F4267" s="23">
        <v>10</v>
      </c>
      <c r="G4267" s="152" cm="1">
        <f t="array" ref="G4267">SUM(E4267/F4267)</f>
        <v>0.52</v>
      </c>
      <c r="H4267" s="15"/>
    </row>
    <row r="4268" ht="13.65" customHeight="1">
      <c r="A4268" s="21">
        <v>19</v>
      </c>
      <c r="B4268" t="s" s="22">
        <v>437</v>
      </c>
      <c r="C4268" s="23">
        <v>2</v>
      </c>
      <c r="D4268" t="s" s="24">
        <v>640</v>
      </c>
      <c r="E4268" s="25">
        <v>5.2</v>
      </c>
      <c r="F4268" s="23">
        <v>5</v>
      </c>
      <c r="G4268" s="152" cm="1">
        <f t="array" ref="G4268">SUM(E4268/F4268)</f>
        <v>1.04</v>
      </c>
      <c r="H4268" s="15"/>
    </row>
    <row r="4269" ht="13.65" customHeight="1">
      <c r="A4269" s="21">
        <v>139</v>
      </c>
      <c r="B4269" t="s" s="22">
        <v>613</v>
      </c>
      <c r="C4269" t="s" s="24">
        <v>432</v>
      </c>
      <c r="D4269" t="s" s="24">
        <v>495</v>
      </c>
      <c r="E4269" s="25">
        <v>15</v>
      </c>
      <c r="F4269" s="23">
        <v>20</v>
      </c>
      <c r="G4269" s="152" cm="1">
        <f t="array" ref="G4269">SUM(E4269/F4269)</f>
        <v>0.75</v>
      </c>
      <c r="H4269" s="15"/>
    </row>
    <row r="4270" ht="13.65" customHeight="1">
      <c r="A4270" s="21">
        <v>59</v>
      </c>
      <c r="B4270" t="s" s="22">
        <v>591</v>
      </c>
      <c r="C4270" t="s" s="24">
        <v>592</v>
      </c>
      <c r="D4270" t="s" s="24">
        <v>593</v>
      </c>
      <c r="E4270" s="25">
        <v>18</v>
      </c>
      <c r="F4270" s="23">
        <v>36</v>
      </c>
      <c r="G4270" s="152" cm="1">
        <f t="array" ref="G4270">SUM(E4270/F4270)</f>
        <v>0.5</v>
      </c>
      <c r="H4270" s="15"/>
    </row>
    <row r="4271" ht="13.65" customHeight="1">
      <c r="A4271" s="21">
        <v>27</v>
      </c>
      <c r="B4271" t="s" s="22">
        <v>474</v>
      </c>
      <c r="C4271" s="23">
        <v>18</v>
      </c>
      <c r="D4271" t="s" s="24">
        <v>104</v>
      </c>
      <c r="E4271" s="25">
        <v>6.5</v>
      </c>
      <c r="F4271" s="23">
        <v>18</v>
      </c>
      <c r="G4271" s="152" cm="1">
        <f t="array" ref="G4271">SUM(E4271/F4271)</f>
        <v>0.361111111111111</v>
      </c>
      <c r="H4271" s="15"/>
    </row>
    <row r="4272" ht="13.65" customHeight="1">
      <c r="A4272" s="21">
        <v>49</v>
      </c>
      <c r="B4272" t="s" s="22">
        <v>706</v>
      </c>
      <c r="C4272" s="23">
        <v>120</v>
      </c>
      <c r="D4272" t="s" s="24">
        <v>256</v>
      </c>
      <c r="E4272" s="25">
        <v>132</v>
      </c>
      <c r="F4272" s="23">
        <v>40</v>
      </c>
      <c r="G4272" s="152" cm="1">
        <f t="array" ref="G4272">SUM(E4272/F4272)</f>
        <v>3.3</v>
      </c>
      <c r="H4272" s="15"/>
    </row>
    <row r="4273" ht="13.65" customHeight="1">
      <c r="A4273" s="21">
        <v>120</v>
      </c>
      <c r="B4273" t="s" s="22">
        <v>799</v>
      </c>
      <c r="C4273" t="s" s="24">
        <v>538</v>
      </c>
      <c r="D4273" t="s" s="24">
        <v>401</v>
      </c>
      <c r="E4273" s="25">
        <v>165</v>
      </c>
      <c r="F4273" s="23">
        <v>30</v>
      </c>
      <c r="G4273" s="152" cm="1">
        <f t="array" ref="G4273">SUM(E4273/F4273)</f>
        <v>5.5</v>
      </c>
      <c r="H4273" s="15"/>
    </row>
    <row r="4274" ht="13.65" customHeight="1">
      <c r="A4274" s="21">
        <v>111</v>
      </c>
      <c r="B4274" t="s" s="22">
        <v>476</v>
      </c>
      <c r="C4274" s="23">
        <v>1</v>
      </c>
      <c r="D4274" t="s" s="24">
        <v>401</v>
      </c>
      <c r="E4274" s="25">
        <v>2.7</v>
      </c>
      <c r="F4274" s="23">
        <v>30</v>
      </c>
      <c r="G4274" s="152" cm="1">
        <f t="array" ref="G4274">SUM(E4274/F4274)</f>
        <v>0.09</v>
      </c>
      <c r="H4274" s="15"/>
    </row>
    <row r="4275" ht="13.65" customHeight="1">
      <c r="A4275" s="21">
        <v>7</v>
      </c>
      <c r="B4275" t="s" s="22">
        <v>477</v>
      </c>
      <c r="C4275" t="s" s="24">
        <v>478</v>
      </c>
      <c r="D4275" t="s" s="24">
        <v>479</v>
      </c>
      <c r="E4275" s="25">
        <v>14</v>
      </c>
      <c r="F4275" s="23">
        <v>10</v>
      </c>
      <c r="G4275" s="152" cm="1">
        <f t="array" ref="G4275">SUM(E4275/F4275)</f>
        <v>1.4</v>
      </c>
      <c r="H4275" s="15"/>
    </row>
    <row r="4276" ht="13.65" customHeight="1">
      <c r="A4276" s="21">
        <v>68</v>
      </c>
      <c r="B4276" t="s" s="22">
        <v>480</v>
      </c>
      <c r="C4276" t="s" s="24">
        <v>481</v>
      </c>
      <c r="D4276" t="s" s="24">
        <v>597</v>
      </c>
      <c r="E4276" s="25">
        <v>16</v>
      </c>
      <c r="F4276" s="23">
        <v>5</v>
      </c>
      <c r="G4276" s="152" cm="1">
        <f t="array" ref="G4276">SUM(E4276/F4276)</f>
        <v>3.2</v>
      </c>
      <c r="H4276" s="15"/>
    </row>
    <row r="4277" ht="13.65" customHeight="1">
      <c r="A4277" s="21">
        <v>69</v>
      </c>
      <c r="B4277" t="s" s="22">
        <v>598</v>
      </c>
      <c r="C4277" t="s" s="24">
        <v>481</v>
      </c>
      <c r="D4277" t="s" s="24">
        <v>597</v>
      </c>
      <c r="E4277" s="25">
        <v>3.5</v>
      </c>
      <c r="F4277" s="23">
        <v>5</v>
      </c>
      <c r="G4277" s="152" cm="1">
        <f t="array" ref="G4277">SUM(E4277/F4277)</f>
        <v>0.7</v>
      </c>
      <c r="H4277" s="15"/>
    </row>
    <row r="4278" ht="13.65" customHeight="1">
      <c r="A4278" s="21">
        <v>76</v>
      </c>
      <c r="B4278" t="s" s="22">
        <v>599</v>
      </c>
      <c r="C4278" t="s" s="24">
        <v>384</v>
      </c>
      <c r="D4278" t="s" s="24">
        <v>418</v>
      </c>
      <c r="E4278" s="25">
        <v>18</v>
      </c>
      <c r="F4278" s="23">
        <v>100</v>
      </c>
      <c r="G4278" s="152" cm="1">
        <f t="array" ref="G4278">SUM(E4278/F4278)</f>
        <v>0.18</v>
      </c>
      <c r="H4278" s="15"/>
    </row>
    <row r="4279" ht="13.65" customHeight="1">
      <c r="A4279" s="21">
        <v>48</v>
      </c>
      <c r="B4279" t="s" s="22">
        <v>710</v>
      </c>
      <c r="C4279" s="23">
        <v>1</v>
      </c>
      <c r="D4279" t="s" s="24">
        <v>375</v>
      </c>
      <c r="E4279" s="25">
        <v>1</v>
      </c>
      <c r="F4279" s="23">
        <v>2</v>
      </c>
      <c r="G4279" s="152" cm="1">
        <f t="array" ref="G4279">SUM(E4279/F4279)</f>
        <v>0.5</v>
      </c>
      <c r="H4279" s="15"/>
    </row>
    <row r="4280" ht="13.65" customHeight="1">
      <c r="A4280" s="21">
        <v>101</v>
      </c>
      <c r="B4280" t="s" s="22">
        <v>407</v>
      </c>
      <c r="C4280" t="s" s="24">
        <v>380</v>
      </c>
      <c r="D4280" t="s" s="24">
        <v>408</v>
      </c>
      <c r="E4280" s="25">
        <v>7.5</v>
      </c>
      <c r="F4280" s="23">
        <v>50</v>
      </c>
      <c r="G4280" s="152" cm="1">
        <f t="array" ref="G4280">SUM(E4280/F4280)</f>
        <v>0.15</v>
      </c>
      <c r="H4280" s="15"/>
    </row>
    <row r="4281" ht="13.65" customHeight="1">
      <c r="A4281" s="21">
        <v>105</v>
      </c>
      <c r="B4281" t="s" s="22">
        <v>600</v>
      </c>
      <c r="C4281" s="23">
        <v>1</v>
      </c>
      <c r="D4281" t="s" s="24">
        <v>104</v>
      </c>
      <c r="E4281" s="25">
        <v>0.35</v>
      </c>
      <c r="F4281" s="23">
        <v>1</v>
      </c>
      <c r="G4281" s="152" cm="1">
        <f t="array" ref="G4281">SUM(E4281/F4281)</f>
        <v>0.35</v>
      </c>
      <c r="H4281" s="15"/>
    </row>
    <row r="4282" ht="13.65" customHeight="1">
      <c r="A4282" s="21">
        <v>131</v>
      </c>
      <c r="B4282" t="s" s="22">
        <v>482</v>
      </c>
      <c r="C4282" s="27"/>
      <c r="D4282" s="24"/>
      <c r="E4282" s="27"/>
      <c r="F4282" s="27"/>
      <c r="G4282" s="152">
        <v>40</v>
      </c>
      <c r="H4282" s="15"/>
    </row>
    <row r="4283" ht="13.65" customHeight="1">
      <c r="A4283" s="28"/>
      <c r="B4283" s="28"/>
      <c r="C4283" s="27"/>
      <c r="D4283" s="24"/>
      <c r="E4283" s="27"/>
      <c r="F4283" t="s" s="29">
        <v>118</v>
      </c>
      <c r="G4283" s="197" cm="1">
        <f t="array" ref="G4283">SUM(G4258:G4282)</f>
        <v>65.953117990718</v>
      </c>
      <c r="H4283" s="15"/>
    </row>
    <row r="4284" ht="13.65" customHeight="1">
      <c r="A4284" s="31"/>
      <c r="B4284" s="31"/>
      <c r="C4284" s="31"/>
      <c r="D4284" s="31"/>
      <c r="E4284" s="31"/>
      <c r="F4284" s="31"/>
      <c r="G4284" s="31"/>
      <c r="H4284" s="3"/>
    </row>
    <row r="4285" ht="13.65" customHeight="1">
      <c r="A4285" t="s" s="5">
        <v>813</v>
      </c>
      <c r="B4285" s="3"/>
      <c r="C4285" s="3"/>
      <c r="D4285" s="3"/>
      <c r="E4285" s="3"/>
      <c r="F4285" s="3"/>
      <c r="G4285" s="3"/>
      <c r="H4285" s="3"/>
    </row>
    <row r="4286" ht="13.65" customHeight="1">
      <c r="A4286" s="11"/>
      <c r="B4286" s="11"/>
      <c r="C4286" s="11"/>
      <c r="D4286" s="11"/>
      <c r="E4286" s="11"/>
      <c r="F4286" s="11"/>
      <c r="G4286" s="11"/>
      <c r="H4286" s="3"/>
    </row>
    <row r="4287" ht="11.7" customHeight="1">
      <c r="A4287" t="s" s="167">
        <v>136</v>
      </c>
      <c r="B4287" t="s" s="167">
        <v>281</v>
      </c>
      <c r="C4287" t="s" s="167">
        <v>282</v>
      </c>
      <c r="D4287" t="s" s="167">
        <v>118</v>
      </c>
      <c r="E4287" t="s" s="167">
        <v>814</v>
      </c>
      <c r="F4287" t="s" s="167">
        <v>605</v>
      </c>
      <c r="G4287" s="167"/>
      <c r="H4287" s="170"/>
    </row>
    <row r="4288" ht="13.65" customHeight="1">
      <c r="A4288" s="23">
        <v>130</v>
      </c>
      <c r="B4288" s="172" cm="1">
        <f t="array" ref="B4288">SUM(H256)</f>
        <v>2.47496540404041</v>
      </c>
      <c r="C4288" s="172" cm="1">
        <f t="array" ref="C4288">SUM(G4283:G4284)</f>
        <v>65.953117990718</v>
      </c>
      <c r="D4288" s="305" cm="1">
        <f t="array" ref="D4288">SUM(A4288*B4288+C4288)</f>
        <v>387.698620515971</v>
      </c>
      <c r="E4288" s="198" cm="1">
        <f t="array" ref="E4288">SUM(D4288)*0.1</f>
        <v>38.7698620515971</v>
      </c>
      <c r="F4288" s="296" cm="1">
        <f t="array" ref="F4288">SUM(D4288:E4288)</f>
        <v>426.468482567568</v>
      </c>
      <c r="G4288" s="306"/>
      <c r="H4288" s="15"/>
    </row>
    <row r="4289" ht="13.65" customHeight="1">
      <c r="A4289" s="31"/>
      <c r="B4289" s="31"/>
      <c r="C4289" s="31"/>
      <c r="D4289" s="31"/>
      <c r="E4289" s="31"/>
      <c r="F4289" s="31"/>
      <c r="G4289" s="31"/>
      <c r="H4289" s="3"/>
    </row>
    <row r="4290" ht="13.65" customHeight="1">
      <c r="A4290" s="203"/>
      <c r="B4290" s="203"/>
      <c r="C4290" s="203"/>
      <c r="D4290" s="203"/>
      <c r="E4290" s="203"/>
      <c r="F4290" s="203"/>
      <c r="G4290" s="203"/>
      <c r="H4290" s="203"/>
    </row>
    <row r="4291" ht="13.65" customHeight="1">
      <c r="A4291" t="s" s="274">
        <v>185</v>
      </c>
      <c r="B4291" s="275"/>
      <c r="C4291" s="275"/>
      <c r="D4291" s="275"/>
      <c r="E4291" s="280"/>
      <c r="F4291" s="275"/>
      <c r="G4291" s="275"/>
      <c r="H4291" s="277"/>
    </row>
    <row r="4292" ht="13.65" customHeight="1">
      <c r="A4292" s="278"/>
      <c r="B4292" s="278"/>
      <c r="C4292" s="278"/>
      <c r="D4292" s="278"/>
      <c r="E4292" s="278"/>
      <c r="F4292" s="278"/>
      <c r="G4292" s="278"/>
      <c r="H4292" s="278"/>
    </row>
    <row r="4293" ht="13.65" customHeight="1">
      <c r="A4293" s="3"/>
      <c r="B4293" s="3"/>
      <c r="C4293" s="3"/>
      <c r="D4293" s="3"/>
      <c r="E4293" s="3"/>
      <c r="F4293" s="3"/>
      <c r="G4293" s="3"/>
      <c r="H4293" s="3"/>
    </row>
    <row r="4294" ht="13.65" customHeight="1">
      <c r="A4294" t="s" s="5">
        <v>815</v>
      </c>
      <c r="B4294" s="3"/>
      <c r="C4294" s="3"/>
      <c r="D4294" s="3"/>
      <c r="E4294" s="3"/>
      <c r="F4294" s="3"/>
      <c r="G4294" s="3"/>
      <c r="H4294" s="3"/>
    </row>
    <row r="4295" ht="13.65" customHeight="1">
      <c r="A4295" s="11"/>
      <c r="B4295" s="11"/>
      <c r="C4295" s="11"/>
      <c r="D4295" s="11"/>
      <c r="E4295" s="11"/>
      <c r="F4295" s="11"/>
      <c r="G4295" s="11"/>
      <c r="H4295" s="3"/>
    </row>
    <row r="4296" ht="13.65" customHeight="1">
      <c r="A4296" s="12"/>
      <c r="B4296" s="12"/>
      <c r="C4296" s="13"/>
      <c r="D4296" s="14"/>
      <c r="E4296" s="13"/>
      <c r="F4296" s="13"/>
      <c r="G4296" t="s" s="14">
        <v>252</v>
      </c>
      <c r="H4296" s="150"/>
    </row>
    <row r="4297" ht="13.65" customHeight="1">
      <c r="A4297" t="s" s="16">
        <v>93</v>
      </c>
      <c r="B4297" t="s" s="16">
        <v>94</v>
      </c>
      <c r="C4297" t="s" s="16">
        <v>95</v>
      </c>
      <c r="D4297" t="s" s="16">
        <v>96</v>
      </c>
      <c r="E4297" t="s" s="16">
        <v>97</v>
      </c>
      <c r="F4297" t="s" s="16">
        <v>98</v>
      </c>
      <c r="G4297" t="s" s="16">
        <v>99</v>
      </c>
      <c r="H4297" s="15"/>
    </row>
    <row r="4298" ht="13.65" customHeight="1">
      <c r="A4298" s="151"/>
      <c r="B4298" s="151"/>
      <c r="C4298" s="19"/>
      <c r="D4298" s="20"/>
      <c r="E4298" s="19"/>
      <c r="F4298" s="19"/>
      <c r="G4298" t="s" s="20">
        <v>100</v>
      </c>
      <c r="H4298" s="15"/>
    </row>
    <row r="4299" ht="13.65" customHeight="1">
      <c r="A4299" s="21">
        <v>72</v>
      </c>
      <c r="B4299" t="s" s="22">
        <v>101</v>
      </c>
      <c r="C4299" s="23">
        <v>50</v>
      </c>
      <c r="D4299" t="s" s="24">
        <v>274</v>
      </c>
      <c r="E4299" s="25">
        <v>1.93</v>
      </c>
      <c r="F4299" s="23">
        <v>12.5</v>
      </c>
      <c r="G4299" s="152" cm="1">
        <f t="array" ref="G4299">SUM(E4299/F4299)</f>
        <v>0.1544</v>
      </c>
      <c r="H4299" s="15"/>
    </row>
    <row r="4300" ht="13.65" customHeight="1">
      <c r="A4300" s="21">
        <v>123</v>
      </c>
      <c r="B4300" t="s" s="22">
        <v>103</v>
      </c>
      <c r="C4300" s="23">
        <v>40</v>
      </c>
      <c r="D4300" t="s" s="24">
        <v>102</v>
      </c>
      <c r="E4300" s="25">
        <v>3.2</v>
      </c>
      <c r="F4300" s="23">
        <v>2</v>
      </c>
      <c r="G4300" s="152" cm="1">
        <f t="array" ref="G4300">SUM(E4300/F4300)</f>
        <v>1.6</v>
      </c>
      <c r="H4300" s="15"/>
    </row>
    <row r="4301" ht="13.65" customHeight="1">
      <c r="A4301" s="21">
        <v>57</v>
      </c>
      <c r="B4301" t="s" s="22">
        <v>253</v>
      </c>
      <c r="C4301" t="s" s="24">
        <v>389</v>
      </c>
      <c r="D4301" t="s" s="24">
        <v>371</v>
      </c>
      <c r="E4301" s="25">
        <v>4.5</v>
      </c>
      <c r="F4301" s="23">
        <v>33</v>
      </c>
      <c r="G4301" s="152" cm="1">
        <f t="array" ref="G4301">SUM(E4301/F4301)</f>
        <v>0.136363636363636</v>
      </c>
      <c r="H4301" s="15"/>
    </row>
    <row r="4302" ht="13.65" customHeight="1">
      <c r="A4302" s="21">
        <v>117</v>
      </c>
      <c r="B4302" t="s" s="22">
        <v>105</v>
      </c>
      <c r="C4302" s="23">
        <v>100</v>
      </c>
      <c r="D4302" t="s" s="24">
        <v>106</v>
      </c>
      <c r="E4302" s="25">
        <v>1.2</v>
      </c>
      <c r="F4302" s="23">
        <v>25</v>
      </c>
      <c r="G4302" s="152" cm="1">
        <f t="array" ref="G4302">SUM(E4302/F4302)</f>
        <v>0.048</v>
      </c>
      <c r="H4302" s="15"/>
    </row>
    <row r="4303" ht="13.65" customHeight="1">
      <c r="A4303" s="21">
        <v>86</v>
      </c>
      <c r="B4303" t="s" s="22">
        <v>107</v>
      </c>
      <c r="C4303" t="s" s="24">
        <v>108</v>
      </c>
      <c r="D4303" t="s" s="24">
        <v>274</v>
      </c>
      <c r="E4303" s="25">
        <v>0.32</v>
      </c>
      <c r="F4303" t="s" s="24">
        <v>803</v>
      </c>
      <c r="G4303" s="152" cm="1">
        <f t="array" ref="G4303">SUM(E4303*4)</f>
        <v>1.28</v>
      </c>
      <c r="H4303" s="15"/>
    </row>
    <row r="4304" ht="13.65" customHeight="1">
      <c r="A4304" s="21">
        <v>71</v>
      </c>
      <c r="B4304" t="s" s="22">
        <v>109</v>
      </c>
      <c r="C4304" s="23">
        <v>10</v>
      </c>
      <c r="D4304" t="s" s="24">
        <v>274</v>
      </c>
      <c r="E4304" s="25">
        <v>5.92</v>
      </c>
      <c r="F4304" s="23">
        <v>2.5</v>
      </c>
      <c r="G4304" s="152" cm="1">
        <f t="array" ref="G4304">SUM(E4304/F4304)</f>
        <v>2.368</v>
      </c>
      <c r="H4304" s="15"/>
    </row>
    <row r="4305" ht="13.65" customHeight="1">
      <c r="A4305" s="21">
        <v>87</v>
      </c>
      <c r="B4305" t="s" s="22">
        <v>110</v>
      </c>
      <c r="C4305" s="23">
        <v>50</v>
      </c>
      <c r="D4305" t="s" s="24">
        <v>274</v>
      </c>
      <c r="E4305" s="25">
        <v>9</v>
      </c>
      <c r="F4305" s="23">
        <v>12.5</v>
      </c>
      <c r="G4305" s="152" cm="1">
        <f t="array" ref="G4305">SUM(E4305/F4305)</f>
        <v>0.72</v>
      </c>
      <c r="H4305" s="15"/>
    </row>
    <row r="4306" ht="13.65" customHeight="1">
      <c r="A4306" s="21">
        <v>55</v>
      </c>
      <c r="B4306" t="s" s="22">
        <v>111</v>
      </c>
      <c r="C4306" t="s" s="24">
        <v>112</v>
      </c>
      <c r="D4306" t="s" s="24">
        <v>642</v>
      </c>
      <c r="E4306" s="25">
        <v>2.71</v>
      </c>
      <c r="F4306" s="23">
        <v>37</v>
      </c>
      <c r="G4306" s="152" cm="1">
        <f t="array" ref="G4306">SUM(E4306/F4306)</f>
        <v>0.0732432432432432</v>
      </c>
      <c r="H4306" s="15"/>
    </row>
    <row r="4307" ht="13.65" customHeight="1">
      <c r="A4307" s="21">
        <v>24</v>
      </c>
      <c r="B4307" t="s" s="22">
        <v>531</v>
      </c>
      <c r="C4307" s="23">
        <v>10</v>
      </c>
      <c r="D4307" t="s" s="24">
        <v>104</v>
      </c>
      <c r="E4307" s="25">
        <v>9.6</v>
      </c>
      <c r="F4307" s="23">
        <v>10</v>
      </c>
      <c r="G4307" s="152" cm="1">
        <f t="array" ref="G4307">SUM(E4307/F4307)</f>
        <v>0.96</v>
      </c>
      <c r="H4307" s="15"/>
    </row>
    <row r="4308" ht="13.65" customHeight="1">
      <c r="A4308" s="21">
        <v>19</v>
      </c>
      <c r="B4308" t="s" s="22">
        <v>445</v>
      </c>
      <c r="C4308" s="23">
        <v>6</v>
      </c>
      <c r="D4308" t="s" s="24">
        <v>694</v>
      </c>
      <c r="E4308" s="25">
        <v>5.2</v>
      </c>
      <c r="F4308" s="23">
        <v>10</v>
      </c>
      <c r="G4308" s="152" cm="1">
        <f t="array" ref="G4308">SUM(E4308/F4308)</f>
        <v>0.52</v>
      </c>
      <c r="H4308" s="15"/>
    </row>
    <row r="4309" ht="13.65" customHeight="1">
      <c r="A4309" s="21">
        <v>19</v>
      </c>
      <c r="B4309" t="s" s="22">
        <v>437</v>
      </c>
      <c r="C4309" s="23">
        <v>2</v>
      </c>
      <c r="D4309" t="s" s="24">
        <v>640</v>
      </c>
      <c r="E4309" s="25">
        <v>5.2</v>
      </c>
      <c r="F4309" s="23">
        <v>5</v>
      </c>
      <c r="G4309" s="152" cm="1">
        <f t="array" ref="G4309">SUM(E4309/F4309)</f>
        <v>1.04</v>
      </c>
      <c r="H4309" s="15"/>
    </row>
    <row r="4310" ht="13.65" customHeight="1">
      <c r="A4310" s="21">
        <v>139</v>
      </c>
      <c r="B4310" t="s" s="22">
        <v>613</v>
      </c>
      <c r="C4310" t="s" s="24">
        <v>432</v>
      </c>
      <c r="D4310" t="s" s="24">
        <v>495</v>
      </c>
      <c r="E4310" s="25">
        <v>15</v>
      </c>
      <c r="F4310" s="23">
        <v>20</v>
      </c>
      <c r="G4310" s="152" cm="1">
        <f t="array" ref="G4310">SUM(E4310/F4310)</f>
        <v>0.75</v>
      </c>
      <c r="H4310" s="15"/>
    </row>
    <row r="4311" ht="13.65" customHeight="1">
      <c r="A4311" s="21">
        <v>59</v>
      </c>
      <c r="B4311" t="s" s="22">
        <v>591</v>
      </c>
      <c r="C4311" t="s" s="24">
        <v>592</v>
      </c>
      <c r="D4311" t="s" s="24">
        <v>593</v>
      </c>
      <c r="E4311" s="25">
        <v>18</v>
      </c>
      <c r="F4311" s="23">
        <v>36</v>
      </c>
      <c r="G4311" s="152" cm="1">
        <f t="array" ref="G4311">SUM(E4311/F4311)</f>
        <v>0.5</v>
      </c>
      <c r="H4311" s="15"/>
    </row>
    <row r="4312" ht="13.65" customHeight="1">
      <c r="A4312" s="21">
        <v>27</v>
      </c>
      <c r="B4312" t="s" s="22">
        <v>474</v>
      </c>
      <c r="C4312" s="23">
        <v>18</v>
      </c>
      <c r="D4312" t="s" s="24">
        <v>104</v>
      </c>
      <c r="E4312" s="25">
        <v>6.5</v>
      </c>
      <c r="F4312" s="23">
        <v>18</v>
      </c>
      <c r="G4312" s="152" cm="1">
        <f t="array" ref="G4312">SUM(E4312/F4312)</f>
        <v>0.361111111111111</v>
      </c>
      <c r="H4312" s="15"/>
    </row>
    <row r="4313" ht="13.65" customHeight="1">
      <c r="A4313" s="21">
        <v>49</v>
      </c>
      <c r="B4313" t="s" s="22">
        <v>706</v>
      </c>
      <c r="C4313" s="23">
        <v>120</v>
      </c>
      <c r="D4313" t="s" s="24">
        <v>256</v>
      </c>
      <c r="E4313" s="25">
        <v>132</v>
      </c>
      <c r="F4313" s="23">
        <v>40</v>
      </c>
      <c r="G4313" s="152" cm="1">
        <f t="array" ref="G4313">SUM(E4313/F4313)</f>
        <v>3.3</v>
      </c>
      <c r="H4313" s="15"/>
    </row>
    <row r="4314" ht="13.65" customHeight="1">
      <c r="A4314" s="21">
        <v>120</v>
      </c>
      <c r="B4314" t="s" s="22">
        <v>799</v>
      </c>
      <c r="C4314" t="s" s="24">
        <v>538</v>
      </c>
      <c r="D4314" t="s" s="24">
        <v>401</v>
      </c>
      <c r="E4314" s="25">
        <v>165</v>
      </c>
      <c r="F4314" s="23">
        <v>30</v>
      </c>
      <c r="G4314" s="152" cm="1">
        <f t="array" ref="G4314">SUM(E4314/F4314)</f>
        <v>5.5</v>
      </c>
      <c r="H4314" s="15"/>
    </row>
    <row r="4315" ht="13.65" customHeight="1">
      <c r="A4315" s="21">
        <v>111</v>
      </c>
      <c r="B4315" t="s" s="22">
        <v>476</v>
      </c>
      <c r="C4315" s="23">
        <v>1</v>
      </c>
      <c r="D4315" t="s" s="24">
        <v>401</v>
      </c>
      <c r="E4315" s="25">
        <v>2.7</v>
      </c>
      <c r="F4315" s="23">
        <v>30</v>
      </c>
      <c r="G4315" s="152" cm="1">
        <f t="array" ref="G4315">SUM(E4315/F4315)</f>
        <v>0.09</v>
      </c>
      <c r="H4315" s="15"/>
    </row>
    <row r="4316" ht="13.65" customHeight="1">
      <c r="A4316" s="21">
        <v>7</v>
      </c>
      <c r="B4316" t="s" s="22">
        <v>477</v>
      </c>
      <c r="C4316" t="s" s="24">
        <v>478</v>
      </c>
      <c r="D4316" t="s" s="24">
        <v>479</v>
      </c>
      <c r="E4316" s="25">
        <v>14</v>
      </c>
      <c r="F4316" s="23">
        <v>10</v>
      </c>
      <c r="G4316" s="152" cm="1">
        <f t="array" ref="G4316">SUM(E4316/F4316)</f>
        <v>1.4</v>
      </c>
      <c r="H4316" s="15"/>
    </row>
    <row r="4317" ht="13.65" customHeight="1">
      <c r="A4317" s="21">
        <v>68</v>
      </c>
      <c r="B4317" t="s" s="22">
        <v>480</v>
      </c>
      <c r="C4317" t="s" s="24">
        <v>481</v>
      </c>
      <c r="D4317" t="s" s="24">
        <v>597</v>
      </c>
      <c r="E4317" s="25">
        <v>16</v>
      </c>
      <c r="F4317" s="23">
        <v>5</v>
      </c>
      <c r="G4317" s="152" cm="1">
        <f t="array" ref="G4317">SUM(E4317/F4317)</f>
        <v>3.2</v>
      </c>
      <c r="H4317" s="15"/>
    </row>
    <row r="4318" ht="13.65" customHeight="1">
      <c r="A4318" s="21">
        <v>69</v>
      </c>
      <c r="B4318" t="s" s="22">
        <v>598</v>
      </c>
      <c r="C4318" t="s" s="24">
        <v>481</v>
      </c>
      <c r="D4318" t="s" s="24">
        <v>597</v>
      </c>
      <c r="E4318" s="25">
        <v>3.5</v>
      </c>
      <c r="F4318" s="23">
        <v>5</v>
      </c>
      <c r="G4318" s="152" cm="1">
        <f t="array" ref="G4318">SUM(E4318/F4318)</f>
        <v>0.7</v>
      </c>
      <c r="H4318" s="15"/>
    </row>
    <row r="4319" ht="13.65" customHeight="1">
      <c r="A4319" s="21">
        <v>76</v>
      </c>
      <c r="B4319" t="s" s="22">
        <v>599</v>
      </c>
      <c r="C4319" t="s" s="24">
        <v>384</v>
      </c>
      <c r="D4319" t="s" s="24">
        <v>418</v>
      </c>
      <c r="E4319" s="25">
        <v>18</v>
      </c>
      <c r="F4319" s="23">
        <v>100</v>
      </c>
      <c r="G4319" s="152" cm="1">
        <f t="array" ref="G4319">SUM(E4319/F4319)</f>
        <v>0.18</v>
      </c>
      <c r="H4319" s="15"/>
    </row>
    <row r="4320" ht="13.65" customHeight="1">
      <c r="A4320" s="21">
        <v>48</v>
      </c>
      <c r="B4320" t="s" s="22">
        <v>710</v>
      </c>
      <c r="C4320" s="23">
        <v>1</v>
      </c>
      <c r="D4320" t="s" s="24">
        <v>277</v>
      </c>
      <c r="E4320" s="25">
        <v>1</v>
      </c>
      <c r="F4320" s="23">
        <v>2</v>
      </c>
      <c r="G4320" s="152" cm="1">
        <f t="array" ref="G4320">SUM(E4320/F4320)</f>
        <v>0.5</v>
      </c>
      <c r="H4320" s="15"/>
    </row>
    <row r="4321" ht="13.65" customHeight="1">
      <c r="A4321" s="21">
        <v>101</v>
      </c>
      <c r="B4321" t="s" s="22">
        <v>407</v>
      </c>
      <c r="C4321" t="s" s="24">
        <v>380</v>
      </c>
      <c r="D4321" t="s" s="24">
        <v>408</v>
      </c>
      <c r="E4321" s="25">
        <v>7.5</v>
      </c>
      <c r="F4321" s="23">
        <v>50</v>
      </c>
      <c r="G4321" s="152" cm="1">
        <f t="array" ref="G4321">SUM(E4321/F4321)</f>
        <v>0.15</v>
      </c>
      <c r="H4321" s="15"/>
    </row>
    <row r="4322" ht="13.65" customHeight="1">
      <c r="A4322" s="21">
        <v>105</v>
      </c>
      <c r="B4322" t="s" s="22">
        <v>600</v>
      </c>
      <c r="C4322" s="23">
        <v>1</v>
      </c>
      <c r="D4322" t="s" s="24">
        <v>104</v>
      </c>
      <c r="E4322" s="25">
        <v>0.35</v>
      </c>
      <c r="F4322" s="23">
        <v>1</v>
      </c>
      <c r="G4322" s="152" cm="1">
        <f t="array" ref="G4322">SUM(E4322/F4322)</f>
        <v>0.35</v>
      </c>
      <c r="H4322" s="15"/>
    </row>
    <row r="4323" ht="13.65" customHeight="1">
      <c r="A4323" s="21">
        <v>131</v>
      </c>
      <c r="B4323" t="s" s="22">
        <v>482</v>
      </c>
      <c r="C4323" s="27"/>
      <c r="D4323" s="24"/>
      <c r="E4323" s="27"/>
      <c r="F4323" s="27"/>
      <c r="G4323" s="152">
        <v>40</v>
      </c>
      <c r="H4323" s="15"/>
    </row>
    <row r="4324" ht="13.65" customHeight="1">
      <c r="A4324" s="28"/>
      <c r="B4324" s="28"/>
      <c r="C4324" s="27"/>
      <c r="D4324" s="24"/>
      <c r="E4324" s="27"/>
      <c r="F4324" t="s" s="29">
        <v>118</v>
      </c>
      <c r="G4324" s="197" cm="1">
        <f t="array" ref="G4324">SUM(G4299:G4323)</f>
        <v>65.881117990718</v>
      </c>
      <c r="H4324" s="15"/>
    </row>
    <row r="4325" ht="13.65" customHeight="1">
      <c r="A4325" s="31"/>
      <c r="B4325" s="31"/>
      <c r="C4325" s="31"/>
      <c r="D4325" s="31"/>
      <c r="E4325" s="31"/>
      <c r="F4325" s="31"/>
      <c r="G4325" s="31"/>
      <c r="H4325" s="3"/>
    </row>
    <row r="4326" ht="13.65" customHeight="1">
      <c r="A4326" t="s" s="5">
        <v>813</v>
      </c>
      <c r="B4326" s="3"/>
      <c r="C4326" s="3"/>
      <c r="D4326" s="3"/>
      <c r="E4326" s="3"/>
      <c r="F4326" s="3"/>
      <c r="G4326" s="3"/>
      <c r="H4326" s="3"/>
    </row>
    <row r="4327" ht="13.65" customHeight="1">
      <c r="A4327" s="11"/>
      <c r="B4327" s="11"/>
      <c r="C4327" s="11"/>
      <c r="D4327" s="11"/>
      <c r="E4327" s="11"/>
      <c r="F4327" s="11"/>
      <c r="G4327" s="11"/>
      <c r="H4327" s="3"/>
    </row>
    <row r="4328" ht="11.7" customHeight="1">
      <c r="A4328" t="s" s="167">
        <v>136</v>
      </c>
      <c r="B4328" t="s" s="167">
        <v>281</v>
      </c>
      <c r="C4328" t="s" s="167">
        <v>282</v>
      </c>
      <c r="D4328" t="s" s="167">
        <v>118</v>
      </c>
      <c r="E4328" t="s" s="167">
        <v>814</v>
      </c>
      <c r="F4328" t="s" s="167">
        <v>605</v>
      </c>
      <c r="G4328" s="167"/>
      <c r="H4328" s="170"/>
    </row>
    <row r="4329" ht="13.65" customHeight="1">
      <c r="A4329" s="23">
        <v>130</v>
      </c>
      <c r="B4329" s="172" cm="1">
        <f t="array" ref="B4329">SUM(H256)</f>
        <v>2.47496540404041</v>
      </c>
      <c r="C4329" s="172" cm="1">
        <f t="array" ref="C4329">SUM(G4324)</f>
        <v>65.881117990718</v>
      </c>
      <c r="D4329" s="305" cm="1">
        <f t="array" ref="D4329">SUM(A4329*B4329+C4329)</f>
        <v>387.626620515971</v>
      </c>
      <c r="E4329" s="198" cm="1">
        <f t="array" ref="E4329">SUM(D4329)*0.1</f>
        <v>38.7626620515971</v>
      </c>
      <c r="F4329" s="296" cm="1">
        <f t="array" ref="F4329">SUM(D4329:E4329)</f>
        <v>426.389282567568</v>
      </c>
      <c r="G4329" s="306"/>
      <c r="H4329" s="15"/>
    </row>
    <row r="4330" ht="13.65" customHeight="1">
      <c r="A4330" s="31"/>
      <c r="B4330" s="31"/>
      <c r="C4330" s="31"/>
      <c r="D4330" s="307"/>
      <c r="E4330" s="31"/>
      <c r="F4330" s="31"/>
      <c r="G4330" s="31"/>
      <c r="H4330" s="3"/>
    </row>
    <row r="4331" ht="13.65" customHeight="1">
      <c r="A4331" s="203"/>
      <c r="B4331" s="203"/>
      <c r="C4331" s="203"/>
      <c r="D4331" s="203"/>
      <c r="E4331" s="203"/>
      <c r="F4331" s="203"/>
      <c r="G4331" s="203"/>
      <c r="H4331" s="203"/>
    </row>
    <row r="4332" ht="13.65" customHeight="1">
      <c r="A4332" t="s" s="274">
        <v>284</v>
      </c>
      <c r="B4332" s="275"/>
      <c r="C4332" s="275"/>
      <c r="D4332" s="275"/>
      <c r="E4332" s="280"/>
      <c r="F4332" s="275"/>
      <c r="G4332" s="275"/>
      <c r="H4332" s="277"/>
    </row>
    <row r="4333" ht="13.65" customHeight="1">
      <c r="A4333" s="278"/>
      <c r="B4333" s="278"/>
      <c r="C4333" s="278"/>
      <c r="D4333" s="278"/>
      <c r="E4333" s="278"/>
      <c r="F4333" s="278"/>
      <c r="G4333" s="278"/>
      <c r="H4333" s="278"/>
    </row>
    <row r="4334" ht="13.65" customHeight="1">
      <c r="A4334" s="3"/>
      <c r="B4334" s="3"/>
      <c r="C4334" s="3"/>
      <c r="D4334" s="3"/>
      <c r="E4334" s="3"/>
      <c r="F4334" s="3"/>
      <c r="G4334" s="3"/>
      <c r="H4334" s="3"/>
    </row>
    <row r="4335" ht="13.65" customHeight="1">
      <c r="A4335" t="s" s="5">
        <v>816</v>
      </c>
      <c r="B4335" s="3"/>
      <c r="C4335" s="3"/>
      <c r="D4335" s="3"/>
      <c r="E4335" s="3"/>
      <c r="F4335" s="3"/>
      <c r="G4335" s="3"/>
      <c r="H4335" s="3"/>
    </row>
    <row r="4336" ht="13.65" customHeight="1">
      <c r="A4336" s="11"/>
      <c r="B4336" s="11"/>
      <c r="C4336" s="11"/>
      <c r="D4336" s="11"/>
      <c r="E4336" s="11"/>
      <c r="F4336" s="11"/>
      <c r="G4336" s="11"/>
      <c r="H4336" s="3"/>
    </row>
    <row r="4337" ht="13.65" customHeight="1">
      <c r="A4337" s="12"/>
      <c r="B4337" s="12"/>
      <c r="C4337" s="13"/>
      <c r="D4337" s="14"/>
      <c r="E4337" s="13"/>
      <c r="F4337" s="13"/>
      <c r="G4337" t="s" s="14">
        <v>252</v>
      </c>
      <c r="H4337" s="150"/>
    </row>
    <row r="4338" ht="13.65" customHeight="1">
      <c r="A4338" t="s" s="16">
        <v>93</v>
      </c>
      <c r="B4338" t="s" s="16">
        <v>94</v>
      </c>
      <c r="C4338" t="s" s="16">
        <v>95</v>
      </c>
      <c r="D4338" t="s" s="16">
        <v>96</v>
      </c>
      <c r="E4338" t="s" s="16">
        <v>97</v>
      </c>
      <c r="F4338" t="s" s="16">
        <v>98</v>
      </c>
      <c r="G4338" t="s" s="16">
        <v>99</v>
      </c>
      <c r="H4338" s="15"/>
    </row>
    <row r="4339" ht="13.65" customHeight="1">
      <c r="A4339" s="151"/>
      <c r="B4339" s="151"/>
      <c r="C4339" s="19"/>
      <c r="D4339" s="20"/>
      <c r="E4339" s="19"/>
      <c r="F4339" s="19"/>
      <c r="G4339" t="s" s="20">
        <v>100</v>
      </c>
      <c r="H4339" s="15"/>
    </row>
    <row r="4340" ht="13.65" customHeight="1">
      <c r="A4340" s="21">
        <v>72</v>
      </c>
      <c r="B4340" t="s" s="22">
        <v>101</v>
      </c>
      <c r="C4340" s="23">
        <v>50</v>
      </c>
      <c r="D4340" t="s" s="24">
        <v>274</v>
      </c>
      <c r="E4340" s="25">
        <v>1.93</v>
      </c>
      <c r="F4340" s="23">
        <v>12.5</v>
      </c>
      <c r="G4340" s="152" cm="1">
        <f t="array" ref="G4340">SUM(E4340/F4340)</f>
        <v>0.1544</v>
      </c>
      <c r="H4340" s="15"/>
    </row>
    <row r="4341" ht="13.65" customHeight="1">
      <c r="A4341" s="21">
        <v>123</v>
      </c>
      <c r="B4341" t="s" s="22">
        <v>103</v>
      </c>
      <c r="C4341" s="23">
        <v>40</v>
      </c>
      <c r="D4341" t="s" s="24">
        <v>102</v>
      </c>
      <c r="E4341" s="25">
        <v>3.2</v>
      </c>
      <c r="F4341" s="23">
        <v>20</v>
      </c>
      <c r="G4341" s="152" cm="1">
        <f t="array" ref="G4341">SUM(E4341/F4341)</f>
        <v>0.16</v>
      </c>
      <c r="H4341" s="15"/>
    </row>
    <row r="4342" ht="13.65" customHeight="1">
      <c r="A4342" s="21">
        <v>57</v>
      </c>
      <c r="B4342" t="s" s="22">
        <v>253</v>
      </c>
      <c r="C4342" t="s" s="24">
        <v>389</v>
      </c>
      <c r="D4342" t="s" s="24">
        <v>371</v>
      </c>
      <c r="E4342" s="25">
        <v>4.5</v>
      </c>
      <c r="F4342" s="23">
        <v>33</v>
      </c>
      <c r="G4342" s="152" cm="1">
        <f t="array" ref="G4342">SUM(E4342/F4342)</f>
        <v>0.136363636363636</v>
      </c>
      <c r="H4342" s="15"/>
    </row>
    <row r="4343" ht="13.65" customHeight="1">
      <c r="A4343" s="21">
        <v>117</v>
      </c>
      <c r="B4343" t="s" s="22">
        <v>105</v>
      </c>
      <c r="C4343" s="23">
        <v>100</v>
      </c>
      <c r="D4343" t="s" s="24">
        <v>106</v>
      </c>
      <c r="E4343" s="25">
        <v>1.2</v>
      </c>
      <c r="F4343" s="23">
        <v>10</v>
      </c>
      <c r="G4343" s="152" cm="1">
        <f t="array" ref="G4343">SUM(E4343/F4343)</f>
        <v>0.12</v>
      </c>
      <c r="H4343" s="15"/>
    </row>
    <row r="4344" ht="13.65" customHeight="1">
      <c r="A4344" s="21">
        <v>86</v>
      </c>
      <c r="B4344" t="s" s="22">
        <v>107</v>
      </c>
      <c r="C4344" t="s" s="24">
        <v>108</v>
      </c>
      <c r="D4344" t="s" s="24">
        <v>274</v>
      </c>
      <c r="E4344" s="25">
        <v>0.32</v>
      </c>
      <c r="F4344" t="s" s="24">
        <v>803</v>
      </c>
      <c r="G4344" s="152" cm="1">
        <f t="array" ref="G4344">SUM(E4344*4)</f>
        <v>1.28</v>
      </c>
      <c r="H4344" s="15"/>
    </row>
    <row r="4345" ht="13.65" customHeight="1">
      <c r="A4345" s="21">
        <v>71</v>
      </c>
      <c r="B4345" t="s" s="22">
        <v>109</v>
      </c>
      <c r="C4345" s="23">
        <v>10</v>
      </c>
      <c r="D4345" t="s" s="24">
        <v>274</v>
      </c>
      <c r="E4345" s="25">
        <v>5.92</v>
      </c>
      <c r="F4345" s="23">
        <v>2.5</v>
      </c>
      <c r="G4345" s="152" cm="1">
        <f t="array" ref="G4345">SUM(E4345/F4345)</f>
        <v>2.368</v>
      </c>
      <c r="H4345" s="15"/>
    </row>
    <row r="4346" ht="13.65" customHeight="1">
      <c r="A4346" s="21">
        <v>87</v>
      </c>
      <c r="B4346" t="s" s="22">
        <v>110</v>
      </c>
      <c r="C4346" s="23">
        <v>50</v>
      </c>
      <c r="D4346" t="s" s="24">
        <v>274</v>
      </c>
      <c r="E4346" s="25">
        <v>9</v>
      </c>
      <c r="F4346" s="23">
        <v>12.5</v>
      </c>
      <c r="G4346" s="152" cm="1">
        <f t="array" ref="G4346">SUM(E4346/F4346)</f>
        <v>0.72</v>
      </c>
      <c r="H4346" s="15"/>
    </row>
    <row r="4347" ht="13.65" customHeight="1">
      <c r="A4347" s="21">
        <v>55</v>
      </c>
      <c r="B4347" t="s" s="22">
        <v>111</v>
      </c>
      <c r="C4347" t="s" s="24">
        <v>112</v>
      </c>
      <c r="D4347" t="s" s="24">
        <v>461</v>
      </c>
      <c r="E4347" s="25">
        <v>2.71</v>
      </c>
      <c r="F4347" s="23">
        <v>37.5</v>
      </c>
      <c r="G4347" s="152" cm="1">
        <f t="array" ref="G4347">SUM(E4347/F4347)</f>
        <v>0.0722666666666667</v>
      </c>
      <c r="H4347" s="15"/>
    </row>
    <row r="4348" ht="13.65" customHeight="1">
      <c r="A4348" s="21">
        <v>24</v>
      </c>
      <c r="B4348" t="s" s="22">
        <v>531</v>
      </c>
      <c r="C4348" s="23">
        <v>10</v>
      </c>
      <c r="D4348" t="s" s="24">
        <v>104</v>
      </c>
      <c r="E4348" s="25">
        <v>9.6</v>
      </c>
      <c r="F4348" s="23">
        <v>10</v>
      </c>
      <c r="G4348" s="152" cm="1">
        <f t="array" ref="G4348">SUM(E4348/F4348)</f>
        <v>0.96</v>
      </c>
      <c r="H4348" s="15"/>
    </row>
    <row r="4349" ht="13.65" customHeight="1">
      <c r="A4349" s="21">
        <v>101</v>
      </c>
      <c r="B4349" t="s" s="22">
        <v>407</v>
      </c>
      <c r="C4349" t="s" s="24">
        <v>380</v>
      </c>
      <c r="D4349" t="s" s="24">
        <v>537</v>
      </c>
      <c r="E4349" s="25">
        <v>7.5</v>
      </c>
      <c r="F4349" s="23">
        <v>25</v>
      </c>
      <c r="G4349" s="152" cm="1">
        <f t="array" ref="G4349">SUM(E4349/F4349)</f>
        <v>0.3</v>
      </c>
      <c r="H4349" s="15"/>
    </row>
    <row r="4350" ht="13.65" customHeight="1">
      <c r="A4350" s="21">
        <v>19</v>
      </c>
      <c r="B4350" t="s" s="22">
        <v>445</v>
      </c>
      <c r="C4350" s="23">
        <v>6</v>
      </c>
      <c r="D4350" t="s" s="24">
        <v>694</v>
      </c>
      <c r="E4350" s="25">
        <v>5.2</v>
      </c>
      <c r="F4350" s="23">
        <v>10</v>
      </c>
      <c r="G4350" s="152" cm="1">
        <f t="array" ref="G4350">SUM(E4350/F4350)</f>
        <v>0.52</v>
      </c>
      <c r="H4350" s="15"/>
    </row>
    <row r="4351" ht="13.65" customHeight="1">
      <c r="A4351" s="21">
        <v>19</v>
      </c>
      <c r="B4351" t="s" s="22">
        <v>437</v>
      </c>
      <c r="C4351" s="23">
        <v>2</v>
      </c>
      <c r="D4351" t="s" s="24">
        <v>588</v>
      </c>
      <c r="E4351" s="25">
        <v>5.2</v>
      </c>
      <c r="F4351" s="23">
        <v>5</v>
      </c>
      <c r="G4351" s="152" cm="1">
        <f t="array" ref="G4351">SUM(E4351/F4351)</f>
        <v>1.04</v>
      </c>
      <c r="H4351" s="15"/>
    </row>
    <row r="4352" ht="13.65" customHeight="1">
      <c r="A4352" s="21">
        <v>30</v>
      </c>
      <c r="B4352" t="s" s="22">
        <v>589</v>
      </c>
      <c r="C4352" t="s" s="24">
        <v>538</v>
      </c>
      <c r="D4352" t="s" s="24">
        <v>518</v>
      </c>
      <c r="E4352" s="25">
        <v>423</v>
      </c>
      <c r="F4352" s="23">
        <v>40</v>
      </c>
      <c r="G4352" s="152" cm="1">
        <f t="array" ref="G4352">SUM(E4352/F4352)</f>
        <v>10.575</v>
      </c>
      <c r="H4352" s="15"/>
    </row>
    <row r="4353" ht="13.65" customHeight="1">
      <c r="A4353" s="21">
        <v>59</v>
      </c>
      <c r="B4353" t="s" s="22">
        <v>591</v>
      </c>
      <c r="C4353" t="s" s="24">
        <v>592</v>
      </c>
      <c r="D4353" t="s" s="24">
        <v>593</v>
      </c>
      <c r="E4353" s="25">
        <v>18</v>
      </c>
      <c r="F4353" s="23">
        <v>36</v>
      </c>
      <c r="G4353" s="152" cm="1">
        <f t="array" ref="G4353">SUM(E4353/F4353)</f>
        <v>0.5</v>
      </c>
      <c r="H4353" s="15"/>
    </row>
    <row r="4354" ht="13.65" customHeight="1">
      <c r="A4354" s="21">
        <v>27</v>
      </c>
      <c r="B4354" t="s" s="22">
        <v>594</v>
      </c>
      <c r="C4354" s="23">
        <v>18</v>
      </c>
      <c r="D4354" t="s" s="24">
        <v>104</v>
      </c>
      <c r="E4354" s="25">
        <v>6.5</v>
      </c>
      <c r="F4354" s="23">
        <v>18</v>
      </c>
      <c r="G4354" s="152" cm="1">
        <f t="array" ref="G4354">SUM(E4354/F4354)</f>
        <v>0.361111111111111</v>
      </c>
      <c r="H4354" s="15"/>
    </row>
    <row r="4355" ht="13.65" customHeight="1">
      <c r="A4355" s="21">
        <v>120</v>
      </c>
      <c r="B4355" t="s" s="22">
        <v>595</v>
      </c>
      <c r="C4355" t="s" s="24">
        <v>538</v>
      </c>
      <c r="D4355" t="s" s="24">
        <v>401</v>
      </c>
      <c r="E4355" s="25">
        <v>165</v>
      </c>
      <c r="F4355" s="23">
        <v>30</v>
      </c>
      <c r="G4355" s="152" cm="1">
        <f t="array" ref="G4355">SUM(E4355/F4355)</f>
        <v>5.5</v>
      </c>
      <c r="H4355" s="15"/>
    </row>
    <row r="4356" ht="13.65" customHeight="1">
      <c r="A4356" s="21">
        <v>111</v>
      </c>
      <c r="B4356" t="s" s="22">
        <v>476</v>
      </c>
      <c r="C4356" s="23">
        <v>1</v>
      </c>
      <c r="D4356" t="s" s="24">
        <v>401</v>
      </c>
      <c r="E4356" s="25">
        <v>2.7</v>
      </c>
      <c r="F4356" s="23">
        <v>30</v>
      </c>
      <c r="G4356" s="152" cm="1">
        <f t="array" ref="G4356">SUM(E4356/F4356)</f>
        <v>0.09</v>
      </c>
      <c r="H4356" s="15"/>
    </row>
    <row r="4357" ht="13.65" customHeight="1">
      <c r="A4357" s="21">
        <v>49</v>
      </c>
      <c r="B4357" t="s" s="22">
        <v>596</v>
      </c>
      <c r="C4357" s="23">
        <v>100</v>
      </c>
      <c r="D4357" t="s" s="24">
        <v>256</v>
      </c>
      <c r="E4357" s="25">
        <v>132</v>
      </c>
      <c r="F4357" s="23">
        <v>33</v>
      </c>
      <c r="G4357" s="152" cm="1">
        <f t="array" ref="G4357">SUM(E4357/F4357)</f>
        <v>4</v>
      </c>
      <c r="H4357" s="15"/>
    </row>
    <row r="4358" ht="13.65" customHeight="1">
      <c r="A4358" s="21">
        <v>7</v>
      </c>
      <c r="B4358" t="s" s="22">
        <v>477</v>
      </c>
      <c r="C4358" t="s" s="24">
        <v>478</v>
      </c>
      <c r="D4358" t="s" s="24">
        <v>479</v>
      </c>
      <c r="E4358" s="25">
        <v>14</v>
      </c>
      <c r="F4358" s="23">
        <v>10</v>
      </c>
      <c r="G4358" s="152" cm="1">
        <f t="array" ref="G4358">SUM(E4358/F4358)</f>
        <v>1.4</v>
      </c>
      <c r="H4358" s="15"/>
    </row>
    <row r="4359" ht="13.65" customHeight="1">
      <c r="A4359" s="21">
        <v>68</v>
      </c>
      <c r="B4359" t="s" s="22">
        <v>480</v>
      </c>
      <c r="C4359" t="s" s="24">
        <v>481</v>
      </c>
      <c r="D4359" t="s" s="24">
        <v>597</v>
      </c>
      <c r="E4359" s="25">
        <v>16</v>
      </c>
      <c r="F4359" s="23">
        <v>5</v>
      </c>
      <c r="G4359" s="152" cm="1">
        <f t="array" ref="G4359">SUM(E4359/F4359)</f>
        <v>3.2</v>
      </c>
      <c r="H4359" s="15"/>
    </row>
    <row r="4360" ht="13.65" customHeight="1">
      <c r="A4360" s="21">
        <v>69</v>
      </c>
      <c r="B4360" t="s" s="22">
        <v>598</v>
      </c>
      <c r="C4360" t="s" s="24">
        <v>481</v>
      </c>
      <c r="D4360" t="s" s="24">
        <v>597</v>
      </c>
      <c r="E4360" s="25">
        <v>3.5</v>
      </c>
      <c r="F4360" s="23">
        <v>5</v>
      </c>
      <c r="G4360" s="152" cm="1">
        <f t="array" ref="G4360">SUM(E4360/F4360)</f>
        <v>0.7</v>
      </c>
      <c r="H4360" s="15"/>
    </row>
    <row r="4361" ht="13.65" customHeight="1">
      <c r="A4361" s="21">
        <v>76</v>
      </c>
      <c r="B4361" t="s" s="22">
        <v>599</v>
      </c>
      <c r="C4361" t="s" s="24">
        <v>384</v>
      </c>
      <c r="D4361" t="s" s="24">
        <v>418</v>
      </c>
      <c r="E4361" s="25">
        <v>18</v>
      </c>
      <c r="F4361" s="23">
        <v>100</v>
      </c>
      <c r="G4361" s="152" cm="1">
        <f t="array" ref="G4361">SUM(E4361/F4361)</f>
        <v>0.18</v>
      </c>
      <c r="H4361" s="15"/>
    </row>
    <row r="4362" ht="13.65" customHeight="1">
      <c r="A4362" s="21">
        <v>105</v>
      </c>
      <c r="B4362" t="s" s="22">
        <v>600</v>
      </c>
      <c r="C4362" s="23">
        <v>1</v>
      </c>
      <c r="D4362" t="s" s="24">
        <v>104</v>
      </c>
      <c r="E4362" s="25">
        <v>0.35</v>
      </c>
      <c r="F4362" s="23">
        <v>1</v>
      </c>
      <c r="G4362" s="152" cm="1">
        <f t="array" ref="G4362">SUM(E4362/F4362)</f>
        <v>0.35</v>
      </c>
      <c r="H4362" s="15"/>
    </row>
    <row r="4363" ht="13.65" customHeight="1">
      <c r="A4363" s="21">
        <v>48</v>
      </c>
      <c r="B4363" t="s" s="22">
        <v>601</v>
      </c>
      <c r="C4363" s="23">
        <v>1</v>
      </c>
      <c r="D4363" t="s" s="24">
        <v>375</v>
      </c>
      <c r="E4363" s="25">
        <v>1</v>
      </c>
      <c r="F4363" s="23">
        <v>2</v>
      </c>
      <c r="G4363" s="152" cm="1">
        <f t="array" ref="G4363">SUM(E4363/F4363)</f>
        <v>0.5</v>
      </c>
      <c r="H4363" s="15"/>
    </row>
    <row r="4364" ht="13.65" customHeight="1">
      <c r="A4364" s="21">
        <v>131</v>
      </c>
      <c r="B4364" t="s" s="22">
        <v>482</v>
      </c>
      <c r="C4364" s="27"/>
      <c r="D4364" s="24"/>
      <c r="E4364" s="27"/>
      <c r="F4364" s="27"/>
      <c r="G4364" s="152">
        <v>70</v>
      </c>
      <c r="H4364" s="15"/>
    </row>
    <row r="4365" ht="13.65" customHeight="1">
      <c r="A4365" s="28"/>
      <c r="B4365" s="28"/>
      <c r="C4365" s="27"/>
      <c r="D4365" s="24"/>
      <c r="E4365" s="27"/>
      <c r="F4365" t="s" s="29">
        <v>118</v>
      </c>
      <c r="G4365" s="197" cm="1">
        <f t="array" ref="G4365">SUM(G4340:G4364)</f>
        <v>105.187141414141</v>
      </c>
      <c r="H4365" s="15"/>
    </row>
    <row r="4366" ht="13.65" customHeight="1">
      <c r="A4366" s="31"/>
      <c r="B4366" s="31"/>
      <c r="C4366" s="31"/>
      <c r="D4366" s="31"/>
      <c r="E4366" s="31"/>
      <c r="F4366" s="31"/>
      <c r="G4366" s="31"/>
      <c r="H4366" s="3"/>
    </row>
    <row r="4367" ht="13.65" customHeight="1">
      <c r="A4367" t="s" s="5">
        <v>602</v>
      </c>
      <c r="B4367" s="3"/>
      <c r="C4367" s="3"/>
      <c r="D4367" s="3"/>
      <c r="E4367" s="3"/>
      <c r="F4367" s="3"/>
      <c r="G4367" s="3"/>
      <c r="H4367" s="3"/>
    </row>
    <row r="4368" ht="13.65" customHeight="1">
      <c r="A4368" s="11"/>
      <c r="B4368" s="11"/>
      <c r="C4368" s="11"/>
      <c r="D4368" s="11"/>
      <c r="E4368" s="11"/>
      <c r="F4368" s="11"/>
      <c r="G4368" s="11"/>
      <c r="H4368" s="3"/>
    </row>
    <row r="4369" ht="11.7" customHeight="1">
      <c r="A4369" t="s" s="167">
        <v>136</v>
      </c>
      <c r="B4369" t="s" s="167">
        <v>281</v>
      </c>
      <c r="C4369" t="s" s="167">
        <v>282</v>
      </c>
      <c r="D4369" t="s" s="167">
        <v>118</v>
      </c>
      <c r="E4369" t="s" s="167">
        <v>604</v>
      </c>
      <c r="F4369" t="s" s="167">
        <v>605</v>
      </c>
      <c r="G4369" s="167"/>
      <c r="H4369" s="170"/>
    </row>
    <row r="4370" ht="13.65" customHeight="1">
      <c r="A4370" s="23">
        <v>140</v>
      </c>
      <c r="B4370" s="172" cm="1">
        <f t="array" ref="B4370">SUM(H256)</f>
        <v>2.47496540404041</v>
      </c>
      <c r="C4370" s="172" cm="1">
        <f t="array" ref="C4370">SUM(G4365)</f>
        <v>105.187141414141</v>
      </c>
      <c r="D4370" s="305" cm="1">
        <f t="array" ref="D4370">SUM(A4370*B4370+C4370)</f>
        <v>451.682297979798</v>
      </c>
      <c r="E4370" s="198" cm="1">
        <f t="array" ref="E4370">SUM(D4370)*0.2</f>
        <v>90.3364595959596</v>
      </c>
      <c r="F4370" s="296" cm="1">
        <f t="array" ref="F4370">SUM(D4370:E4370)</f>
        <v>542.0187575757579</v>
      </c>
      <c r="G4370" s="306"/>
      <c r="H4370" s="15"/>
    </row>
    <row r="4371" ht="13.65" customHeight="1">
      <c r="A4371" s="31"/>
      <c r="B4371" s="31"/>
      <c r="C4371" s="31"/>
      <c r="D4371" s="31"/>
      <c r="E4371" s="31"/>
      <c r="F4371" s="31"/>
      <c r="G4371" s="31"/>
      <c r="H4371" s="3"/>
    </row>
    <row r="4372" ht="13.65" customHeight="1">
      <c r="A4372" s="203"/>
      <c r="B4372" s="203"/>
      <c r="C4372" s="203"/>
      <c r="D4372" s="203"/>
      <c r="E4372" s="203"/>
      <c r="F4372" s="203"/>
      <c r="G4372" s="203"/>
      <c r="H4372" s="203"/>
    </row>
    <row r="4373" ht="13.65" customHeight="1">
      <c r="A4373" t="s" s="274">
        <v>185</v>
      </c>
      <c r="B4373" s="275"/>
      <c r="C4373" s="275"/>
      <c r="D4373" s="275"/>
      <c r="E4373" s="280"/>
      <c r="F4373" s="275"/>
      <c r="G4373" s="275"/>
      <c r="H4373" s="277"/>
    </row>
    <row r="4374" ht="13.65" customHeight="1">
      <c r="A4374" s="278"/>
      <c r="B4374" s="278"/>
      <c r="C4374" s="278"/>
      <c r="D4374" s="278"/>
      <c r="E4374" s="278"/>
      <c r="F4374" s="278"/>
      <c r="G4374" s="278"/>
      <c r="H4374" s="278"/>
    </row>
    <row r="4375" ht="13.65" customHeight="1">
      <c r="A4375" s="3"/>
      <c r="B4375" s="3"/>
      <c r="C4375" s="3"/>
      <c r="D4375" s="3"/>
      <c r="E4375" s="3"/>
      <c r="F4375" s="3"/>
      <c r="G4375" s="3"/>
      <c r="H4375" s="3"/>
    </row>
    <row r="4376" ht="13.65" customHeight="1">
      <c r="A4376" t="s" s="5">
        <v>817</v>
      </c>
      <c r="B4376" s="3"/>
      <c r="C4376" s="3"/>
      <c r="D4376" s="3"/>
      <c r="E4376" s="3"/>
      <c r="F4376" s="3"/>
      <c r="G4376" s="3"/>
      <c r="H4376" s="3"/>
    </row>
    <row r="4377" ht="13.65" customHeight="1">
      <c r="A4377" s="11"/>
      <c r="B4377" s="11"/>
      <c r="C4377" s="11"/>
      <c r="D4377" s="11"/>
      <c r="E4377" s="11"/>
      <c r="F4377" s="11"/>
      <c r="G4377" s="11"/>
      <c r="H4377" s="3"/>
    </row>
    <row r="4378" ht="13.65" customHeight="1">
      <c r="A4378" s="12"/>
      <c r="B4378" s="12"/>
      <c r="C4378" s="13"/>
      <c r="D4378" s="14"/>
      <c r="E4378" s="13"/>
      <c r="F4378" s="13"/>
      <c r="G4378" t="s" s="14">
        <v>252</v>
      </c>
      <c r="H4378" s="150"/>
    </row>
    <row r="4379" ht="13.65" customHeight="1">
      <c r="A4379" t="s" s="16">
        <v>93</v>
      </c>
      <c r="B4379" t="s" s="16">
        <v>94</v>
      </c>
      <c r="C4379" t="s" s="16">
        <v>95</v>
      </c>
      <c r="D4379" t="s" s="16">
        <v>96</v>
      </c>
      <c r="E4379" t="s" s="16">
        <v>97</v>
      </c>
      <c r="F4379" t="s" s="16">
        <v>98</v>
      </c>
      <c r="G4379" t="s" s="16">
        <v>99</v>
      </c>
      <c r="H4379" s="15"/>
    </row>
    <row r="4380" ht="13.65" customHeight="1">
      <c r="A4380" s="151"/>
      <c r="B4380" s="151"/>
      <c r="C4380" s="19"/>
      <c r="D4380" s="20"/>
      <c r="E4380" s="19"/>
      <c r="F4380" s="19"/>
      <c r="G4380" t="s" s="20">
        <v>100</v>
      </c>
      <c r="H4380" s="15"/>
    </row>
    <row r="4381" ht="13.65" customHeight="1">
      <c r="A4381" s="21">
        <v>72</v>
      </c>
      <c r="B4381" t="s" s="22">
        <v>101</v>
      </c>
      <c r="C4381" s="23">
        <v>50</v>
      </c>
      <c r="D4381" t="s" s="24">
        <v>274</v>
      </c>
      <c r="E4381" s="25">
        <v>1.93</v>
      </c>
      <c r="F4381" s="23">
        <v>12.5</v>
      </c>
      <c r="G4381" s="152" cm="1">
        <f t="array" ref="G4381">SUM(E4381/F4381)</f>
        <v>0.1544</v>
      </c>
      <c r="H4381" s="15"/>
    </row>
    <row r="4382" ht="13.65" customHeight="1">
      <c r="A4382" s="21">
        <v>123</v>
      </c>
      <c r="B4382" t="s" s="22">
        <v>103</v>
      </c>
      <c r="C4382" s="23">
        <v>40</v>
      </c>
      <c r="D4382" t="s" s="24">
        <v>102</v>
      </c>
      <c r="E4382" s="25">
        <v>3.2</v>
      </c>
      <c r="F4382" s="23">
        <v>2</v>
      </c>
      <c r="G4382" s="152" cm="1">
        <f t="array" ref="G4382">SUM(E4382/F4382)</f>
        <v>1.6</v>
      </c>
      <c r="H4382" s="15"/>
    </row>
    <row r="4383" ht="13.65" customHeight="1">
      <c r="A4383" s="21">
        <v>57</v>
      </c>
      <c r="B4383" t="s" s="22">
        <v>253</v>
      </c>
      <c r="C4383" t="s" s="24">
        <v>389</v>
      </c>
      <c r="D4383" t="s" s="24">
        <v>371</v>
      </c>
      <c r="E4383" s="25">
        <v>4.5</v>
      </c>
      <c r="F4383" s="23">
        <v>33</v>
      </c>
      <c r="G4383" s="152" cm="1">
        <f t="array" ref="G4383">SUM(E4383/F4383)</f>
        <v>0.136363636363636</v>
      </c>
      <c r="H4383" s="15"/>
    </row>
    <row r="4384" ht="13.65" customHeight="1">
      <c r="A4384" s="21">
        <v>117</v>
      </c>
      <c r="B4384" t="s" s="22">
        <v>105</v>
      </c>
      <c r="C4384" s="23">
        <v>100</v>
      </c>
      <c r="D4384" t="s" s="24">
        <v>106</v>
      </c>
      <c r="E4384" s="25">
        <v>1.2</v>
      </c>
      <c r="F4384" s="23">
        <v>10</v>
      </c>
      <c r="G4384" s="152" cm="1">
        <f t="array" ref="G4384">SUM(E4384/F4384)</f>
        <v>0.12</v>
      </c>
      <c r="H4384" s="15"/>
    </row>
    <row r="4385" ht="13.65" customHeight="1">
      <c r="A4385" s="21">
        <v>86</v>
      </c>
      <c r="B4385" t="s" s="22">
        <v>107</v>
      </c>
      <c r="C4385" t="s" s="24">
        <v>108</v>
      </c>
      <c r="D4385" t="s" s="24">
        <v>274</v>
      </c>
      <c r="E4385" s="25">
        <v>0.32</v>
      </c>
      <c r="F4385" t="s" s="24">
        <v>301</v>
      </c>
      <c r="G4385" s="152" cm="1">
        <f t="array" ref="G4385">SUM(E4385*4)</f>
        <v>1.28</v>
      </c>
      <c r="H4385" s="15"/>
    </row>
    <row r="4386" ht="13.65" customHeight="1">
      <c r="A4386" s="21">
        <v>71</v>
      </c>
      <c r="B4386" t="s" s="22">
        <v>109</v>
      </c>
      <c r="C4386" s="23">
        <v>10</v>
      </c>
      <c r="D4386" t="s" s="24">
        <v>274</v>
      </c>
      <c r="E4386" s="25">
        <v>5.92</v>
      </c>
      <c r="F4386" s="23">
        <v>2.5</v>
      </c>
      <c r="G4386" s="152" cm="1">
        <f t="array" ref="G4386">SUM(E4386/F4386)</f>
        <v>2.368</v>
      </c>
      <c r="H4386" s="15"/>
    </row>
    <row r="4387" ht="13.65" customHeight="1">
      <c r="A4387" s="21">
        <v>87</v>
      </c>
      <c r="B4387" t="s" s="22">
        <v>110</v>
      </c>
      <c r="C4387" s="23">
        <v>50</v>
      </c>
      <c r="D4387" t="s" s="24">
        <v>274</v>
      </c>
      <c r="E4387" s="25">
        <v>9</v>
      </c>
      <c r="F4387" s="23">
        <v>12.5</v>
      </c>
      <c r="G4387" s="152" cm="1">
        <f t="array" ref="G4387">SUM(E4387/F4387)</f>
        <v>0.72</v>
      </c>
      <c r="H4387" s="15"/>
    </row>
    <row r="4388" ht="13.65" customHeight="1">
      <c r="A4388" s="21">
        <v>55</v>
      </c>
      <c r="B4388" t="s" s="22">
        <v>111</v>
      </c>
      <c r="C4388" t="s" s="24">
        <v>112</v>
      </c>
      <c r="D4388" t="s" s="24">
        <v>642</v>
      </c>
      <c r="E4388" s="25">
        <v>2.71</v>
      </c>
      <c r="F4388" s="23">
        <v>37</v>
      </c>
      <c r="G4388" s="152" cm="1">
        <f t="array" ref="G4388">SUM(E4388/F4388)</f>
        <v>0.0732432432432432</v>
      </c>
      <c r="H4388" s="15"/>
    </row>
    <row r="4389" ht="13.65" customHeight="1">
      <c r="A4389" s="21">
        <v>24</v>
      </c>
      <c r="B4389" t="s" s="22">
        <v>531</v>
      </c>
      <c r="C4389" s="23">
        <v>10</v>
      </c>
      <c r="D4389" t="s" s="24">
        <v>104</v>
      </c>
      <c r="E4389" s="25">
        <v>9.6</v>
      </c>
      <c r="F4389" s="23">
        <v>10</v>
      </c>
      <c r="G4389" s="152" cm="1">
        <f t="array" ref="G4389">SUM(E4389/F4389)</f>
        <v>0.96</v>
      </c>
      <c r="H4389" s="15"/>
    </row>
    <row r="4390" ht="13.65" customHeight="1">
      <c r="A4390" s="21">
        <v>19</v>
      </c>
      <c r="B4390" t="s" s="22">
        <v>445</v>
      </c>
      <c r="C4390" s="23">
        <v>6</v>
      </c>
      <c r="D4390" t="s" s="24">
        <v>694</v>
      </c>
      <c r="E4390" s="25">
        <v>5.2</v>
      </c>
      <c r="F4390" s="23">
        <v>10</v>
      </c>
      <c r="G4390" s="152" cm="1">
        <f t="array" ref="G4390">SUM(E4390/F4390)</f>
        <v>0.52</v>
      </c>
      <c r="H4390" s="15"/>
    </row>
    <row r="4391" ht="13.65" customHeight="1">
      <c r="A4391" s="21">
        <v>19</v>
      </c>
      <c r="B4391" t="s" s="22">
        <v>437</v>
      </c>
      <c r="C4391" s="23">
        <v>2</v>
      </c>
      <c r="D4391" t="s" s="24">
        <v>640</v>
      </c>
      <c r="E4391" s="25">
        <v>5.2</v>
      </c>
      <c r="F4391" s="23">
        <v>5</v>
      </c>
      <c r="G4391" s="152" cm="1">
        <f t="array" ref="G4391">SUM(E4391/F4391)</f>
        <v>1.04</v>
      </c>
      <c r="H4391" s="15"/>
    </row>
    <row r="4392" ht="13.65" customHeight="1">
      <c r="A4392" s="21">
        <v>139</v>
      </c>
      <c r="B4392" t="s" s="22">
        <v>818</v>
      </c>
      <c r="C4392" t="s" s="24">
        <v>432</v>
      </c>
      <c r="D4392" t="s" s="24">
        <v>495</v>
      </c>
      <c r="E4392" s="25">
        <v>15</v>
      </c>
      <c r="F4392" s="23">
        <v>20</v>
      </c>
      <c r="G4392" s="152" cm="1">
        <f t="array" ref="G4392">SUM(E4392/F4392)</f>
        <v>0.75</v>
      </c>
      <c r="H4392" s="15"/>
    </row>
    <row r="4393" ht="13.65" customHeight="1">
      <c r="A4393" s="21">
        <v>59</v>
      </c>
      <c r="B4393" t="s" s="22">
        <v>591</v>
      </c>
      <c r="C4393" t="s" s="24">
        <v>592</v>
      </c>
      <c r="D4393" t="s" s="24">
        <v>593</v>
      </c>
      <c r="E4393" s="25">
        <v>18</v>
      </c>
      <c r="F4393" s="23">
        <v>36</v>
      </c>
      <c r="G4393" s="152" cm="1">
        <f t="array" ref="G4393">SUM(E4393/F4393)</f>
        <v>0.5</v>
      </c>
      <c r="H4393" s="15"/>
    </row>
    <row r="4394" ht="13.65" customHeight="1">
      <c r="A4394" s="21">
        <v>27</v>
      </c>
      <c r="B4394" t="s" s="22">
        <v>474</v>
      </c>
      <c r="C4394" s="23">
        <v>18</v>
      </c>
      <c r="D4394" t="s" s="24">
        <v>104</v>
      </c>
      <c r="E4394" s="25">
        <v>6.5</v>
      </c>
      <c r="F4394" s="23">
        <v>18</v>
      </c>
      <c r="G4394" s="152" cm="1">
        <f t="array" ref="G4394">SUM(E4394/F4394)</f>
        <v>0.361111111111111</v>
      </c>
      <c r="H4394" s="15"/>
    </row>
    <row r="4395" ht="13.65" customHeight="1">
      <c r="A4395" s="21">
        <v>49</v>
      </c>
      <c r="B4395" t="s" s="22">
        <v>706</v>
      </c>
      <c r="C4395" s="23">
        <v>120</v>
      </c>
      <c r="D4395" t="s" s="24">
        <v>256</v>
      </c>
      <c r="E4395" s="25">
        <v>132</v>
      </c>
      <c r="F4395" s="23">
        <v>40</v>
      </c>
      <c r="G4395" s="152" cm="1">
        <f t="array" ref="G4395">SUM(E4395/F4395)</f>
        <v>3.3</v>
      </c>
      <c r="H4395" s="15"/>
    </row>
    <row r="4396" ht="13.65" customHeight="1">
      <c r="A4396" s="21">
        <v>120</v>
      </c>
      <c r="B4396" t="s" s="22">
        <v>799</v>
      </c>
      <c r="C4396" t="s" s="24">
        <v>538</v>
      </c>
      <c r="D4396" t="s" s="24">
        <v>401</v>
      </c>
      <c r="E4396" s="25">
        <v>165</v>
      </c>
      <c r="F4396" s="23">
        <v>30</v>
      </c>
      <c r="G4396" s="152" cm="1">
        <f t="array" ref="G4396">SUM(E4396/F4396)</f>
        <v>5.5</v>
      </c>
      <c r="H4396" s="15"/>
    </row>
    <row r="4397" ht="13.65" customHeight="1">
      <c r="A4397" s="21">
        <v>111</v>
      </c>
      <c r="B4397" t="s" s="22">
        <v>476</v>
      </c>
      <c r="C4397" s="23">
        <v>1</v>
      </c>
      <c r="D4397" t="s" s="24">
        <v>401</v>
      </c>
      <c r="E4397" s="25">
        <v>2.7</v>
      </c>
      <c r="F4397" s="23">
        <v>30</v>
      </c>
      <c r="G4397" s="152" cm="1">
        <f t="array" ref="G4397">SUM(E4397/F4397)</f>
        <v>0.09</v>
      </c>
      <c r="H4397" s="15"/>
    </row>
    <row r="4398" ht="13.65" customHeight="1">
      <c r="A4398" s="21">
        <v>7</v>
      </c>
      <c r="B4398" t="s" s="22">
        <v>477</v>
      </c>
      <c r="C4398" t="s" s="24">
        <v>478</v>
      </c>
      <c r="D4398" t="s" s="24">
        <v>479</v>
      </c>
      <c r="E4398" s="25">
        <v>14</v>
      </c>
      <c r="F4398" s="23">
        <v>10</v>
      </c>
      <c r="G4398" s="152" cm="1">
        <f t="array" ref="G4398">SUM(E4398/F4398)</f>
        <v>1.4</v>
      </c>
      <c r="H4398" s="15"/>
    </row>
    <row r="4399" ht="13.65" customHeight="1">
      <c r="A4399" s="21">
        <v>68</v>
      </c>
      <c r="B4399" t="s" s="22">
        <v>480</v>
      </c>
      <c r="C4399" t="s" s="24">
        <v>481</v>
      </c>
      <c r="D4399" t="s" s="24">
        <v>597</v>
      </c>
      <c r="E4399" s="25">
        <v>16</v>
      </c>
      <c r="F4399" s="23">
        <v>5</v>
      </c>
      <c r="G4399" s="152" cm="1">
        <f t="array" ref="G4399">SUM(E4399/F4399)</f>
        <v>3.2</v>
      </c>
      <c r="H4399" s="15"/>
    </row>
    <row r="4400" ht="13.65" customHeight="1">
      <c r="A4400" s="21">
        <v>69</v>
      </c>
      <c r="B4400" t="s" s="22">
        <v>598</v>
      </c>
      <c r="C4400" t="s" s="24">
        <v>481</v>
      </c>
      <c r="D4400" t="s" s="24">
        <v>597</v>
      </c>
      <c r="E4400" s="25">
        <v>3.5</v>
      </c>
      <c r="F4400" s="23">
        <v>5</v>
      </c>
      <c r="G4400" s="152" cm="1">
        <f t="array" ref="G4400">SUM(E4400/F4400)</f>
        <v>0.7</v>
      </c>
      <c r="H4400" s="15"/>
    </row>
    <row r="4401" ht="13.65" customHeight="1">
      <c r="A4401" s="21">
        <v>76</v>
      </c>
      <c r="B4401" t="s" s="22">
        <v>599</v>
      </c>
      <c r="C4401" t="s" s="24">
        <v>384</v>
      </c>
      <c r="D4401" t="s" s="24">
        <v>418</v>
      </c>
      <c r="E4401" s="25">
        <v>18</v>
      </c>
      <c r="F4401" s="23">
        <v>100</v>
      </c>
      <c r="G4401" s="152" cm="1">
        <f t="array" ref="G4401">SUM(E4401/F4401)</f>
        <v>0.18</v>
      </c>
      <c r="H4401" s="15"/>
    </row>
    <row r="4402" ht="13.65" customHeight="1">
      <c r="A4402" s="21">
        <v>48</v>
      </c>
      <c r="B4402" t="s" s="22">
        <v>710</v>
      </c>
      <c r="C4402" s="23">
        <v>1</v>
      </c>
      <c r="D4402" t="s" s="24">
        <v>277</v>
      </c>
      <c r="E4402" s="25">
        <v>1</v>
      </c>
      <c r="F4402" s="23">
        <v>2</v>
      </c>
      <c r="G4402" s="152" cm="1">
        <f t="array" ref="G4402">SUM(E4402/F4402)</f>
        <v>0.5</v>
      </c>
      <c r="H4402" s="15"/>
    </row>
    <row r="4403" ht="13.65" customHeight="1">
      <c r="A4403" s="21">
        <v>101</v>
      </c>
      <c r="B4403" t="s" s="22">
        <v>407</v>
      </c>
      <c r="C4403" t="s" s="24">
        <v>380</v>
      </c>
      <c r="D4403" t="s" s="24">
        <v>408</v>
      </c>
      <c r="E4403" s="25">
        <v>7.5</v>
      </c>
      <c r="F4403" s="23">
        <v>50</v>
      </c>
      <c r="G4403" s="152" cm="1">
        <f t="array" ref="G4403">SUM(E4403/F4403)</f>
        <v>0.15</v>
      </c>
      <c r="H4403" s="15"/>
    </row>
    <row r="4404" ht="13.65" customHeight="1">
      <c r="A4404" s="21">
        <v>105</v>
      </c>
      <c r="B4404" t="s" s="22">
        <v>600</v>
      </c>
      <c r="C4404" s="23">
        <v>1</v>
      </c>
      <c r="D4404" t="s" s="24">
        <v>104</v>
      </c>
      <c r="E4404" s="25">
        <v>0.35</v>
      </c>
      <c r="F4404" s="23">
        <v>1</v>
      </c>
      <c r="G4404" s="152" cm="1">
        <f t="array" ref="G4404">SUM(E4404/F4404)</f>
        <v>0.35</v>
      </c>
      <c r="H4404" s="15"/>
    </row>
    <row r="4405" ht="13.65" customHeight="1">
      <c r="A4405" s="21">
        <v>131</v>
      </c>
      <c r="B4405" t="s" s="22">
        <v>482</v>
      </c>
      <c r="C4405" s="27"/>
      <c r="D4405" s="24"/>
      <c r="E4405" s="27"/>
      <c r="F4405" s="27"/>
      <c r="G4405" s="152">
        <v>100</v>
      </c>
      <c r="H4405" s="15"/>
    </row>
    <row r="4406" ht="13.65" customHeight="1">
      <c r="A4406" s="28"/>
      <c r="B4406" s="28"/>
      <c r="C4406" s="27"/>
      <c r="D4406" s="24"/>
      <c r="E4406" s="27"/>
      <c r="F4406" t="s" s="29">
        <v>118</v>
      </c>
      <c r="G4406" s="197" cm="1">
        <f t="array" ref="G4406">SUM(G4381:G4405)</f>
        <v>125.953117990718</v>
      </c>
      <c r="H4406" s="15"/>
    </row>
    <row r="4407" ht="13.65" customHeight="1">
      <c r="A4407" s="31"/>
      <c r="B4407" s="31"/>
      <c r="C4407" s="31"/>
      <c r="D4407" s="31"/>
      <c r="E4407" s="31"/>
      <c r="F4407" s="31"/>
      <c r="G4407" s="31"/>
      <c r="H4407" s="3"/>
    </row>
    <row r="4408" ht="13.65" customHeight="1">
      <c r="A4408" t="s" s="5">
        <v>809</v>
      </c>
      <c r="B4408" s="3"/>
      <c r="C4408" s="3"/>
      <c r="D4408" s="3"/>
      <c r="E4408" s="3"/>
      <c r="F4408" s="3"/>
      <c r="G4408" s="3"/>
      <c r="H4408" s="3"/>
    </row>
    <row r="4409" ht="13.65" customHeight="1">
      <c r="A4409" s="11"/>
      <c r="B4409" s="11"/>
      <c r="C4409" s="11"/>
      <c r="D4409" s="11"/>
      <c r="E4409" s="11"/>
      <c r="F4409" s="11"/>
      <c r="G4409" s="11"/>
      <c r="H4409" s="3"/>
    </row>
    <row r="4410" ht="11.7" customHeight="1">
      <c r="A4410" t="s" s="167">
        <v>136</v>
      </c>
      <c r="B4410" t="s" s="167">
        <v>281</v>
      </c>
      <c r="C4410" t="s" s="167">
        <v>282</v>
      </c>
      <c r="D4410" t="s" s="167">
        <v>118</v>
      </c>
      <c r="E4410" t="s" s="167">
        <v>810</v>
      </c>
      <c r="F4410" t="s" s="167">
        <v>605</v>
      </c>
      <c r="G4410" s="167"/>
      <c r="H4410" s="170"/>
    </row>
    <row r="4411" ht="13.65" customHeight="1">
      <c r="A4411" s="23">
        <v>270</v>
      </c>
      <c r="B4411" s="172" cm="1">
        <f t="array" ref="B4411">SUM(H256)</f>
        <v>2.47496540404041</v>
      </c>
      <c r="C4411" s="172" cm="1">
        <f t="array" ref="C4411">SUM(G4406)</f>
        <v>125.953117990718</v>
      </c>
      <c r="D4411" s="308" cm="1">
        <f t="array" ref="D4411">SUM(A4411*B4411+C4411)</f>
        <v>794.193777081629</v>
      </c>
      <c r="E4411" s="198" cm="1">
        <f t="array" ref="E4411">SUM(D4411)*0.15</f>
        <v>119.129066562244</v>
      </c>
      <c r="F4411" s="154" cm="1">
        <f t="array" ref="F4411">SUM(D4411:E4411)</f>
        <v>913.3228436438729</v>
      </c>
      <c r="G4411" s="154"/>
      <c r="H4411" s="15"/>
    </row>
    <row r="4412" ht="13.65" customHeight="1">
      <c r="A4412" s="31"/>
      <c r="B4412" s="31"/>
      <c r="C4412" s="31"/>
      <c r="D4412" s="31"/>
      <c r="E4412" s="31"/>
      <c r="F4412" s="31"/>
      <c r="G4412" s="31"/>
      <c r="H4412" s="3"/>
    </row>
    <row r="4413" ht="13.65" customHeight="1">
      <c r="A4413" s="203"/>
      <c r="B4413" s="203"/>
      <c r="C4413" s="203"/>
      <c r="D4413" s="203"/>
      <c r="E4413" s="203"/>
      <c r="F4413" s="203"/>
      <c r="G4413" s="203"/>
      <c r="H4413" s="203"/>
    </row>
    <row r="4414" ht="13.65" customHeight="1">
      <c r="A4414" t="s" s="274">
        <v>185</v>
      </c>
      <c r="B4414" s="275"/>
      <c r="C4414" s="275"/>
      <c r="D4414" s="275"/>
      <c r="E4414" s="280"/>
      <c r="F4414" s="275"/>
      <c r="G4414" s="275"/>
      <c r="H4414" s="277"/>
    </row>
    <row r="4415" ht="13.65" customHeight="1">
      <c r="A4415" s="278"/>
      <c r="B4415" s="278"/>
      <c r="C4415" s="278"/>
      <c r="D4415" s="278"/>
      <c r="E4415" s="278"/>
      <c r="F4415" s="278"/>
      <c r="G4415" s="278"/>
      <c r="H4415" s="278"/>
    </row>
    <row r="4416" ht="13.65" customHeight="1">
      <c r="A4416" s="3"/>
      <c r="B4416" s="3"/>
      <c r="C4416" s="3"/>
      <c r="D4416" s="3"/>
      <c r="E4416" s="3"/>
      <c r="F4416" s="3"/>
      <c r="G4416" s="3"/>
      <c r="H4416" s="3"/>
    </row>
    <row r="4417" ht="13.65" customHeight="1">
      <c r="A4417" t="s" s="5">
        <v>819</v>
      </c>
      <c r="B4417" s="3"/>
      <c r="C4417" s="3"/>
      <c r="D4417" s="3"/>
      <c r="E4417" s="3"/>
      <c r="F4417" s="3"/>
      <c r="G4417" s="3"/>
      <c r="H4417" s="3"/>
    </row>
    <row r="4418" ht="13.65" customHeight="1">
      <c r="A4418" s="11"/>
      <c r="B4418" s="11"/>
      <c r="C4418" s="11"/>
      <c r="D4418" s="11"/>
      <c r="E4418" s="11"/>
      <c r="F4418" s="11"/>
      <c r="G4418" s="11"/>
      <c r="H4418" s="3"/>
    </row>
    <row r="4419" ht="13.65" customHeight="1">
      <c r="A4419" s="12"/>
      <c r="B4419" s="12"/>
      <c r="C4419" s="13"/>
      <c r="D4419" s="14"/>
      <c r="E4419" s="13"/>
      <c r="F4419" s="13"/>
      <c r="G4419" t="s" s="14">
        <v>252</v>
      </c>
      <c r="H4419" s="150"/>
    </row>
    <row r="4420" ht="13.65" customHeight="1">
      <c r="A4420" t="s" s="16">
        <v>93</v>
      </c>
      <c r="B4420" t="s" s="16">
        <v>94</v>
      </c>
      <c r="C4420" t="s" s="16">
        <v>95</v>
      </c>
      <c r="D4420" t="s" s="16">
        <v>96</v>
      </c>
      <c r="E4420" t="s" s="16">
        <v>97</v>
      </c>
      <c r="F4420" t="s" s="16">
        <v>98</v>
      </c>
      <c r="G4420" t="s" s="16">
        <v>99</v>
      </c>
      <c r="H4420" s="15"/>
    </row>
    <row r="4421" ht="13.65" customHeight="1">
      <c r="A4421" s="151"/>
      <c r="B4421" s="151"/>
      <c r="C4421" s="19"/>
      <c r="D4421" s="20"/>
      <c r="E4421" s="19"/>
      <c r="F4421" s="19"/>
      <c r="G4421" t="s" s="20">
        <v>100</v>
      </c>
      <c r="H4421" s="15"/>
    </row>
    <row r="4422" ht="13.65" customHeight="1">
      <c r="A4422" s="21">
        <v>72</v>
      </c>
      <c r="B4422" t="s" s="22">
        <v>101</v>
      </c>
      <c r="C4422" s="23">
        <v>50</v>
      </c>
      <c r="D4422" t="s" s="24">
        <v>274</v>
      </c>
      <c r="E4422" s="25">
        <v>1.93</v>
      </c>
      <c r="F4422" s="23">
        <v>12.5</v>
      </c>
      <c r="G4422" s="152" cm="1">
        <f t="array" ref="G4422">SUM(E4422/F4422)</f>
        <v>0.1544</v>
      </c>
      <c r="H4422" s="15"/>
    </row>
    <row r="4423" ht="13.65" customHeight="1">
      <c r="A4423" s="21">
        <v>123</v>
      </c>
      <c r="B4423" t="s" s="22">
        <v>103</v>
      </c>
      <c r="C4423" s="23">
        <v>40</v>
      </c>
      <c r="D4423" t="s" s="24">
        <v>102</v>
      </c>
      <c r="E4423" s="25">
        <v>3.2</v>
      </c>
      <c r="F4423" s="23">
        <v>2</v>
      </c>
      <c r="G4423" s="152" cm="1">
        <f t="array" ref="G4423">SUM(E4423/F4423)</f>
        <v>1.6</v>
      </c>
      <c r="H4423" s="15"/>
    </row>
    <row r="4424" ht="13.65" customHeight="1">
      <c r="A4424" s="21">
        <v>57</v>
      </c>
      <c r="B4424" t="s" s="22">
        <v>253</v>
      </c>
      <c r="C4424" t="s" s="24">
        <v>389</v>
      </c>
      <c r="D4424" t="s" s="24">
        <v>371</v>
      </c>
      <c r="E4424" s="25">
        <v>4.5</v>
      </c>
      <c r="F4424" s="23">
        <v>33</v>
      </c>
      <c r="G4424" s="152" cm="1">
        <f t="array" ref="G4424">SUM(E4424/F4424)</f>
        <v>0.136363636363636</v>
      </c>
      <c r="H4424" s="15"/>
    </row>
    <row r="4425" ht="13.65" customHeight="1">
      <c r="A4425" s="21">
        <v>117</v>
      </c>
      <c r="B4425" t="s" s="22">
        <v>105</v>
      </c>
      <c r="C4425" s="23">
        <v>100</v>
      </c>
      <c r="D4425" t="s" s="24">
        <v>106</v>
      </c>
      <c r="E4425" s="25">
        <v>1.2</v>
      </c>
      <c r="F4425" s="23">
        <v>10</v>
      </c>
      <c r="G4425" s="152" cm="1">
        <f t="array" ref="G4425">SUM(E4425/F4425)</f>
        <v>0.12</v>
      </c>
      <c r="H4425" s="15"/>
    </row>
    <row r="4426" ht="13.65" customHeight="1">
      <c r="A4426" s="21">
        <v>86</v>
      </c>
      <c r="B4426" t="s" s="22">
        <v>107</v>
      </c>
      <c r="C4426" t="s" s="24">
        <v>108</v>
      </c>
      <c r="D4426" t="s" s="24">
        <v>274</v>
      </c>
      <c r="E4426" s="25">
        <v>0.32</v>
      </c>
      <c r="F4426" t="s" s="24">
        <v>301</v>
      </c>
      <c r="G4426" s="152" cm="1">
        <f t="array" ref="G4426">SUM(E4426*4)</f>
        <v>1.28</v>
      </c>
      <c r="H4426" s="15"/>
    </row>
    <row r="4427" ht="13.65" customHeight="1">
      <c r="A4427" s="21">
        <v>71</v>
      </c>
      <c r="B4427" t="s" s="22">
        <v>109</v>
      </c>
      <c r="C4427" s="23">
        <v>10</v>
      </c>
      <c r="D4427" t="s" s="24">
        <v>274</v>
      </c>
      <c r="E4427" s="25">
        <v>5.92</v>
      </c>
      <c r="F4427" s="23">
        <v>2.5</v>
      </c>
      <c r="G4427" s="152" cm="1">
        <f t="array" ref="G4427">SUM(E4427/F4427)</f>
        <v>2.368</v>
      </c>
      <c r="H4427" s="15"/>
    </row>
    <row r="4428" ht="13.65" customHeight="1">
      <c r="A4428" s="21">
        <v>87</v>
      </c>
      <c r="B4428" t="s" s="22">
        <v>110</v>
      </c>
      <c r="C4428" s="23">
        <v>50</v>
      </c>
      <c r="D4428" t="s" s="24">
        <v>274</v>
      </c>
      <c r="E4428" s="25">
        <v>9</v>
      </c>
      <c r="F4428" s="23">
        <v>12.5</v>
      </c>
      <c r="G4428" s="152" cm="1">
        <f t="array" ref="G4428">SUM(E4428/F4428)</f>
        <v>0.72</v>
      </c>
      <c r="H4428" s="15"/>
    </row>
    <row r="4429" ht="13.65" customHeight="1">
      <c r="A4429" s="21">
        <v>55</v>
      </c>
      <c r="B4429" t="s" s="22">
        <v>111</v>
      </c>
      <c r="C4429" t="s" s="24">
        <v>112</v>
      </c>
      <c r="D4429" t="s" s="24">
        <v>461</v>
      </c>
      <c r="E4429" s="25">
        <v>2.71</v>
      </c>
      <c r="F4429" s="23">
        <v>37</v>
      </c>
      <c r="G4429" s="152" cm="1">
        <f t="array" ref="G4429">SUM(E4429/F4429)</f>
        <v>0.0732432432432432</v>
      </c>
      <c r="H4429" s="15"/>
    </row>
    <row r="4430" ht="13.65" customHeight="1">
      <c r="A4430" s="21">
        <v>24</v>
      </c>
      <c r="B4430" t="s" s="22">
        <v>531</v>
      </c>
      <c r="C4430" s="23">
        <v>10</v>
      </c>
      <c r="D4430" t="s" s="24">
        <v>104</v>
      </c>
      <c r="E4430" s="25">
        <v>9.6</v>
      </c>
      <c r="F4430" s="23">
        <v>10</v>
      </c>
      <c r="G4430" s="152" cm="1">
        <f t="array" ref="G4430">SUM(E4430/F4430)</f>
        <v>0.96</v>
      </c>
      <c r="H4430" s="15"/>
    </row>
    <row r="4431" ht="13.65" customHeight="1">
      <c r="A4431" s="21">
        <v>19</v>
      </c>
      <c r="B4431" t="s" s="22">
        <v>445</v>
      </c>
      <c r="C4431" s="23">
        <v>6</v>
      </c>
      <c r="D4431" t="s" s="24">
        <v>694</v>
      </c>
      <c r="E4431" s="25">
        <v>5.2</v>
      </c>
      <c r="F4431" s="23">
        <v>10</v>
      </c>
      <c r="G4431" s="152" cm="1">
        <f t="array" ref="G4431">SUM(E4431/F4431)</f>
        <v>0.52</v>
      </c>
      <c r="H4431" s="15"/>
    </row>
    <row r="4432" ht="13.65" customHeight="1">
      <c r="A4432" s="21">
        <v>19</v>
      </c>
      <c r="B4432" t="s" s="22">
        <v>437</v>
      </c>
      <c r="C4432" s="23">
        <v>2</v>
      </c>
      <c r="D4432" t="s" s="24">
        <v>640</v>
      </c>
      <c r="E4432" s="25">
        <v>5.2</v>
      </c>
      <c r="F4432" s="23">
        <v>5</v>
      </c>
      <c r="G4432" s="152" cm="1">
        <f t="array" ref="G4432">SUM(E4432/F4432)</f>
        <v>1.04</v>
      </c>
      <c r="H4432" s="15"/>
    </row>
    <row r="4433" ht="13.65" customHeight="1">
      <c r="A4433" s="21">
        <v>139</v>
      </c>
      <c r="B4433" t="s" s="22">
        <v>613</v>
      </c>
      <c r="C4433" t="s" s="24">
        <v>432</v>
      </c>
      <c r="D4433" t="s" s="24">
        <v>495</v>
      </c>
      <c r="E4433" s="25">
        <v>15</v>
      </c>
      <c r="F4433" s="23">
        <v>20</v>
      </c>
      <c r="G4433" s="152" cm="1">
        <f t="array" ref="G4433">SUM(E4433/F4433)</f>
        <v>0.75</v>
      </c>
      <c r="H4433" s="15"/>
    </row>
    <row r="4434" ht="13.65" customHeight="1">
      <c r="A4434" s="21">
        <v>59</v>
      </c>
      <c r="B4434" t="s" s="22">
        <v>591</v>
      </c>
      <c r="C4434" t="s" s="24">
        <v>592</v>
      </c>
      <c r="D4434" t="s" s="24">
        <v>593</v>
      </c>
      <c r="E4434" s="25">
        <v>18</v>
      </c>
      <c r="F4434" s="23">
        <v>36</v>
      </c>
      <c r="G4434" s="152" cm="1">
        <f t="array" ref="G4434">SUM(E4434/F4434)</f>
        <v>0.5</v>
      </c>
      <c r="H4434" s="15"/>
    </row>
    <row r="4435" ht="13.65" customHeight="1">
      <c r="A4435" s="21">
        <v>27</v>
      </c>
      <c r="B4435" t="s" s="22">
        <v>474</v>
      </c>
      <c r="C4435" s="23">
        <v>18</v>
      </c>
      <c r="D4435" t="s" s="24">
        <v>104</v>
      </c>
      <c r="E4435" s="25">
        <v>6.5</v>
      </c>
      <c r="F4435" s="23">
        <v>18</v>
      </c>
      <c r="G4435" s="152" cm="1">
        <f t="array" ref="G4435">SUM(E4435/F4435)</f>
        <v>0.361111111111111</v>
      </c>
      <c r="H4435" s="15"/>
    </row>
    <row r="4436" ht="13.65" customHeight="1">
      <c r="A4436" s="21">
        <v>49</v>
      </c>
      <c r="B4436" t="s" s="22">
        <v>706</v>
      </c>
      <c r="C4436" s="23">
        <v>120</v>
      </c>
      <c r="D4436" t="s" s="24">
        <v>256</v>
      </c>
      <c r="E4436" s="25">
        <v>132</v>
      </c>
      <c r="F4436" s="23">
        <v>40</v>
      </c>
      <c r="G4436" s="152" cm="1">
        <f t="array" ref="G4436">SUM(E4436/F4436)</f>
        <v>3.3</v>
      </c>
      <c r="H4436" s="15"/>
    </row>
    <row r="4437" ht="13.65" customHeight="1">
      <c r="A4437" s="21">
        <v>120</v>
      </c>
      <c r="B4437" t="s" s="22">
        <v>799</v>
      </c>
      <c r="C4437" t="s" s="24">
        <v>538</v>
      </c>
      <c r="D4437" t="s" s="24">
        <v>401</v>
      </c>
      <c r="E4437" s="25">
        <v>165</v>
      </c>
      <c r="F4437" s="23">
        <v>30</v>
      </c>
      <c r="G4437" s="152" cm="1">
        <f t="array" ref="G4437">SUM(E4437/F4437)</f>
        <v>5.5</v>
      </c>
      <c r="H4437" s="15"/>
    </row>
    <row r="4438" ht="13.65" customHeight="1">
      <c r="A4438" s="21">
        <v>111</v>
      </c>
      <c r="B4438" t="s" s="22">
        <v>476</v>
      </c>
      <c r="C4438" s="23">
        <v>1</v>
      </c>
      <c r="D4438" t="s" s="24">
        <v>401</v>
      </c>
      <c r="E4438" s="25">
        <v>2.7</v>
      </c>
      <c r="F4438" s="23">
        <v>30</v>
      </c>
      <c r="G4438" s="152" cm="1">
        <f t="array" ref="G4438">SUM(E4438/F4438)</f>
        <v>0.09</v>
      </c>
      <c r="H4438" s="15"/>
    </row>
    <row r="4439" ht="13.65" customHeight="1">
      <c r="A4439" s="21">
        <v>7</v>
      </c>
      <c r="B4439" t="s" s="22">
        <v>477</v>
      </c>
      <c r="C4439" t="s" s="24">
        <v>478</v>
      </c>
      <c r="D4439" t="s" s="24">
        <v>479</v>
      </c>
      <c r="E4439" s="25">
        <v>14</v>
      </c>
      <c r="F4439" s="23">
        <v>10</v>
      </c>
      <c r="G4439" s="152" cm="1">
        <f t="array" ref="G4439">SUM(E4439/F4439)</f>
        <v>1.4</v>
      </c>
      <c r="H4439" s="15"/>
    </row>
    <row r="4440" ht="13.65" customHeight="1">
      <c r="A4440" s="21">
        <v>68</v>
      </c>
      <c r="B4440" t="s" s="22">
        <v>480</v>
      </c>
      <c r="C4440" t="s" s="24">
        <v>481</v>
      </c>
      <c r="D4440" t="s" s="24">
        <v>597</v>
      </c>
      <c r="E4440" s="25">
        <v>16</v>
      </c>
      <c r="F4440" s="23">
        <v>5</v>
      </c>
      <c r="G4440" s="152" cm="1">
        <f t="array" ref="G4440">SUM(E4440/F4440)</f>
        <v>3.2</v>
      </c>
      <c r="H4440" s="15"/>
    </row>
    <row r="4441" ht="13.65" customHeight="1">
      <c r="A4441" s="21">
        <v>69</v>
      </c>
      <c r="B4441" t="s" s="22">
        <v>598</v>
      </c>
      <c r="C4441" t="s" s="24">
        <v>481</v>
      </c>
      <c r="D4441" t="s" s="24">
        <v>597</v>
      </c>
      <c r="E4441" s="25">
        <v>3.5</v>
      </c>
      <c r="F4441" s="23">
        <v>5</v>
      </c>
      <c r="G4441" s="152" cm="1">
        <f t="array" ref="G4441">SUM(E4441/F4441)</f>
        <v>0.7</v>
      </c>
      <c r="H4441" s="15"/>
    </row>
    <row r="4442" ht="13.65" customHeight="1">
      <c r="A4442" s="21">
        <v>76</v>
      </c>
      <c r="B4442" t="s" s="22">
        <v>599</v>
      </c>
      <c r="C4442" t="s" s="24">
        <v>384</v>
      </c>
      <c r="D4442" t="s" s="24">
        <v>418</v>
      </c>
      <c r="E4442" s="25">
        <v>18</v>
      </c>
      <c r="F4442" s="23">
        <v>100</v>
      </c>
      <c r="G4442" s="152" cm="1">
        <f t="array" ref="G4442">SUM(E4442/F4442)</f>
        <v>0.18</v>
      </c>
      <c r="H4442" s="15"/>
    </row>
    <row r="4443" ht="13.65" customHeight="1">
      <c r="A4443" s="21">
        <v>48</v>
      </c>
      <c r="B4443" t="s" s="22">
        <v>710</v>
      </c>
      <c r="C4443" s="23">
        <v>1</v>
      </c>
      <c r="D4443" t="s" s="24">
        <v>277</v>
      </c>
      <c r="E4443" s="25">
        <v>1</v>
      </c>
      <c r="F4443" s="23">
        <v>2</v>
      </c>
      <c r="G4443" s="152" cm="1">
        <f t="array" ref="G4443">SUM(E4443/F4443)</f>
        <v>0.5</v>
      </c>
      <c r="H4443" s="15"/>
    </row>
    <row r="4444" ht="13.65" customHeight="1">
      <c r="A4444" s="21">
        <v>101</v>
      </c>
      <c r="B4444" t="s" s="22">
        <v>407</v>
      </c>
      <c r="C4444" t="s" s="24">
        <v>380</v>
      </c>
      <c r="D4444" t="s" s="24">
        <v>408</v>
      </c>
      <c r="E4444" s="25">
        <v>7.5</v>
      </c>
      <c r="F4444" s="23">
        <v>50</v>
      </c>
      <c r="G4444" s="152" cm="1">
        <f t="array" ref="G4444">SUM(E4444/F4444)</f>
        <v>0.15</v>
      </c>
      <c r="H4444" s="15"/>
    </row>
    <row r="4445" ht="13.65" customHeight="1">
      <c r="A4445" s="21">
        <v>105</v>
      </c>
      <c r="B4445" t="s" s="22">
        <v>600</v>
      </c>
      <c r="C4445" s="23">
        <v>1</v>
      </c>
      <c r="D4445" t="s" s="24">
        <v>104</v>
      </c>
      <c r="E4445" s="25">
        <v>0.35</v>
      </c>
      <c r="F4445" s="23">
        <v>1</v>
      </c>
      <c r="G4445" s="152" cm="1">
        <f t="array" ref="G4445">SUM(E4445/F4445)</f>
        <v>0.35</v>
      </c>
      <c r="H4445" s="15"/>
    </row>
    <row r="4446" ht="13.65" customHeight="1">
      <c r="A4446" s="21">
        <v>131</v>
      </c>
      <c r="B4446" t="s" s="22">
        <v>482</v>
      </c>
      <c r="C4446" s="27"/>
      <c r="D4446" s="24"/>
      <c r="E4446" s="27"/>
      <c r="F4446" s="27"/>
      <c r="G4446" s="152">
        <v>70</v>
      </c>
      <c r="H4446" s="15"/>
    </row>
    <row r="4447" ht="13.65" customHeight="1">
      <c r="A4447" s="28"/>
      <c r="B4447" s="28"/>
      <c r="C4447" s="27"/>
      <c r="D4447" s="24"/>
      <c r="E4447" s="27"/>
      <c r="F4447" t="s" s="29">
        <v>118</v>
      </c>
      <c r="G4447" s="197" cm="1">
        <f t="array" ref="G4447">SUM(G4422:G4446)</f>
        <v>95.953117990718</v>
      </c>
      <c r="H4447" s="15"/>
    </row>
    <row r="4448" ht="13.65" customHeight="1">
      <c r="A4448" s="31"/>
      <c r="B4448" s="31"/>
      <c r="C4448" s="31"/>
      <c r="D4448" s="31"/>
      <c r="E4448" s="31"/>
      <c r="F4448" s="31"/>
      <c r="G4448" s="31"/>
      <c r="H4448" s="3"/>
    </row>
    <row r="4449" ht="13.65" customHeight="1">
      <c r="A4449" t="s" s="5">
        <v>809</v>
      </c>
      <c r="B4449" s="3"/>
      <c r="C4449" s="3"/>
      <c r="D4449" s="3"/>
      <c r="E4449" s="3"/>
      <c r="F4449" s="3"/>
      <c r="G4449" s="3"/>
      <c r="H4449" s="3"/>
    </row>
    <row r="4450" ht="13.65" customHeight="1">
      <c r="A4450" s="11"/>
      <c r="B4450" s="11"/>
      <c r="C4450" s="11"/>
      <c r="D4450" s="11"/>
      <c r="E4450" s="11"/>
      <c r="F4450" s="11"/>
      <c r="G4450" s="11"/>
      <c r="H4450" s="3"/>
    </row>
    <row r="4451" ht="11.7" customHeight="1">
      <c r="A4451" t="s" s="167">
        <v>136</v>
      </c>
      <c r="B4451" t="s" s="167">
        <v>281</v>
      </c>
      <c r="C4451" t="s" s="167">
        <v>282</v>
      </c>
      <c r="D4451" t="s" s="167">
        <v>118</v>
      </c>
      <c r="E4451" t="s" s="167">
        <v>810</v>
      </c>
      <c r="F4451" t="s" s="167">
        <v>605</v>
      </c>
      <c r="G4451" s="167"/>
      <c r="H4451" s="170"/>
    </row>
    <row r="4452" ht="13.65" customHeight="1">
      <c r="A4452" s="23">
        <v>240</v>
      </c>
      <c r="B4452" s="172" cm="1">
        <f t="array" ref="B4452">SUM(H256)</f>
        <v>2.47496540404041</v>
      </c>
      <c r="C4452" s="172" cm="1">
        <f t="array" ref="C4452">SUM(G4447)</f>
        <v>95.953117990718</v>
      </c>
      <c r="D4452" s="308" cm="1">
        <f t="array" ref="D4452">SUM(A4452*B4452+C4452)</f>
        <v>689.944814960416</v>
      </c>
      <c r="E4452" s="198" cm="1">
        <f t="array" ref="E4452">SUM(D4452)*0.15</f>
        <v>103.491722244062</v>
      </c>
      <c r="F4452" s="154" cm="1">
        <f t="array" ref="F4452">SUM(D4452:E4452)</f>
        <v>793.436537204478</v>
      </c>
      <c r="G4452" s="306"/>
      <c r="H4452" s="15"/>
    </row>
    <row r="4453" ht="13.65" customHeight="1">
      <c r="A4453" s="31"/>
      <c r="B4453" s="31"/>
      <c r="C4453" s="31"/>
      <c r="D4453" s="31"/>
      <c r="E4453" s="31"/>
      <c r="F4453" s="31"/>
      <c r="G4453" s="31"/>
      <c r="H4453" s="3"/>
    </row>
    <row r="4454" ht="13.65" customHeight="1">
      <c r="A4454" s="203"/>
      <c r="B4454" s="203"/>
      <c r="C4454" s="203"/>
      <c r="D4454" s="203"/>
      <c r="E4454" s="203"/>
      <c r="F4454" s="203"/>
      <c r="G4454" s="203"/>
      <c r="H4454" s="203"/>
    </row>
    <row r="4455" ht="13.65" customHeight="1">
      <c r="A4455" t="s" s="274">
        <v>185</v>
      </c>
      <c r="B4455" s="275"/>
      <c r="C4455" s="275"/>
      <c r="D4455" s="275"/>
      <c r="E4455" s="280"/>
      <c r="F4455" s="275"/>
      <c r="G4455" s="275"/>
      <c r="H4455" s="277"/>
    </row>
    <row r="4456" ht="13.65" customHeight="1">
      <c r="A4456" s="278"/>
      <c r="B4456" s="278"/>
      <c r="C4456" s="278"/>
      <c r="D4456" s="278"/>
      <c r="E4456" s="278"/>
      <c r="F4456" s="278"/>
      <c r="G4456" s="278"/>
      <c r="H4456" s="278"/>
    </row>
    <row r="4457" ht="13.65" customHeight="1">
      <c r="A4457" s="3"/>
      <c r="B4457" s="3"/>
      <c r="C4457" s="3"/>
      <c r="D4457" s="3"/>
      <c r="E4457" s="3"/>
      <c r="F4457" s="3"/>
      <c r="G4457" s="3"/>
      <c r="H4457" s="3"/>
    </row>
    <row r="4458" ht="13.65" customHeight="1">
      <c r="A4458" t="s" s="5">
        <v>820</v>
      </c>
      <c r="B4458" s="3"/>
      <c r="C4458" s="3"/>
      <c r="D4458" s="3"/>
      <c r="E4458" s="3"/>
      <c r="F4458" s="3"/>
      <c r="G4458" s="3"/>
      <c r="H4458" s="3"/>
    </row>
    <row r="4459" ht="13.65" customHeight="1">
      <c r="A4459" s="11"/>
      <c r="B4459" s="11"/>
      <c r="C4459" s="11"/>
      <c r="D4459" s="11"/>
      <c r="E4459" s="11"/>
      <c r="F4459" s="11"/>
      <c r="G4459" s="11"/>
      <c r="H4459" s="3"/>
    </row>
    <row r="4460" ht="13.65" customHeight="1">
      <c r="A4460" s="12"/>
      <c r="B4460" s="12"/>
      <c r="C4460" s="13"/>
      <c r="D4460" s="14"/>
      <c r="E4460" s="13"/>
      <c r="F4460" s="13"/>
      <c r="G4460" t="s" s="14">
        <v>252</v>
      </c>
      <c r="H4460" s="150"/>
    </row>
    <row r="4461" ht="13.65" customHeight="1">
      <c r="A4461" t="s" s="16">
        <v>93</v>
      </c>
      <c r="B4461" t="s" s="16">
        <v>94</v>
      </c>
      <c r="C4461" t="s" s="16">
        <v>95</v>
      </c>
      <c r="D4461" t="s" s="16">
        <v>96</v>
      </c>
      <c r="E4461" t="s" s="16">
        <v>97</v>
      </c>
      <c r="F4461" t="s" s="16">
        <v>98</v>
      </c>
      <c r="G4461" t="s" s="16">
        <v>99</v>
      </c>
      <c r="H4461" s="15"/>
    </row>
    <row r="4462" ht="13.65" customHeight="1">
      <c r="A4462" s="151"/>
      <c r="B4462" s="151"/>
      <c r="C4462" s="19"/>
      <c r="D4462" s="20"/>
      <c r="E4462" s="19"/>
      <c r="F4462" s="19"/>
      <c r="G4462" t="s" s="20">
        <v>100</v>
      </c>
      <c r="H4462" s="15"/>
    </row>
    <row r="4463" ht="13.65" customHeight="1">
      <c r="A4463" s="21">
        <v>72</v>
      </c>
      <c r="B4463" t="s" s="22">
        <v>101</v>
      </c>
      <c r="C4463" s="23">
        <v>50</v>
      </c>
      <c r="D4463" t="s" s="24">
        <v>274</v>
      </c>
      <c r="E4463" s="25">
        <v>1.93</v>
      </c>
      <c r="F4463" s="23">
        <v>12.5</v>
      </c>
      <c r="G4463" s="152" cm="1">
        <f t="array" ref="G4463">SUM(E4463/F4463)</f>
        <v>0.1544</v>
      </c>
      <c r="H4463" s="15"/>
    </row>
    <row r="4464" ht="13.65" customHeight="1">
      <c r="A4464" s="21">
        <v>123</v>
      </c>
      <c r="B4464" t="s" s="22">
        <v>103</v>
      </c>
      <c r="C4464" s="23">
        <v>40</v>
      </c>
      <c r="D4464" t="s" s="24">
        <v>102</v>
      </c>
      <c r="E4464" s="25">
        <v>3.2</v>
      </c>
      <c r="F4464" s="23">
        <v>2</v>
      </c>
      <c r="G4464" s="152" cm="1">
        <f t="array" ref="G4464">SUM(E4464/F4464)</f>
        <v>1.6</v>
      </c>
      <c r="H4464" s="15"/>
    </row>
    <row r="4465" ht="13.65" customHeight="1">
      <c r="A4465" s="21">
        <v>57</v>
      </c>
      <c r="B4465" t="s" s="22">
        <v>253</v>
      </c>
      <c r="C4465" t="s" s="24">
        <v>389</v>
      </c>
      <c r="D4465" t="s" s="24">
        <v>371</v>
      </c>
      <c r="E4465" s="25">
        <v>4.5</v>
      </c>
      <c r="F4465" s="23">
        <v>33</v>
      </c>
      <c r="G4465" s="152" cm="1">
        <f t="array" ref="G4465">SUM(E4465/F4465)</f>
        <v>0.136363636363636</v>
      </c>
      <c r="H4465" s="15"/>
    </row>
    <row r="4466" ht="13.65" customHeight="1">
      <c r="A4466" s="21">
        <v>117</v>
      </c>
      <c r="B4466" t="s" s="22">
        <v>105</v>
      </c>
      <c r="C4466" s="23">
        <v>100</v>
      </c>
      <c r="D4466" t="s" s="24">
        <v>106</v>
      </c>
      <c r="E4466" s="25">
        <v>1.2</v>
      </c>
      <c r="F4466" s="23">
        <v>10</v>
      </c>
      <c r="G4466" s="152" cm="1">
        <f t="array" ref="G4466">SUM(E4466/F4466)</f>
        <v>0.12</v>
      </c>
      <c r="H4466" s="15"/>
    </row>
    <row r="4467" ht="13.65" customHeight="1">
      <c r="A4467" s="21">
        <v>86</v>
      </c>
      <c r="B4467" t="s" s="22">
        <v>107</v>
      </c>
      <c r="C4467" t="s" s="24">
        <v>108</v>
      </c>
      <c r="D4467" t="s" s="24">
        <v>274</v>
      </c>
      <c r="E4467" s="25">
        <v>0.32</v>
      </c>
      <c r="F4467" t="s" s="24">
        <v>803</v>
      </c>
      <c r="G4467" s="152" cm="1">
        <f t="array" ref="G4467">SUM(E4467*4)</f>
        <v>1.28</v>
      </c>
      <c r="H4467" s="15"/>
    </row>
    <row r="4468" ht="13.65" customHeight="1">
      <c r="A4468" s="21">
        <v>71</v>
      </c>
      <c r="B4468" t="s" s="22">
        <v>109</v>
      </c>
      <c r="C4468" s="23">
        <v>10</v>
      </c>
      <c r="D4468" t="s" s="24">
        <v>274</v>
      </c>
      <c r="E4468" s="25">
        <v>5.92</v>
      </c>
      <c r="F4468" s="23">
        <v>2.5</v>
      </c>
      <c r="G4468" s="152" cm="1">
        <f t="array" ref="G4468">SUM(E4468/F4468)</f>
        <v>2.368</v>
      </c>
      <c r="H4468" s="15"/>
    </row>
    <row r="4469" ht="13.65" customHeight="1">
      <c r="A4469" s="21">
        <v>87</v>
      </c>
      <c r="B4469" t="s" s="22">
        <v>110</v>
      </c>
      <c r="C4469" s="23">
        <v>50</v>
      </c>
      <c r="D4469" t="s" s="24">
        <v>274</v>
      </c>
      <c r="E4469" s="25">
        <v>9</v>
      </c>
      <c r="F4469" s="23">
        <v>12.5</v>
      </c>
      <c r="G4469" s="152" cm="1">
        <f t="array" ref="G4469">SUM(E4469/F4469)</f>
        <v>0.72</v>
      </c>
      <c r="H4469" s="15"/>
    </row>
    <row r="4470" ht="13.65" customHeight="1">
      <c r="A4470" s="21">
        <v>55</v>
      </c>
      <c r="B4470" t="s" s="22">
        <v>111</v>
      </c>
      <c r="C4470" t="s" s="24">
        <v>112</v>
      </c>
      <c r="D4470" t="s" s="24">
        <v>642</v>
      </c>
      <c r="E4470" s="25">
        <v>2.71</v>
      </c>
      <c r="F4470" s="23">
        <v>37</v>
      </c>
      <c r="G4470" s="152" cm="1">
        <f t="array" ref="G4470">SUM(E4470/F4470)</f>
        <v>0.0732432432432432</v>
      </c>
      <c r="H4470" s="15"/>
    </row>
    <row r="4471" ht="13.65" customHeight="1">
      <c r="A4471" s="21">
        <v>24</v>
      </c>
      <c r="B4471" t="s" s="22">
        <v>531</v>
      </c>
      <c r="C4471" s="23">
        <v>10</v>
      </c>
      <c r="D4471" t="s" s="24">
        <v>104</v>
      </c>
      <c r="E4471" s="25">
        <v>9.6</v>
      </c>
      <c r="F4471" s="23">
        <v>10</v>
      </c>
      <c r="G4471" s="152" cm="1">
        <f t="array" ref="G4471">SUM(E4471/F4471)</f>
        <v>0.96</v>
      </c>
      <c r="H4471" s="15"/>
    </row>
    <row r="4472" ht="13.65" customHeight="1">
      <c r="A4472" s="21">
        <v>19</v>
      </c>
      <c r="B4472" t="s" s="22">
        <v>445</v>
      </c>
      <c r="C4472" s="23">
        <v>6</v>
      </c>
      <c r="D4472" t="s" s="24">
        <v>694</v>
      </c>
      <c r="E4472" s="25">
        <v>5.2</v>
      </c>
      <c r="F4472" s="23">
        <v>10</v>
      </c>
      <c r="G4472" s="152" cm="1">
        <f t="array" ref="G4472">SUM(E4472/F4472)</f>
        <v>0.52</v>
      </c>
      <c r="H4472" s="15"/>
    </row>
    <row r="4473" ht="13.65" customHeight="1">
      <c r="A4473" s="21">
        <v>19</v>
      </c>
      <c r="B4473" t="s" s="22">
        <v>437</v>
      </c>
      <c r="C4473" s="23">
        <v>2</v>
      </c>
      <c r="D4473" t="s" s="24">
        <v>640</v>
      </c>
      <c r="E4473" s="25">
        <v>5.2</v>
      </c>
      <c r="F4473" s="23">
        <v>5</v>
      </c>
      <c r="G4473" s="152" cm="1">
        <f t="array" ref="G4473">SUM(E4473/F4473)</f>
        <v>1.04</v>
      </c>
      <c r="H4473" s="15"/>
    </row>
    <row r="4474" ht="13.65" customHeight="1">
      <c r="A4474" s="21">
        <v>30</v>
      </c>
      <c r="B4474" t="s" s="22">
        <v>589</v>
      </c>
      <c r="C4474" t="s" s="24">
        <v>538</v>
      </c>
      <c r="D4474" t="s" s="24">
        <v>518</v>
      </c>
      <c r="E4474" s="25">
        <v>423</v>
      </c>
      <c r="F4474" s="23">
        <v>40</v>
      </c>
      <c r="G4474" s="152" cm="1">
        <f t="array" ref="G4474">SUM(E4474/F4474)</f>
        <v>10.575</v>
      </c>
      <c r="H4474" s="15"/>
    </row>
    <row r="4475" ht="13.65" customHeight="1">
      <c r="A4475" s="21">
        <v>49</v>
      </c>
      <c r="B4475" t="s" s="22">
        <v>706</v>
      </c>
      <c r="C4475" s="23">
        <v>120</v>
      </c>
      <c r="D4475" t="s" s="24">
        <v>256</v>
      </c>
      <c r="E4475" s="25">
        <v>132</v>
      </c>
      <c r="F4475" s="23">
        <v>40</v>
      </c>
      <c r="G4475" s="152" cm="1">
        <f t="array" ref="G4475">SUM(E4475/F4475)</f>
        <v>3.3</v>
      </c>
      <c r="H4475" s="15"/>
    </row>
    <row r="4476" ht="13.65" customHeight="1">
      <c r="A4476" s="21">
        <v>111</v>
      </c>
      <c r="B4476" t="s" s="22">
        <v>476</v>
      </c>
      <c r="C4476" s="23">
        <v>1</v>
      </c>
      <c r="D4476" t="s" s="24">
        <v>401</v>
      </c>
      <c r="E4476" s="25">
        <v>2.7</v>
      </c>
      <c r="F4476" s="23">
        <v>30</v>
      </c>
      <c r="G4476" s="152" cm="1">
        <f t="array" ref="G4476">SUM(E4476/F4476)</f>
        <v>0.09</v>
      </c>
      <c r="H4476" s="15"/>
    </row>
    <row r="4477" ht="13.65" customHeight="1">
      <c r="A4477" s="21">
        <v>48</v>
      </c>
      <c r="B4477" t="s" s="22">
        <v>710</v>
      </c>
      <c r="C4477" s="23">
        <v>1</v>
      </c>
      <c r="D4477" t="s" s="24">
        <v>277</v>
      </c>
      <c r="E4477" s="25">
        <v>1</v>
      </c>
      <c r="F4477" s="23">
        <v>2</v>
      </c>
      <c r="G4477" s="152" cm="1">
        <f t="array" ref="G4477">SUM(E4477/F4477)</f>
        <v>0.5</v>
      </c>
      <c r="H4477" s="15"/>
    </row>
    <row r="4478" ht="13.65" customHeight="1">
      <c r="A4478" s="21">
        <v>101</v>
      </c>
      <c r="B4478" t="s" s="22">
        <v>407</v>
      </c>
      <c r="C4478" t="s" s="24">
        <v>380</v>
      </c>
      <c r="D4478" t="s" s="24">
        <v>408</v>
      </c>
      <c r="E4478" s="25">
        <v>7.5</v>
      </c>
      <c r="F4478" s="23">
        <v>50</v>
      </c>
      <c r="G4478" s="152" cm="1">
        <f t="array" ref="G4478">SUM(E4478/F4478)</f>
        <v>0.15</v>
      </c>
      <c r="H4478" s="15"/>
    </row>
    <row r="4479" ht="13.65" customHeight="1">
      <c r="A4479" s="21">
        <v>46</v>
      </c>
      <c r="B4479" t="s" s="22">
        <v>821</v>
      </c>
      <c r="C4479" s="23">
        <v>6</v>
      </c>
      <c r="D4479" t="s" s="24">
        <v>104</v>
      </c>
      <c r="E4479" s="25">
        <v>4.5</v>
      </c>
      <c r="F4479" s="23">
        <v>6</v>
      </c>
      <c r="G4479" s="152" cm="1">
        <f t="array" ref="G4479">SUM(E4479/F4479)</f>
        <v>0.75</v>
      </c>
      <c r="H4479" s="15"/>
    </row>
    <row r="4480" ht="13.65" customHeight="1">
      <c r="A4480" s="21">
        <v>107</v>
      </c>
      <c r="B4480" t="s" s="22">
        <v>822</v>
      </c>
      <c r="C4480" s="23">
        <v>1</v>
      </c>
      <c r="D4480" t="s" s="24">
        <v>401</v>
      </c>
      <c r="E4480" s="25">
        <v>2.54</v>
      </c>
      <c r="F4480" s="23">
        <v>30</v>
      </c>
      <c r="G4480" s="152" cm="1">
        <f t="array" ref="G4480">SUM(E4480/F4480)</f>
        <v>0.0846666666666667</v>
      </c>
      <c r="H4480" s="15"/>
    </row>
    <row r="4481" ht="13.65" customHeight="1">
      <c r="A4481" s="21">
        <v>113</v>
      </c>
      <c r="B4481" t="s" s="22">
        <v>567</v>
      </c>
      <c r="C4481" t="s" s="24">
        <v>537</v>
      </c>
      <c r="D4481" t="s" s="24">
        <v>116</v>
      </c>
      <c r="E4481" s="25">
        <v>61</v>
      </c>
      <c r="F4481" s="23">
        <v>10</v>
      </c>
      <c r="G4481" s="152" cm="1">
        <f t="array" ref="G4481">SUM(E4481/F4481)</f>
        <v>6.1</v>
      </c>
      <c r="H4481" s="15"/>
    </row>
    <row r="4482" ht="13.65" customHeight="1">
      <c r="A4482" s="28"/>
      <c r="B4482" s="28"/>
      <c r="C4482" s="27"/>
      <c r="D4482" s="24"/>
      <c r="E4482" s="27"/>
      <c r="F4482" t="s" s="29">
        <v>118</v>
      </c>
      <c r="G4482" s="197" cm="1">
        <f t="array" ref="G4482">SUM(G4463:G4481)</f>
        <v>30.5216735462735</v>
      </c>
      <c r="H4482" s="15"/>
    </row>
    <row r="4483" ht="13.65" customHeight="1">
      <c r="A4483" s="31"/>
      <c r="B4483" s="31"/>
      <c r="C4483" s="31"/>
      <c r="D4483" s="31"/>
      <c r="E4483" s="31"/>
      <c r="F4483" s="31"/>
      <c r="G4483" s="31"/>
      <c r="H4483" s="3"/>
    </row>
    <row r="4484" ht="13.65" customHeight="1">
      <c r="A4484" t="s" s="5">
        <v>602</v>
      </c>
      <c r="B4484" s="3"/>
      <c r="C4484" s="3"/>
      <c r="D4484" s="3"/>
      <c r="E4484" s="3"/>
      <c r="F4484" s="3"/>
      <c r="G4484" s="3"/>
      <c r="H4484" s="3"/>
    </row>
    <row r="4485" ht="13.65" customHeight="1">
      <c r="A4485" s="11"/>
      <c r="B4485" s="11"/>
      <c r="C4485" s="11"/>
      <c r="D4485" s="11"/>
      <c r="E4485" s="11"/>
      <c r="F4485" s="11"/>
      <c r="G4485" s="11"/>
      <c r="H4485" s="3"/>
    </row>
    <row r="4486" ht="11.7" customHeight="1">
      <c r="A4486" t="s" s="167">
        <v>136</v>
      </c>
      <c r="B4486" t="s" s="167">
        <v>281</v>
      </c>
      <c r="C4486" t="s" s="167">
        <v>282</v>
      </c>
      <c r="D4486" t="s" s="167">
        <v>118</v>
      </c>
      <c r="E4486" t="s" s="167">
        <v>604</v>
      </c>
      <c r="F4486" t="s" s="167">
        <v>605</v>
      </c>
      <c r="G4486" s="167"/>
      <c r="H4486" s="170"/>
    </row>
    <row r="4487" ht="13.65" customHeight="1">
      <c r="A4487" s="23">
        <v>110</v>
      </c>
      <c r="B4487" s="172" cm="1">
        <f t="array" ref="B4487">SUM(H256)</f>
        <v>2.47496540404041</v>
      </c>
      <c r="C4487" s="172" cm="1">
        <f t="array" ref="C4487">SUM(G4482)</f>
        <v>30.5216735462735</v>
      </c>
      <c r="D4487" s="308" cm="1">
        <f t="array" ref="D4487">SUM(A4487*B4487+C4487)</f>
        <v>302.767867990719</v>
      </c>
      <c r="E4487" s="198" cm="1">
        <f t="array" ref="E4487">SUM(D4487)*0.2</f>
        <v>60.5535735981438</v>
      </c>
      <c r="F4487" s="154" cm="1">
        <f t="array" ref="F4487">SUM(D4487:E4487)</f>
        <v>363.321441588863</v>
      </c>
      <c r="G4487" s="306"/>
      <c r="H4487" s="15"/>
    </row>
    <row r="4488" ht="13.65" customHeight="1">
      <c r="A4488" s="31"/>
      <c r="B4488" s="31"/>
      <c r="C4488" s="31"/>
      <c r="D4488" s="31"/>
      <c r="E4488" s="31"/>
      <c r="F4488" s="31"/>
      <c r="G4488" s="31"/>
      <c r="H4488" s="3"/>
    </row>
    <row r="4489" ht="13.65" customHeight="1">
      <c r="A4489" s="203"/>
      <c r="B4489" s="203"/>
      <c r="C4489" s="203"/>
      <c r="D4489" s="203"/>
      <c r="E4489" s="203"/>
      <c r="F4489" s="203"/>
      <c r="G4489" s="203"/>
      <c r="H4489" s="203"/>
    </row>
    <row r="4490" ht="13.65" customHeight="1">
      <c r="A4490" t="s" s="274">
        <v>185</v>
      </c>
      <c r="B4490" s="275"/>
      <c r="C4490" s="275"/>
      <c r="D4490" s="275"/>
      <c r="E4490" s="280"/>
      <c r="F4490" s="275"/>
      <c r="G4490" s="275"/>
      <c r="H4490" s="277"/>
    </row>
    <row r="4491" ht="13.65" customHeight="1">
      <c r="A4491" s="278"/>
      <c r="B4491" s="278"/>
      <c r="C4491" s="278"/>
      <c r="D4491" s="278"/>
      <c r="E4491" s="278"/>
      <c r="F4491" s="278"/>
      <c r="G4491" s="278"/>
      <c r="H4491" s="278"/>
    </row>
    <row r="4492" ht="13.65" customHeight="1">
      <c r="A4492" s="3"/>
      <c r="B4492" s="3"/>
      <c r="C4492" s="3"/>
      <c r="D4492" s="3"/>
      <c r="E4492" s="3"/>
      <c r="F4492" s="3"/>
      <c r="G4492" s="3"/>
      <c r="H4492" s="3"/>
    </row>
    <row r="4493" ht="13.65" customHeight="1">
      <c r="A4493" t="s" s="5">
        <v>823</v>
      </c>
      <c r="B4493" s="3"/>
      <c r="C4493" s="3"/>
      <c r="D4493" s="3"/>
      <c r="E4493" s="3"/>
      <c r="F4493" s="3"/>
      <c r="G4493" s="3"/>
      <c r="H4493" s="3"/>
    </row>
    <row r="4494" ht="13.65" customHeight="1">
      <c r="A4494" s="11"/>
      <c r="B4494" s="11"/>
      <c r="C4494" s="11"/>
      <c r="D4494" s="11"/>
      <c r="E4494" s="11"/>
      <c r="F4494" s="11"/>
      <c r="G4494" s="11"/>
      <c r="H4494" s="3"/>
    </row>
    <row r="4495" ht="13.65" customHeight="1">
      <c r="A4495" s="12"/>
      <c r="B4495" s="12"/>
      <c r="C4495" s="13"/>
      <c r="D4495" s="14"/>
      <c r="E4495" s="13"/>
      <c r="F4495" s="13"/>
      <c r="G4495" t="s" s="14">
        <v>252</v>
      </c>
      <c r="H4495" s="150"/>
    </row>
    <row r="4496" ht="13.65" customHeight="1">
      <c r="A4496" t="s" s="16">
        <v>93</v>
      </c>
      <c r="B4496" t="s" s="16">
        <v>94</v>
      </c>
      <c r="C4496" t="s" s="16">
        <v>95</v>
      </c>
      <c r="D4496" t="s" s="16">
        <v>96</v>
      </c>
      <c r="E4496" t="s" s="16">
        <v>97</v>
      </c>
      <c r="F4496" t="s" s="16">
        <v>98</v>
      </c>
      <c r="G4496" t="s" s="16">
        <v>99</v>
      </c>
      <c r="H4496" s="15"/>
    </row>
    <row r="4497" ht="13.65" customHeight="1">
      <c r="A4497" s="151"/>
      <c r="B4497" s="151"/>
      <c r="C4497" s="19"/>
      <c r="D4497" s="20"/>
      <c r="E4497" s="19"/>
      <c r="F4497" s="19"/>
      <c r="G4497" t="s" s="20">
        <v>100</v>
      </c>
      <c r="H4497" s="15"/>
    </row>
    <row r="4498" ht="13.65" customHeight="1">
      <c r="A4498" s="21">
        <v>72</v>
      </c>
      <c r="B4498" t="s" s="22">
        <v>101</v>
      </c>
      <c r="C4498" s="23">
        <v>50</v>
      </c>
      <c r="D4498" t="s" s="24">
        <v>608</v>
      </c>
      <c r="E4498" s="25">
        <v>1.93</v>
      </c>
      <c r="F4498" s="23">
        <v>6.25</v>
      </c>
      <c r="G4498" s="152" cm="1">
        <f t="array" ref="G4498">SUM(E4498/F4498)</f>
        <v>0.3088</v>
      </c>
      <c r="H4498" s="15"/>
    </row>
    <row r="4499" ht="13.65" customHeight="1">
      <c r="A4499" s="21">
        <v>123</v>
      </c>
      <c r="B4499" t="s" s="22">
        <v>103</v>
      </c>
      <c r="C4499" s="23">
        <v>40</v>
      </c>
      <c r="D4499" t="s" s="24">
        <v>274</v>
      </c>
      <c r="E4499" s="25">
        <v>3.2</v>
      </c>
      <c r="F4499" s="23">
        <v>10</v>
      </c>
      <c r="G4499" s="152" cm="1">
        <f t="array" ref="G4499">SUM(E4499/F4499)</f>
        <v>0.32</v>
      </c>
      <c r="H4499" s="15"/>
    </row>
    <row r="4500" ht="13.65" customHeight="1">
      <c r="A4500" s="21">
        <v>57</v>
      </c>
      <c r="B4500" t="s" s="22">
        <v>253</v>
      </c>
      <c r="C4500" t="s" s="24">
        <v>389</v>
      </c>
      <c r="D4500" t="s" s="24">
        <v>824</v>
      </c>
      <c r="E4500" s="25">
        <v>4.5</v>
      </c>
      <c r="F4500" s="23">
        <v>11</v>
      </c>
      <c r="G4500" s="152" cm="1">
        <f t="array" ref="G4500">SUM(E4500/F4500)</f>
        <v>0.409090909090909</v>
      </c>
      <c r="H4500" s="15"/>
    </row>
    <row r="4501" ht="13.65" customHeight="1">
      <c r="A4501" s="21">
        <v>117</v>
      </c>
      <c r="B4501" t="s" s="22">
        <v>105</v>
      </c>
      <c r="C4501" s="23">
        <v>100</v>
      </c>
      <c r="D4501" t="s" s="24">
        <v>106</v>
      </c>
      <c r="E4501" s="25">
        <v>1.2</v>
      </c>
      <c r="F4501" s="23">
        <v>50</v>
      </c>
      <c r="G4501" s="152" cm="1">
        <f t="array" ref="G4501">SUM(E4501/F4501)</f>
        <v>0.024</v>
      </c>
      <c r="H4501" s="15"/>
    </row>
    <row r="4502" ht="13.65" customHeight="1">
      <c r="A4502" s="21">
        <v>86</v>
      </c>
      <c r="B4502" t="s" s="22">
        <v>107</v>
      </c>
      <c r="C4502" t="s" s="24">
        <v>108</v>
      </c>
      <c r="D4502" t="s" s="24">
        <v>608</v>
      </c>
      <c r="E4502" s="25">
        <v>0.32</v>
      </c>
      <c r="F4502" t="s" s="24">
        <v>825</v>
      </c>
      <c r="G4502" s="152" cm="1">
        <f t="array" ref="G4502">SUM(E4502*8)</f>
        <v>2.56</v>
      </c>
      <c r="H4502" s="15"/>
    </row>
    <row r="4503" ht="13.65" customHeight="1">
      <c r="A4503" s="21">
        <v>71</v>
      </c>
      <c r="B4503" t="s" s="22">
        <v>109</v>
      </c>
      <c r="C4503" s="23">
        <v>10</v>
      </c>
      <c r="D4503" t="s" s="24">
        <v>608</v>
      </c>
      <c r="E4503" s="25">
        <v>5.92</v>
      </c>
      <c r="F4503" s="23">
        <v>1.25</v>
      </c>
      <c r="G4503" s="152" cm="1">
        <f t="array" ref="G4503">SUM(E4503/F4503)</f>
        <v>4.736</v>
      </c>
      <c r="H4503" s="15"/>
    </row>
    <row r="4504" ht="13.65" customHeight="1">
      <c r="A4504" s="21">
        <v>87</v>
      </c>
      <c r="B4504" t="s" s="22">
        <v>110</v>
      </c>
      <c r="C4504" s="23">
        <v>50</v>
      </c>
      <c r="D4504" t="s" s="24">
        <v>608</v>
      </c>
      <c r="E4504" s="25">
        <v>9</v>
      </c>
      <c r="F4504" s="23">
        <v>6.25</v>
      </c>
      <c r="G4504" s="152" cm="1">
        <f t="array" ref="G4504">SUM(E4504/F4504)</f>
        <v>1.44</v>
      </c>
      <c r="H4504" s="15"/>
    </row>
    <row r="4505" ht="13.65" customHeight="1">
      <c r="A4505" s="21">
        <v>55</v>
      </c>
      <c r="B4505" t="s" s="22">
        <v>111</v>
      </c>
      <c r="C4505" t="s" s="24">
        <v>112</v>
      </c>
      <c r="D4505" t="s" s="24">
        <v>826</v>
      </c>
      <c r="E4505" s="25">
        <v>2.71</v>
      </c>
      <c r="F4505" s="23">
        <v>19</v>
      </c>
      <c r="G4505" s="152" cm="1">
        <f t="array" ref="G4505">SUM(E4505/F4505)</f>
        <v>0.142631578947368</v>
      </c>
      <c r="H4505" s="15"/>
    </row>
    <row r="4506" ht="13.65" customHeight="1">
      <c r="A4506" s="21">
        <v>24</v>
      </c>
      <c r="B4506" t="s" s="22">
        <v>531</v>
      </c>
      <c r="C4506" s="23">
        <v>10</v>
      </c>
      <c r="D4506" t="s" s="24">
        <v>104</v>
      </c>
      <c r="E4506" s="25">
        <v>9.6</v>
      </c>
      <c r="F4506" s="23">
        <v>10</v>
      </c>
      <c r="G4506" s="152" cm="1">
        <f t="array" ref="G4506">SUM(E4506/F4506)</f>
        <v>0.96</v>
      </c>
      <c r="H4506" s="15"/>
    </row>
    <row r="4507" ht="13.65" customHeight="1">
      <c r="A4507" s="21">
        <v>19</v>
      </c>
      <c r="B4507" t="s" s="22">
        <v>445</v>
      </c>
      <c r="C4507" s="23">
        <v>6</v>
      </c>
      <c r="D4507" t="s" s="24">
        <v>694</v>
      </c>
      <c r="E4507" s="25">
        <v>5.2</v>
      </c>
      <c r="F4507" s="23">
        <v>10</v>
      </c>
      <c r="G4507" s="152" cm="1">
        <f t="array" ref="G4507">SUM(E4507/F4507)</f>
        <v>0.52</v>
      </c>
      <c r="H4507" s="15"/>
    </row>
    <row r="4508" ht="13.65" customHeight="1">
      <c r="A4508" s="21">
        <v>19</v>
      </c>
      <c r="B4508" t="s" s="22">
        <v>437</v>
      </c>
      <c r="C4508" s="23">
        <v>2</v>
      </c>
      <c r="D4508" t="s" s="24">
        <v>640</v>
      </c>
      <c r="E4508" s="25">
        <v>5.2</v>
      </c>
      <c r="F4508" s="23">
        <v>5</v>
      </c>
      <c r="G4508" s="152" cm="1">
        <f t="array" ref="G4508">SUM(E4508/F4508)</f>
        <v>1.04</v>
      </c>
      <c r="H4508" s="15"/>
    </row>
    <row r="4509" ht="13.65" customHeight="1">
      <c r="A4509" s="21">
        <v>30</v>
      </c>
      <c r="B4509" t="s" s="22">
        <v>589</v>
      </c>
      <c r="C4509" t="s" s="24">
        <v>538</v>
      </c>
      <c r="D4509" t="s" s="24">
        <v>518</v>
      </c>
      <c r="E4509" s="25">
        <v>423</v>
      </c>
      <c r="F4509" s="23">
        <v>40</v>
      </c>
      <c r="G4509" s="152" cm="1">
        <f t="array" ref="G4509">SUM(E4509/F4509)</f>
        <v>10.575</v>
      </c>
      <c r="H4509" s="15"/>
    </row>
    <row r="4510" ht="13.65" customHeight="1">
      <c r="A4510" s="21">
        <v>59</v>
      </c>
      <c r="B4510" t="s" s="22">
        <v>591</v>
      </c>
      <c r="C4510" t="s" s="24">
        <v>592</v>
      </c>
      <c r="D4510" t="s" s="24">
        <v>593</v>
      </c>
      <c r="E4510" s="25">
        <v>18</v>
      </c>
      <c r="F4510" s="23">
        <v>36</v>
      </c>
      <c r="G4510" s="152" cm="1">
        <f t="array" ref="G4510">SUM(E4510/F4510)</f>
        <v>0.5</v>
      </c>
      <c r="H4510" s="15"/>
    </row>
    <row r="4511" ht="13.65" customHeight="1">
      <c r="A4511" s="21">
        <v>27</v>
      </c>
      <c r="B4511" t="s" s="22">
        <v>474</v>
      </c>
      <c r="C4511" s="23">
        <v>18</v>
      </c>
      <c r="D4511" t="s" s="24">
        <v>104</v>
      </c>
      <c r="E4511" s="25">
        <v>6.5</v>
      </c>
      <c r="F4511" s="23">
        <v>18</v>
      </c>
      <c r="G4511" s="152" cm="1">
        <f t="array" ref="G4511">SUM(E4511/F4511)</f>
        <v>0.361111111111111</v>
      </c>
      <c r="H4511" s="15"/>
    </row>
    <row r="4512" ht="13.65" customHeight="1">
      <c r="A4512" s="21">
        <v>49</v>
      </c>
      <c r="B4512" t="s" s="22">
        <v>706</v>
      </c>
      <c r="C4512" s="23">
        <v>120</v>
      </c>
      <c r="D4512" t="s" s="24">
        <v>256</v>
      </c>
      <c r="E4512" s="25">
        <v>132</v>
      </c>
      <c r="F4512" s="23">
        <v>40</v>
      </c>
      <c r="G4512" s="152" cm="1">
        <f t="array" ref="G4512">SUM(E4512/F4512)</f>
        <v>3.3</v>
      </c>
      <c r="H4512" s="15"/>
    </row>
    <row r="4513" ht="13.65" customHeight="1">
      <c r="A4513" s="21">
        <v>120</v>
      </c>
      <c r="B4513" t="s" s="22">
        <v>799</v>
      </c>
      <c r="C4513" t="s" s="24">
        <v>538</v>
      </c>
      <c r="D4513" t="s" s="24">
        <v>401</v>
      </c>
      <c r="E4513" s="25">
        <v>165</v>
      </c>
      <c r="F4513" s="23">
        <v>30</v>
      </c>
      <c r="G4513" s="152" cm="1">
        <f t="array" ref="G4513">SUM(E4513/F4513)</f>
        <v>5.5</v>
      </c>
      <c r="H4513" s="15"/>
    </row>
    <row r="4514" ht="13.65" customHeight="1">
      <c r="A4514" s="21">
        <v>111</v>
      </c>
      <c r="B4514" t="s" s="22">
        <v>476</v>
      </c>
      <c r="C4514" s="23">
        <v>1</v>
      </c>
      <c r="D4514" t="s" s="24">
        <v>401</v>
      </c>
      <c r="E4514" s="25">
        <v>2.7</v>
      </c>
      <c r="F4514" s="23">
        <v>30</v>
      </c>
      <c r="G4514" s="152" cm="1">
        <f t="array" ref="G4514">SUM(E4514/F4514)</f>
        <v>0.09</v>
      </c>
      <c r="H4514" s="15"/>
    </row>
    <row r="4515" ht="13.65" customHeight="1">
      <c r="A4515" s="21">
        <v>7</v>
      </c>
      <c r="B4515" t="s" s="22">
        <v>477</v>
      </c>
      <c r="C4515" t="s" s="24">
        <v>478</v>
      </c>
      <c r="D4515" t="s" s="24">
        <v>479</v>
      </c>
      <c r="E4515" s="25">
        <v>14</v>
      </c>
      <c r="F4515" s="23">
        <v>10</v>
      </c>
      <c r="G4515" s="152" cm="1">
        <f t="array" ref="G4515">SUM(E4515/F4515)</f>
        <v>1.4</v>
      </c>
      <c r="H4515" s="15"/>
    </row>
    <row r="4516" ht="13.65" customHeight="1">
      <c r="A4516" s="21">
        <v>68</v>
      </c>
      <c r="B4516" t="s" s="22">
        <v>480</v>
      </c>
      <c r="C4516" t="s" s="24">
        <v>481</v>
      </c>
      <c r="D4516" t="s" s="24">
        <v>597</v>
      </c>
      <c r="E4516" s="25">
        <v>16</v>
      </c>
      <c r="F4516" s="23">
        <v>5</v>
      </c>
      <c r="G4516" s="152" cm="1">
        <f t="array" ref="G4516">SUM(E4516/F4516)</f>
        <v>3.2</v>
      </c>
      <c r="H4516" s="15"/>
    </row>
    <row r="4517" ht="13.65" customHeight="1">
      <c r="A4517" s="21">
        <v>69</v>
      </c>
      <c r="B4517" t="s" s="22">
        <v>598</v>
      </c>
      <c r="C4517" t="s" s="24">
        <v>481</v>
      </c>
      <c r="D4517" t="s" s="24">
        <v>597</v>
      </c>
      <c r="E4517" s="25">
        <v>3.5</v>
      </c>
      <c r="F4517" s="23">
        <v>5</v>
      </c>
      <c r="G4517" s="152" cm="1">
        <f t="array" ref="G4517">SUM(E4517/F4517)</f>
        <v>0.7</v>
      </c>
      <c r="H4517" s="15"/>
    </row>
    <row r="4518" ht="13.65" customHeight="1">
      <c r="A4518" s="21">
        <v>76</v>
      </c>
      <c r="B4518" t="s" s="22">
        <v>599</v>
      </c>
      <c r="C4518" t="s" s="24">
        <v>384</v>
      </c>
      <c r="D4518" t="s" s="24">
        <v>418</v>
      </c>
      <c r="E4518" s="25">
        <v>18</v>
      </c>
      <c r="F4518" s="23">
        <v>100</v>
      </c>
      <c r="G4518" s="152" cm="1">
        <f t="array" ref="G4518">SUM(E4518/F4518)</f>
        <v>0.18</v>
      </c>
      <c r="H4518" s="15"/>
    </row>
    <row r="4519" ht="13.65" customHeight="1">
      <c r="A4519" s="21">
        <v>48</v>
      </c>
      <c r="B4519" t="s" s="22">
        <v>710</v>
      </c>
      <c r="C4519" s="23">
        <v>1</v>
      </c>
      <c r="D4519" t="s" s="24">
        <v>277</v>
      </c>
      <c r="E4519" s="25">
        <v>1</v>
      </c>
      <c r="F4519" s="23">
        <v>2</v>
      </c>
      <c r="G4519" s="152" cm="1">
        <f t="array" ref="G4519">SUM(E4519/F4519)</f>
        <v>0.5</v>
      </c>
      <c r="H4519" s="15"/>
    </row>
    <row r="4520" ht="13.65" customHeight="1">
      <c r="A4520" s="21">
        <v>101</v>
      </c>
      <c r="B4520" t="s" s="22">
        <v>407</v>
      </c>
      <c r="C4520" t="s" s="24">
        <v>380</v>
      </c>
      <c r="D4520" t="s" s="24">
        <v>408</v>
      </c>
      <c r="E4520" s="25">
        <v>7.5</v>
      </c>
      <c r="F4520" s="23">
        <v>50</v>
      </c>
      <c r="G4520" s="152" cm="1">
        <f t="array" ref="G4520">SUM(E4520/F4520)</f>
        <v>0.15</v>
      </c>
      <c r="H4520" s="15"/>
    </row>
    <row r="4521" ht="13.65" customHeight="1">
      <c r="A4521" s="21">
        <v>105</v>
      </c>
      <c r="B4521" t="s" s="22">
        <v>600</v>
      </c>
      <c r="C4521" s="23">
        <v>1</v>
      </c>
      <c r="D4521" t="s" s="24">
        <v>104</v>
      </c>
      <c r="E4521" s="25">
        <v>0.35</v>
      </c>
      <c r="F4521" s="23">
        <v>1</v>
      </c>
      <c r="G4521" s="152" cm="1">
        <f t="array" ref="G4521">SUM(E4521/F4521)</f>
        <v>0.35</v>
      </c>
      <c r="H4521" s="15"/>
    </row>
    <row r="4522" ht="13.65" customHeight="1">
      <c r="A4522" s="21">
        <v>131</v>
      </c>
      <c r="B4522" t="s" s="22">
        <v>482</v>
      </c>
      <c r="C4522" s="27"/>
      <c r="D4522" s="24"/>
      <c r="E4522" s="27"/>
      <c r="F4522" s="27"/>
      <c r="G4522" s="152">
        <v>150</v>
      </c>
      <c r="H4522" s="15"/>
    </row>
    <row r="4523" ht="13.65" customHeight="1">
      <c r="A4523" s="28"/>
      <c r="B4523" s="28"/>
      <c r="C4523" s="27"/>
      <c r="D4523" s="24"/>
      <c r="E4523" s="27"/>
      <c r="F4523" t="s" s="29">
        <v>118</v>
      </c>
      <c r="G4523" s="197" cm="1">
        <f t="array" ref="G4523">SUM(G4498:G4522)</f>
        <v>189.266633599149</v>
      </c>
      <c r="H4523" s="15"/>
    </row>
    <row r="4524" ht="13.65" customHeight="1">
      <c r="A4524" s="31"/>
      <c r="B4524" s="31"/>
      <c r="C4524" s="31"/>
      <c r="D4524" s="31"/>
      <c r="E4524" s="31"/>
      <c r="F4524" s="31"/>
      <c r="G4524" s="31"/>
      <c r="H4524" s="3"/>
    </row>
    <row r="4525" ht="13.65" customHeight="1">
      <c r="A4525" t="s" s="5">
        <v>602</v>
      </c>
      <c r="B4525" s="3"/>
      <c r="C4525" s="3"/>
      <c r="D4525" s="3"/>
      <c r="E4525" s="3"/>
      <c r="F4525" s="3"/>
      <c r="G4525" s="3"/>
      <c r="H4525" s="3"/>
    </row>
    <row r="4526" ht="13.65" customHeight="1">
      <c r="A4526" s="11"/>
      <c r="B4526" s="11"/>
      <c r="C4526" s="11"/>
      <c r="D4526" s="11"/>
      <c r="E4526" s="11"/>
      <c r="F4526" s="11"/>
      <c r="G4526" s="11"/>
      <c r="H4526" s="3"/>
    </row>
    <row r="4527" ht="11.7" customHeight="1">
      <c r="A4527" t="s" s="167">
        <v>136</v>
      </c>
      <c r="B4527" t="s" s="167">
        <v>281</v>
      </c>
      <c r="C4527" t="s" s="167">
        <v>282</v>
      </c>
      <c r="D4527" t="s" s="167">
        <v>118</v>
      </c>
      <c r="E4527" t="s" s="167">
        <v>604</v>
      </c>
      <c r="F4527" t="s" s="167">
        <v>605</v>
      </c>
      <c r="G4527" s="167"/>
      <c r="H4527" s="170"/>
    </row>
    <row r="4528" ht="13.65" customHeight="1">
      <c r="A4528" s="23">
        <v>180</v>
      </c>
      <c r="B4528" s="172" cm="1">
        <f t="array" ref="B4528">SUM(H256)</f>
        <v>2.47496540404041</v>
      </c>
      <c r="C4528" s="172" cm="1">
        <f t="array" ref="C4528">SUM(G4523)</f>
        <v>189.266633599149</v>
      </c>
      <c r="D4528" s="308" cm="1">
        <f t="array" ref="D4528">SUM(A4528*B4528+C4528)</f>
        <v>634.760406326423</v>
      </c>
      <c r="E4528" s="198" cm="1">
        <f t="array" ref="E4528">SUM(D4528)*0.2</f>
        <v>126.952081265285</v>
      </c>
      <c r="F4528" s="154" cm="1">
        <f t="array" ref="F4528">SUM(D4528:E4528)</f>
        <v>761.7124875917081</v>
      </c>
      <c r="G4528" s="306"/>
      <c r="H4528" s="15"/>
    </row>
    <row r="4529" ht="13.65" customHeight="1">
      <c r="A4529" s="31"/>
      <c r="B4529" s="31"/>
      <c r="C4529" s="31"/>
      <c r="D4529" s="31"/>
      <c r="E4529" s="31"/>
      <c r="F4529" s="31"/>
      <c r="G4529" s="31"/>
      <c r="H4529" s="3"/>
    </row>
    <row r="4530" ht="13.65" customHeight="1">
      <c r="A4530" s="203"/>
      <c r="B4530" s="203"/>
      <c r="C4530" s="203"/>
      <c r="D4530" s="203"/>
      <c r="E4530" s="203"/>
      <c r="F4530" s="203"/>
      <c r="G4530" s="203"/>
      <c r="H4530" s="203"/>
    </row>
    <row r="4531" ht="13.65" customHeight="1">
      <c r="A4531" t="s" s="274">
        <v>185</v>
      </c>
      <c r="B4531" s="275"/>
      <c r="C4531" s="275"/>
      <c r="D4531" s="275"/>
      <c r="E4531" s="280"/>
      <c r="F4531" s="275"/>
      <c r="G4531" s="275"/>
      <c r="H4531" s="277"/>
    </row>
    <row r="4532" ht="13.65" customHeight="1">
      <c r="A4532" s="278"/>
      <c r="B4532" s="278"/>
      <c r="C4532" s="278"/>
      <c r="D4532" s="278"/>
      <c r="E4532" s="278"/>
      <c r="F4532" s="278"/>
      <c r="G4532" s="278"/>
      <c r="H4532" s="278"/>
    </row>
    <row r="4533" ht="13.65" customHeight="1">
      <c r="A4533" s="3"/>
      <c r="B4533" s="3"/>
      <c r="C4533" s="3"/>
      <c r="D4533" s="3"/>
      <c r="E4533" s="3"/>
      <c r="F4533" s="3"/>
      <c r="G4533" s="3"/>
      <c r="H4533" s="3"/>
    </row>
    <row r="4534" ht="13.65" customHeight="1">
      <c r="A4534" t="s" s="5">
        <v>827</v>
      </c>
      <c r="B4534" s="3"/>
      <c r="C4534" s="3"/>
      <c r="D4534" s="3"/>
      <c r="E4534" s="3"/>
      <c r="F4534" s="3"/>
      <c r="G4534" s="3"/>
      <c r="H4534" s="3"/>
    </row>
    <row r="4535" ht="13.65" customHeight="1">
      <c r="A4535" s="11"/>
      <c r="B4535" s="11"/>
      <c r="C4535" s="11"/>
      <c r="D4535" s="11"/>
      <c r="E4535" s="11"/>
      <c r="F4535" s="11"/>
      <c r="G4535" s="11"/>
      <c r="H4535" s="3"/>
    </row>
    <row r="4536" ht="13.65" customHeight="1">
      <c r="A4536" s="12"/>
      <c r="B4536" s="12"/>
      <c r="C4536" s="13"/>
      <c r="D4536" s="14"/>
      <c r="E4536" s="13"/>
      <c r="F4536" s="13"/>
      <c r="G4536" t="s" s="14">
        <v>252</v>
      </c>
      <c r="H4536" s="150"/>
    </row>
    <row r="4537" ht="13.65" customHeight="1">
      <c r="A4537" t="s" s="16">
        <v>93</v>
      </c>
      <c r="B4537" t="s" s="16">
        <v>94</v>
      </c>
      <c r="C4537" t="s" s="16">
        <v>95</v>
      </c>
      <c r="D4537" t="s" s="16">
        <v>96</v>
      </c>
      <c r="E4537" t="s" s="16">
        <v>97</v>
      </c>
      <c r="F4537" t="s" s="16">
        <v>98</v>
      </c>
      <c r="G4537" t="s" s="16">
        <v>99</v>
      </c>
      <c r="H4537" s="15"/>
    </row>
    <row r="4538" ht="13.65" customHeight="1">
      <c r="A4538" s="151"/>
      <c r="B4538" s="151"/>
      <c r="C4538" s="19"/>
      <c r="D4538" s="20"/>
      <c r="E4538" s="19"/>
      <c r="F4538" s="19"/>
      <c r="G4538" t="s" s="20">
        <v>100</v>
      </c>
      <c r="H4538" s="15"/>
    </row>
    <row r="4539" ht="13.65" customHeight="1">
      <c r="A4539" s="21">
        <v>72</v>
      </c>
      <c r="B4539" t="s" s="22">
        <v>101</v>
      </c>
      <c r="C4539" s="23">
        <v>50</v>
      </c>
      <c r="D4539" t="s" s="24">
        <v>608</v>
      </c>
      <c r="E4539" s="25">
        <v>1.93</v>
      </c>
      <c r="F4539" s="23">
        <v>6.25</v>
      </c>
      <c r="G4539" s="152" cm="1">
        <f t="array" ref="G4539">SUM(E4539/F4539)</f>
        <v>0.3088</v>
      </c>
      <c r="H4539" s="15"/>
    </row>
    <row r="4540" ht="13.65" customHeight="1">
      <c r="A4540" s="21">
        <v>123</v>
      </c>
      <c r="B4540" t="s" s="22">
        <v>103</v>
      </c>
      <c r="C4540" s="23">
        <v>40</v>
      </c>
      <c r="D4540" t="s" s="24">
        <v>274</v>
      </c>
      <c r="E4540" s="25">
        <v>3.2</v>
      </c>
      <c r="F4540" s="23">
        <v>10</v>
      </c>
      <c r="G4540" s="152" cm="1">
        <f t="array" ref="G4540">SUM(E4540/F4540)</f>
        <v>0.32</v>
      </c>
      <c r="H4540" s="15"/>
    </row>
    <row r="4541" ht="13.65" customHeight="1">
      <c r="A4541" s="21">
        <v>57</v>
      </c>
      <c r="B4541" t="s" s="22">
        <v>253</v>
      </c>
      <c r="C4541" t="s" s="24">
        <v>389</v>
      </c>
      <c r="D4541" t="s" s="24">
        <v>824</v>
      </c>
      <c r="E4541" s="25">
        <v>4.5</v>
      </c>
      <c r="F4541" s="23">
        <v>11</v>
      </c>
      <c r="G4541" s="152" cm="1">
        <f t="array" ref="G4541">SUM(E4541/F4541)</f>
        <v>0.409090909090909</v>
      </c>
      <c r="H4541" s="15"/>
    </row>
    <row r="4542" ht="13.65" customHeight="1">
      <c r="A4542" s="21">
        <v>117</v>
      </c>
      <c r="B4542" t="s" s="22">
        <v>105</v>
      </c>
      <c r="C4542" s="23">
        <v>100</v>
      </c>
      <c r="D4542" t="s" s="24">
        <v>106</v>
      </c>
      <c r="E4542" s="25">
        <v>1.2</v>
      </c>
      <c r="F4542" s="23">
        <v>10</v>
      </c>
      <c r="G4542" s="152" cm="1">
        <f t="array" ref="G4542">SUM(E4542/F4542)</f>
        <v>0.12</v>
      </c>
      <c r="H4542" s="15"/>
    </row>
    <row r="4543" ht="13.65" customHeight="1">
      <c r="A4543" s="21">
        <v>86</v>
      </c>
      <c r="B4543" t="s" s="22">
        <v>107</v>
      </c>
      <c r="C4543" t="s" s="24">
        <v>108</v>
      </c>
      <c r="D4543" t="s" s="24">
        <v>608</v>
      </c>
      <c r="E4543" s="25">
        <v>0.32</v>
      </c>
      <c r="F4543" t="s" s="24">
        <v>825</v>
      </c>
      <c r="G4543" s="152" cm="1">
        <f t="array" ref="G4543">SUM(E4543*8)</f>
        <v>2.56</v>
      </c>
      <c r="H4543" s="15"/>
    </row>
    <row r="4544" ht="13.65" customHeight="1">
      <c r="A4544" s="21">
        <v>71</v>
      </c>
      <c r="B4544" t="s" s="22">
        <v>109</v>
      </c>
      <c r="C4544" s="23">
        <v>10</v>
      </c>
      <c r="D4544" t="s" s="24">
        <v>608</v>
      </c>
      <c r="E4544" s="25">
        <v>5.92</v>
      </c>
      <c r="F4544" s="23">
        <v>1.25</v>
      </c>
      <c r="G4544" s="152" cm="1">
        <f t="array" ref="G4544">SUM(E4544/F4544)</f>
        <v>4.736</v>
      </c>
      <c r="H4544" s="15"/>
    </row>
    <row r="4545" ht="13.65" customHeight="1">
      <c r="A4545" s="21">
        <v>87</v>
      </c>
      <c r="B4545" t="s" s="22">
        <v>110</v>
      </c>
      <c r="C4545" s="23">
        <v>50</v>
      </c>
      <c r="D4545" t="s" s="24">
        <v>608</v>
      </c>
      <c r="E4545" s="25">
        <v>9</v>
      </c>
      <c r="F4545" s="23">
        <v>6.25</v>
      </c>
      <c r="G4545" s="152" cm="1">
        <f t="array" ref="G4545">SUM(E4545/F4545)</f>
        <v>1.44</v>
      </c>
      <c r="H4545" s="15"/>
    </row>
    <row r="4546" ht="13.65" customHeight="1">
      <c r="A4546" s="21">
        <v>55</v>
      </c>
      <c r="B4546" t="s" s="22">
        <v>111</v>
      </c>
      <c r="C4546" t="s" s="24">
        <v>112</v>
      </c>
      <c r="D4546" t="s" s="24">
        <v>826</v>
      </c>
      <c r="E4546" s="25">
        <v>2.71</v>
      </c>
      <c r="F4546" s="23">
        <v>19</v>
      </c>
      <c r="G4546" s="152" cm="1">
        <f t="array" ref="G4546">SUM(E4546/F4546)</f>
        <v>0.142631578947368</v>
      </c>
      <c r="H4546" s="15"/>
    </row>
    <row r="4547" ht="13.65" customHeight="1">
      <c r="A4547" s="21">
        <v>24</v>
      </c>
      <c r="B4547" t="s" s="22">
        <v>531</v>
      </c>
      <c r="C4547" s="23">
        <v>10</v>
      </c>
      <c r="D4547" t="s" s="24">
        <v>104</v>
      </c>
      <c r="E4547" s="25">
        <v>9.6</v>
      </c>
      <c r="F4547" s="23">
        <v>10</v>
      </c>
      <c r="G4547" s="152" cm="1">
        <f t="array" ref="G4547">SUM(E4547/F4547)</f>
        <v>0.96</v>
      </c>
      <c r="H4547" s="15"/>
    </row>
    <row r="4548" ht="13.65" customHeight="1">
      <c r="A4548" s="21">
        <v>19</v>
      </c>
      <c r="B4548" t="s" s="22">
        <v>445</v>
      </c>
      <c r="C4548" s="23">
        <v>6</v>
      </c>
      <c r="D4548" t="s" s="24">
        <v>694</v>
      </c>
      <c r="E4548" s="25">
        <v>5.2</v>
      </c>
      <c r="F4548" s="23">
        <v>10</v>
      </c>
      <c r="G4548" s="152" cm="1">
        <f t="array" ref="G4548">SUM(E4548/F4548)</f>
        <v>0.52</v>
      </c>
      <c r="H4548" s="15"/>
    </row>
    <row r="4549" ht="13.65" customHeight="1">
      <c r="A4549" s="21">
        <v>19</v>
      </c>
      <c r="B4549" t="s" s="22">
        <v>437</v>
      </c>
      <c r="C4549" s="23">
        <v>2</v>
      </c>
      <c r="D4549" t="s" s="24">
        <v>640</v>
      </c>
      <c r="E4549" s="25">
        <v>5.2</v>
      </c>
      <c r="F4549" s="23">
        <v>5</v>
      </c>
      <c r="G4549" s="152" cm="1">
        <f t="array" ref="G4549">SUM(E4549/F4549)</f>
        <v>1.04</v>
      </c>
      <c r="H4549" s="15"/>
    </row>
    <row r="4550" ht="13.65" customHeight="1">
      <c r="A4550" s="21">
        <v>30</v>
      </c>
      <c r="B4550" t="s" s="22">
        <v>589</v>
      </c>
      <c r="C4550" t="s" s="24">
        <v>538</v>
      </c>
      <c r="D4550" t="s" s="24">
        <v>518</v>
      </c>
      <c r="E4550" s="25">
        <v>423</v>
      </c>
      <c r="F4550" s="23">
        <v>40</v>
      </c>
      <c r="G4550" s="152" cm="1">
        <f t="array" ref="G4550">SUM(E4550/F4550)</f>
        <v>10.575</v>
      </c>
      <c r="H4550" s="15"/>
    </row>
    <row r="4551" ht="13.65" customHeight="1">
      <c r="A4551" s="21">
        <v>59</v>
      </c>
      <c r="B4551" t="s" s="22">
        <v>591</v>
      </c>
      <c r="C4551" t="s" s="24">
        <v>592</v>
      </c>
      <c r="D4551" t="s" s="24">
        <v>593</v>
      </c>
      <c r="E4551" s="25">
        <v>18</v>
      </c>
      <c r="F4551" s="23">
        <v>36</v>
      </c>
      <c r="G4551" s="152" cm="1">
        <f t="array" ref="G4551">SUM(E4551/F4551)</f>
        <v>0.5</v>
      </c>
      <c r="H4551" s="15"/>
    </row>
    <row r="4552" ht="13.65" customHeight="1">
      <c r="A4552" s="21">
        <v>27</v>
      </c>
      <c r="B4552" t="s" s="22">
        <v>474</v>
      </c>
      <c r="C4552" s="23">
        <v>18</v>
      </c>
      <c r="D4552" t="s" s="24">
        <v>104</v>
      </c>
      <c r="E4552" s="25">
        <v>6.5</v>
      </c>
      <c r="F4552" s="23">
        <v>18</v>
      </c>
      <c r="G4552" s="152" cm="1">
        <f t="array" ref="G4552">SUM(E4552/F4552)</f>
        <v>0.361111111111111</v>
      </c>
      <c r="H4552" s="15"/>
    </row>
    <row r="4553" ht="13.65" customHeight="1">
      <c r="A4553" s="21">
        <v>49</v>
      </c>
      <c r="B4553" t="s" s="22">
        <v>706</v>
      </c>
      <c r="C4553" s="23">
        <v>120</v>
      </c>
      <c r="D4553" t="s" s="24">
        <v>256</v>
      </c>
      <c r="E4553" s="25">
        <v>132</v>
      </c>
      <c r="F4553" s="23">
        <v>40</v>
      </c>
      <c r="G4553" s="152" cm="1">
        <f t="array" ref="G4553">SUM(E4553/F4553)</f>
        <v>3.3</v>
      </c>
      <c r="H4553" s="15"/>
    </row>
    <row r="4554" ht="13.65" customHeight="1">
      <c r="A4554" s="21">
        <v>120</v>
      </c>
      <c r="B4554" t="s" s="22">
        <v>799</v>
      </c>
      <c r="C4554" t="s" s="24">
        <v>538</v>
      </c>
      <c r="D4554" t="s" s="24">
        <v>401</v>
      </c>
      <c r="E4554" s="25">
        <v>165</v>
      </c>
      <c r="F4554" s="23">
        <v>30</v>
      </c>
      <c r="G4554" s="152" cm="1">
        <f t="array" ref="G4554">SUM(E4554/F4554)</f>
        <v>5.5</v>
      </c>
      <c r="H4554" s="15"/>
    </row>
    <row r="4555" ht="13.65" customHeight="1">
      <c r="A4555" s="21">
        <v>111</v>
      </c>
      <c r="B4555" t="s" s="22">
        <v>476</v>
      </c>
      <c r="C4555" s="23">
        <v>1</v>
      </c>
      <c r="D4555" t="s" s="24">
        <v>401</v>
      </c>
      <c r="E4555" s="25">
        <v>2.7</v>
      </c>
      <c r="F4555" s="23">
        <v>30</v>
      </c>
      <c r="G4555" s="152" cm="1">
        <f t="array" ref="G4555">SUM(E4555/F4555)</f>
        <v>0.09</v>
      </c>
      <c r="H4555" s="15"/>
    </row>
    <row r="4556" ht="13.65" customHeight="1">
      <c r="A4556" s="21">
        <v>7</v>
      </c>
      <c r="B4556" t="s" s="22">
        <v>477</v>
      </c>
      <c r="C4556" t="s" s="24">
        <v>478</v>
      </c>
      <c r="D4556" t="s" s="24">
        <v>479</v>
      </c>
      <c r="E4556" s="25">
        <v>14</v>
      </c>
      <c r="F4556" s="23">
        <v>10</v>
      </c>
      <c r="G4556" s="152" cm="1">
        <f t="array" ref="G4556">SUM(E4556/F4556)</f>
        <v>1.4</v>
      </c>
      <c r="H4556" s="15"/>
    </row>
    <row r="4557" ht="13.65" customHeight="1">
      <c r="A4557" s="21">
        <v>68</v>
      </c>
      <c r="B4557" t="s" s="22">
        <v>480</v>
      </c>
      <c r="C4557" t="s" s="24">
        <v>481</v>
      </c>
      <c r="D4557" t="s" s="24">
        <v>597</v>
      </c>
      <c r="E4557" s="25">
        <v>16</v>
      </c>
      <c r="F4557" s="23">
        <v>5</v>
      </c>
      <c r="G4557" s="152" cm="1">
        <f t="array" ref="G4557">SUM(E4557/F4557)</f>
        <v>3.2</v>
      </c>
      <c r="H4557" s="15"/>
    </row>
    <row r="4558" ht="13.65" customHeight="1">
      <c r="A4558" s="21">
        <v>69</v>
      </c>
      <c r="B4558" t="s" s="22">
        <v>598</v>
      </c>
      <c r="C4558" t="s" s="24">
        <v>481</v>
      </c>
      <c r="D4558" t="s" s="24">
        <v>597</v>
      </c>
      <c r="E4558" s="25">
        <v>3.5</v>
      </c>
      <c r="F4558" s="23">
        <v>5</v>
      </c>
      <c r="G4558" s="152" cm="1">
        <f t="array" ref="G4558">SUM(E4558/F4558)</f>
        <v>0.7</v>
      </c>
      <c r="H4558" s="15"/>
    </row>
    <row r="4559" ht="13.65" customHeight="1">
      <c r="A4559" s="21">
        <v>76</v>
      </c>
      <c r="B4559" t="s" s="22">
        <v>599</v>
      </c>
      <c r="C4559" t="s" s="24">
        <v>384</v>
      </c>
      <c r="D4559" t="s" s="24">
        <v>418</v>
      </c>
      <c r="E4559" s="25">
        <v>18</v>
      </c>
      <c r="F4559" s="23">
        <v>100</v>
      </c>
      <c r="G4559" s="152" cm="1">
        <f t="array" ref="G4559">SUM(E4559/F4559)</f>
        <v>0.18</v>
      </c>
      <c r="H4559" s="15"/>
    </row>
    <row r="4560" ht="13.65" customHeight="1">
      <c r="A4560" s="21">
        <v>48</v>
      </c>
      <c r="B4560" t="s" s="22">
        <v>710</v>
      </c>
      <c r="C4560" s="23">
        <v>1</v>
      </c>
      <c r="D4560" t="s" s="24">
        <v>277</v>
      </c>
      <c r="E4560" s="25">
        <v>1</v>
      </c>
      <c r="F4560" s="23">
        <v>2</v>
      </c>
      <c r="G4560" s="152" cm="1">
        <f t="array" ref="G4560">SUM(E4560/F4560)</f>
        <v>0.5</v>
      </c>
      <c r="H4560" s="15"/>
    </row>
    <row r="4561" ht="13.65" customHeight="1">
      <c r="A4561" s="21">
        <v>101</v>
      </c>
      <c r="B4561" t="s" s="22">
        <v>407</v>
      </c>
      <c r="C4561" t="s" s="24">
        <v>380</v>
      </c>
      <c r="D4561" t="s" s="24">
        <v>408</v>
      </c>
      <c r="E4561" s="25">
        <v>7.5</v>
      </c>
      <c r="F4561" s="23">
        <v>50</v>
      </c>
      <c r="G4561" s="152" cm="1">
        <f t="array" ref="G4561">SUM(E4561/F4561)</f>
        <v>0.15</v>
      </c>
      <c r="H4561" s="15"/>
    </row>
    <row r="4562" ht="13.65" customHeight="1">
      <c r="A4562" s="21">
        <v>105</v>
      </c>
      <c r="B4562" t="s" s="22">
        <v>600</v>
      </c>
      <c r="C4562" s="23">
        <v>1</v>
      </c>
      <c r="D4562" t="s" s="24">
        <v>104</v>
      </c>
      <c r="E4562" s="25">
        <v>0.35</v>
      </c>
      <c r="F4562" s="23">
        <v>1</v>
      </c>
      <c r="G4562" s="152" cm="1">
        <f t="array" ref="G4562">SUM(E4562/F4562)</f>
        <v>0.35</v>
      </c>
      <c r="H4562" s="15"/>
    </row>
    <row r="4563" ht="13.65" customHeight="1">
      <c r="A4563" s="21">
        <v>131</v>
      </c>
      <c r="B4563" t="s" s="22">
        <v>482</v>
      </c>
      <c r="C4563" s="27"/>
      <c r="D4563" s="24"/>
      <c r="E4563" s="27"/>
      <c r="F4563" s="27"/>
      <c r="G4563" s="152">
        <v>90</v>
      </c>
      <c r="H4563" s="15"/>
    </row>
    <row r="4564" ht="13.65" customHeight="1">
      <c r="A4564" s="28"/>
      <c r="B4564" s="28"/>
      <c r="C4564" s="27"/>
      <c r="D4564" s="24"/>
      <c r="E4564" s="27"/>
      <c r="F4564" t="s" s="29">
        <v>118</v>
      </c>
      <c r="G4564" s="197" cm="1">
        <f t="array" ref="G4564">SUM(G4539:G4563)</f>
        <v>129.362633599149</v>
      </c>
      <c r="H4564" s="15"/>
    </row>
    <row r="4565" ht="13.65" customHeight="1">
      <c r="A4565" s="31"/>
      <c r="B4565" s="31"/>
      <c r="C4565" s="31"/>
      <c r="D4565" s="31"/>
      <c r="E4565" s="31"/>
      <c r="F4565" s="31"/>
      <c r="G4565" s="31"/>
      <c r="H4565" s="3"/>
    </row>
    <row r="4566" ht="13.65" customHeight="1">
      <c r="A4566" t="s" s="5">
        <v>809</v>
      </c>
      <c r="B4566" s="3"/>
      <c r="C4566" s="3"/>
      <c r="D4566" s="3"/>
      <c r="E4566" s="3"/>
      <c r="F4566" s="3"/>
      <c r="G4566" s="3"/>
      <c r="H4566" s="3"/>
    </row>
    <row r="4567" ht="13.65" customHeight="1">
      <c r="A4567" s="11"/>
      <c r="B4567" s="11"/>
      <c r="C4567" s="11"/>
      <c r="D4567" s="11"/>
      <c r="E4567" s="11"/>
      <c r="F4567" s="11"/>
      <c r="G4567" s="11"/>
      <c r="H4567" s="3"/>
    </row>
    <row r="4568" ht="11.7" customHeight="1">
      <c r="A4568" t="s" s="167">
        <v>136</v>
      </c>
      <c r="B4568" t="s" s="167">
        <v>281</v>
      </c>
      <c r="C4568" t="s" s="167">
        <v>282</v>
      </c>
      <c r="D4568" t="s" s="167">
        <v>118</v>
      </c>
      <c r="E4568" t="s" s="167">
        <v>810</v>
      </c>
      <c r="F4568" t="s" s="167">
        <v>605</v>
      </c>
      <c r="G4568" s="167"/>
      <c r="H4568" s="170"/>
    </row>
    <row r="4569" ht="13.65" customHeight="1">
      <c r="A4569" s="23">
        <v>180</v>
      </c>
      <c r="B4569" s="172" cm="1">
        <f t="array" ref="B4569">SUM(H256)</f>
        <v>2.47496540404041</v>
      </c>
      <c r="C4569" s="172" cm="1">
        <f t="array" ref="C4569">SUM(G4564)</f>
        <v>129.362633599149</v>
      </c>
      <c r="D4569" s="308" cm="1">
        <f t="array" ref="D4569">SUM(A4569*B4569+C4569)</f>
        <v>574.856406326423</v>
      </c>
      <c r="E4569" s="198" cm="1">
        <f t="array" ref="E4569">SUM(D4569)*0.15</f>
        <v>86.2284609489635</v>
      </c>
      <c r="F4569" s="154" cm="1">
        <f t="array" ref="F4569">SUM(D4569:E4569)</f>
        <v>661.084867275387</v>
      </c>
      <c r="G4569" s="306"/>
      <c r="H4569" s="15"/>
    </row>
    <row r="4570" ht="13.65" customHeight="1">
      <c r="A4570" s="31"/>
      <c r="B4570" s="31"/>
      <c r="C4570" s="31"/>
      <c r="D4570" s="31"/>
      <c r="E4570" s="31"/>
      <c r="F4570" s="31"/>
      <c r="G4570" s="31"/>
      <c r="H4570" s="3"/>
    </row>
    <row r="4571" ht="13.65" customHeight="1">
      <c r="A4571" s="203"/>
      <c r="B4571" s="203"/>
      <c r="C4571" s="203"/>
      <c r="D4571" s="203"/>
      <c r="E4571" s="203"/>
      <c r="F4571" s="203"/>
      <c r="G4571" s="203"/>
      <c r="H4571" s="203"/>
    </row>
    <row r="4572" ht="13.65" customHeight="1">
      <c r="A4572" t="s" s="274">
        <v>185</v>
      </c>
      <c r="B4572" s="275"/>
      <c r="C4572" s="275"/>
      <c r="D4572" s="275"/>
      <c r="E4572" s="280"/>
      <c r="F4572" s="275"/>
      <c r="G4572" s="275"/>
      <c r="H4572" s="277"/>
    </row>
    <row r="4573" ht="13.65" customHeight="1">
      <c r="A4573" s="278"/>
      <c r="B4573" s="278"/>
      <c r="C4573" s="278"/>
      <c r="D4573" s="278"/>
      <c r="E4573" s="278"/>
      <c r="F4573" s="278"/>
      <c r="G4573" s="278"/>
      <c r="H4573" s="278"/>
    </row>
    <row r="4574" ht="13.65" customHeight="1">
      <c r="A4574" s="3"/>
      <c r="B4574" s="3"/>
      <c r="C4574" s="3"/>
      <c r="D4574" s="3"/>
      <c r="E4574" s="3"/>
      <c r="F4574" s="3"/>
      <c r="G4574" s="3"/>
      <c r="H4574" s="3"/>
    </row>
    <row r="4575" ht="13.65" customHeight="1">
      <c r="A4575" t="s" s="5">
        <v>828</v>
      </c>
      <c r="B4575" s="3"/>
      <c r="C4575" s="3"/>
      <c r="D4575" s="3"/>
      <c r="E4575" s="3"/>
      <c r="F4575" s="3"/>
      <c r="G4575" s="3"/>
      <c r="H4575" s="3"/>
    </row>
    <row r="4576" ht="13.65" customHeight="1">
      <c r="A4576" s="11"/>
      <c r="B4576" s="11"/>
      <c r="C4576" s="11"/>
      <c r="D4576" s="11"/>
      <c r="E4576" s="11"/>
      <c r="F4576" s="11"/>
      <c r="G4576" s="11"/>
      <c r="H4576" s="3"/>
    </row>
    <row r="4577" ht="13.65" customHeight="1">
      <c r="A4577" s="12"/>
      <c r="B4577" s="12"/>
      <c r="C4577" s="13"/>
      <c r="D4577" s="14"/>
      <c r="E4577" s="13"/>
      <c r="F4577" s="13"/>
      <c r="G4577" t="s" s="14">
        <v>252</v>
      </c>
      <c r="H4577" s="150"/>
    </row>
    <row r="4578" ht="13.65" customHeight="1">
      <c r="A4578" t="s" s="16">
        <v>93</v>
      </c>
      <c r="B4578" t="s" s="16">
        <v>94</v>
      </c>
      <c r="C4578" t="s" s="16">
        <v>95</v>
      </c>
      <c r="D4578" t="s" s="16">
        <v>96</v>
      </c>
      <c r="E4578" t="s" s="16">
        <v>97</v>
      </c>
      <c r="F4578" t="s" s="16">
        <v>98</v>
      </c>
      <c r="G4578" t="s" s="16">
        <v>99</v>
      </c>
      <c r="H4578" s="15"/>
    </row>
    <row r="4579" ht="13.65" customHeight="1">
      <c r="A4579" s="151"/>
      <c r="B4579" s="151"/>
      <c r="C4579" s="19"/>
      <c r="D4579" s="20"/>
      <c r="E4579" s="19"/>
      <c r="F4579" s="19"/>
      <c r="G4579" t="s" s="20">
        <v>100</v>
      </c>
      <c r="H4579" s="15"/>
    </row>
    <row r="4580" ht="13.65" customHeight="1">
      <c r="A4580" s="21">
        <v>72</v>
      </c>
      <c r="B4580" t="s" s="22">
        <v>101</v>
      </c>
      <c r="C4580" s="23">
        <v>50</v>
      </c>
      <c r="D4580" t="s" s="24">
        <v>608</v>
      </c>
      <c r="E4580" s="25">
        <v>1.93</v>
      </c>
      <c r="F4580" s="23">
        <v>6.25</v>
      </c>
      <c r="G4580" s="152" cm="1">
        <f t="array" ref="G4580">SUM(E4580/F4580)</f>
        <v>0.3088</v>
      </c>
      <c r="H4580" s="15"/>
    </row>
    <row r="4581" ht="13.65" customHeight="1">
      <c r="A4581" s="21">
        <v>123</v>
      </c>
      <c r="B4581" t="s" s="22">
        <v>103</v>
      </c>
      <c r="C4581" s="23">
        <v>40</v>
      </c>
      <c r="D4581" t="s" s="24">
        <v>274</v>
      </c>
      <c r="E4581" s="25">
        <v>3.2</v>
      </c>
      <c r="F4581" s="23">
        <v>10</v>
      </c>
      <c r="G4581" s="152" cm="1">
        <f t="array" ref="G4581">SUM(E4581/F4581)</f>
        <v>0.32</v>
      </c>
      <c r="H4581" s="15"/>
    </row>
    <row r="4582" ht="13.65" customHeight="1">
      <c r="A4582" s="21">
        <v>57</v>
      </c>
      <c r="B4582" t="s" s="22">
        <v>253</v>
      </c>
      <c r="C4582" t="s" s="24">
        <v>389</v>
      </c>
      <c r="D4582" t="s" s="24">
        <v>371</v>
      </c>
      <c r="E4582" s="25">
        <v>4.5</v>
      </c>
      <c r="F4582" s="23">
        <v>33</v>
      </c>
      <c r="G4582" s="152" cm="1">
        <f t="array" ref="G4582">SUM(E4582/F4582)</f>
        <v>0.136363636363636</v>
      </c>
      <c r="H4582" s="15"/>
    </row>
    <row r="4583" ht="13.65" customHeight="1">
      <c r="A4583" s="21">
        <v>86</v>
      </c>
      <c r="B4583" t="s" s="22">
        <v>107</v>
      </c>
      <c r="C4583" t="s" s="24">
        <v>108</v>
      </c>
      <c r="D4583" t="s" s="24">
        <v>608</v>
      </c>
      <c r="E4583" s="25">
        <v>0.32</v>
      </c>
      <c r="F4583" t="s" s="24">
        <v>825</v>
      </c>
      <c r="G4583" s="152" cm="1">
        <f t="array" ref="G4583">SUM(E4583*8)</f>
        <v>2.56</v>
      </c>
      <c r="H4583" s="15"/>
    </row>
    <row r="4584" ht="13.65" customHeight="1">
      <c r="A4584" s="21">
        <v>71</v>
      </c>
      <c r="B4584" t="s" s="22">
        <v>109</v>
      </c>
      <c r="C4584" s="23">
        <v>10</v>
      </c>
      <c r="D4584" t="s" s="24">
        <v>608</v>
      </c>
      <c r="E4584" s="25">
        <v>5.92</v>
      </c>
      <c r="F4584" s="23">
        <v>1.25</v>
      </c>
      <c r="G4584" s="152" cm="1">
        <f t="array" ref="G4584">SUM(E4584/F4584)</f>
        <v>4.736</v>
      </c>
      <c r="H4584" s="15"/>
    </row>
    <row r="4585" ht="13.65" customHeight="1">
      <c r="A4585" s="21">
        <v>87</v>
      </c>
      <c r="B4585" t="s" s="22">
        <v>110</v>
      </c>
      <c r="C4585" s="23">
        <v>50</v>
      </c>
      <c r="D4585" t="s" s="24">
        <v>608</v>
      </c>
      <c r="E4585" s="25">
        <v>9</v>
      </c>
      <c r="F4585" s="23">
        <v>6.25</v>
      </c>
      <c r="G4585" s="152" cm="1">
        <f t="array" ref="G4585">SUM(E4585/F4585)</f>
        <v>1.44</v>
      </c>
      <c r="H4585" s="15"/>
    </row>
    <row r="4586" ht="13.65" customHeight="1">
      <c r="A4586" s="21">
        <v>55</v>
      </c>
      <c r="B4586" t="s" s="22">
        <v>111</v>
      </c>
      <c r="C4586" t="s" s="24">
        <v>112</v>
      </c>
      <c r="D4586" t="s" s="24">
        <v>651</v>
      </c>
      <c r="E4586" s="25">
        <v>2.71</v>
      </c>
      <c r="F4586" s="23">
        <v>19</v>
      </c>
      <c r="G4586" s="152" cm="1">
        <f t="array" ref="G4586">SUM(E4586/F4586)</f>
        <v>0.142631578947368</v>
      </c>
      <c r="H4586" s="15"/>
    </row>
    <row r="4587" ht="13.65" customHeight="1">
      <c r="A4587" s="21">
        <v>24</v>
      </c>
      <c r="B4587" t="s" s="22">
        <v>531</v>
      </c>
      <c r="C4587" s="23">
        <v>10</v>
      </c>
      <c r="D4587" t="s" s="24">
        <v>256</v>
      </c>
      <c r="E4587" s="25">
        <v>9.6</v>
      </c>
      <c r="F4587" s="23">
        <v>3.33</v>
      </c>
      <c r="G4587" s="152" cm="1">
        <f t="array" ref="G4587">SUM(E4587/F4587)</f>
        <v>2.88288288288288</v>
      </c>
      <c r="H4587" s="15"/>
    </row>
    <row r="4588" ht="13.65" customHeight="1">
      <c r="A4588" s="21">
        <v>19</v>
      </c>
      <c r="B4588" t="s" s="22">
        <v>445</v>
      </c>
      <c r="C4588" s="23">
        <v>6</v>
      </c>
      <c r="D4588" t="s" s="24">
        <v>694</v>
      </c>
      <c r="E4588" s="25">
        <v>5.2</v>
      </c>
      <c r="F4588" s="23">
        <v>10</v>
      </c>
      <c r="G4588" s="152" cm="1">
        <f t="array" ref="G4588">SUM(E4588/F4588)</f>
        <v>0.52</v>
      </c>
      <c r="H4588" s="15"/>
    </row>
    <row r="4589" ht="13.65" customHeight="1">
      <c r="A4589" s="21">
        <v>27</v>
      </c>
      <c r="B4589" t="s" s="22">
        <v>594</v>
      </c>
      <c r="C4589" s="23">
        <v>18</v>
      </c>
      <c r="D4589" t="s" s="24">
        <v>104</v>
      </c>
      <c r="E4589" s="25">
        <v>6.5</v>
      </c>
      <c r="F4589" s="23">
        <v>18</v>
      </c>
      <c r="G4589" s="152" cm="1">
        <f t="array" ref="G4589">SUM(E4589/F4589)</f>
        <v>0.361111111111111</v>
      </c>
      <c r="H4589" s="15"/>
    </row>
    <row r="4590" ht="13.65" customHeight="1">
      <c r="A4590" s="21">
        <v>7</v>
      </c>
      <c r="B4590" t="s" s="22">
        <v>477</v>
      </c>
      <c r="C4590" t="s" s="24">
        <v>478</v>
      </c>
      <c r="D4590" t="s" s="24">
        <v>479</v>
      </c>
      <c r="E4590" s="25">
        <v>14</v>
      </c>
      <c r="F4590" s="23">
        <v>10</v>
      </c>
      <c r="G4590" s="152" cm="1">
        <f t="array" ref="G4590">SUM(E4590/F4590)</f>
        <v>1.4</v>
      </c>
      <c r="H4590" s="15"/>
    </row>
    <row r="4591" ht="13.65" customHeight="1">
      <c r="A4591" s="21">
        <v>68</v>
      </c>
      <c r="B4591" t="s" s="22">
        <v>480</v>
      </c>
      <c r="C4591" t="s" s="24">
        <v>481</v>
      </c>
      <c r="D4591" t="s" s="24">
        <v>597</v>
      </c>
      <c r="E4591" s="25">
        <v>16</v>
      </c>
      <c r="F4591" s="23">
        <v>5</v>
      </c>
      <c r="G4591" s="152" cm="1">
        <f t="array" ref="G4591">SUM(E4591/F4591)</f>
        <v>3.2</v>
      </c>
      <c r="H4591" s="15"/>
    </row>
    <row r="4592" ht="13.65" customHeight="1">
      <c r="A4592" s="21">
        <v>69</v>
      </c>
      <c r="B4592" t="s" s="22">
        <v>598</v>
      </c>
      <c r="C4592" t="s" s="24">
        <v>481</v>
      </c>
      <c r="D4592" t="s" s="24">
        <v>597</v>
      </c>
      <c r="E4592" s="25">
        <v>3.5</v>
      </c>
      <c r="F4592" s="23">
        <v>5</v>
      </c>
      <c r="G4592" s="152" cm="1">
        <f t="array" ref="G4592">SUM(E4592/F4592)</f>
        <v>0.7</v>
      </c>
      <c r="H4592" s="15"/>
    </row>
    <row r="4593" ht="13.65" customHeight="1">
      <c r="A4593" s="21">
        <v>48</v>
      </c>
      <c r="B4593" t="s" s="22">
        <v>710</v>
      </c>
      <c r="C4593" s="23">
        <v>1</v>
      </c>
      <c r="D4593" t="s" s="24">
        <v>375</v>
      </c>
      <c r="E4593" s="25">
        <v>1</v>
      </c>
      <c r="F4593" s="23">
        <v>2</v>
      </c>
      <c r="G4593" s="152" cm="1">
        <f t="array" ref="G4593">SUM(E4593/F4593)</f>
        <v>0.5</v>
      </c>
      <c r="H4593" s="15"/>
    </row>
    <row r="4594" ht="13.65" customHeight="1">
      <c r="A4594" s="21">
        <v>124</v>
      </c>
      <c r="B4594" t="s" s="22">
        <v>372</v>
      </c>
      <c r="C4594" s="23">
        <v>1</v>
      </c>
      <c r="D4594" t="s" s="24">
        <v>373</v>
      </c>
      <c r="E4594" s="25">
        <v>2.2</v>
      </c>
      <c r="F4594" s="23">
        <v>15</v>
      </c>
      <c r="G4594" s="152" cm="1">
        <f t="array" ref="G4594">SUM(E4594/F4594)</f>
        <v>0.146666666666667</v>
      </c>
      <c r="H4594" s="15"/>
    </row>
    <row r="4595" ht="13.65" customHeight="1">
      <c r="A4595" s="21">
        <v>101</v>
      </c>
      <c r="B4595" t="s" s="22">
        <v>407</v>
      </c>
      <c r="C4595" t="s" s="24">
        <v>380</v>
      </c>
      <c r="D4595" t="s" s="24">
        <v>537</v>
      </c>
      <c r="E4595" s="25">
        <v>7.5</v>
      </c>
      <c r="F4595" s="23">
        <v>25</v>
      </c>
      <c r="G4595" s="152" cm="1">
        <f t="array" ref="G4595">SUM(E4595/F4595)</f>
        <v>0.3</v>
      </c>
      <c r="H4595" s="15"/>
    </row>
    <row r="4596" ht="13.65" customHeight="1">
      <c r="A4596" s="21">
        <v>111</v>
      </c>
      <c r="B4596" t="s" s="22">
        <v>476</v>
      </c>
      <c r="C4596" s="23">
        <v>1</v>
      </c>
      <c r="D4596" t="s" s="24">
        <v>401</v>
      </c>
      <c r="E4596" s="25">
        <v>2.7</v>
      </c>
      <c r="F4596" s="23">
        <v>30</v>
      </c>
      <c r="G4596" s="152" cm="1">
        <f t="array" ref="G4596">SUM(E4596/F4596)</f>
        <v>0.09</v>
      </c>
      <c r="H4596" s="15"/>
    </row>
    <row r="4597" ht="13.65" customHeight="1">
      <c r="A4597" s="21">
        <v>102</v>
      </c>
      <c r="B4597" t="s" s="22">
        <v>709</v>
      </c>
      <c r="C4597" s="23">
        <v>1</v>
      </c>
      <c r="D4597" t="s" s="24">
        <v>401</v>
      </c>
      <c r="E4597" s="25">
        <v>2.7</v>
      </c>
      <c r="F4597" s="23">
        <v>50</v>
      </c>
      <c r="G4597" s="152" cm="1">
        <f t="array" ref="G4597">SUM(E4597/F4597)</f>
        <v>0.054</v>
      </c>
      <c r="H4597" s="15"/>
    </row>
    <row r="4598" ht="13.65" customHeight="1">
      <c r="A4598" s="21">
        <v>70</v>
      </c>
      <c r="B4598" t="s" s="22">
        <v>738</v>
      </c>
      <c r="C4598" s="23">
        <v>1</v>
      </c>
      <c r="D4598" t="s" s="24">
        <v>375</v>
      </c>
      <c r="E4598" s="25">
        <v>22</v>
      </c>
      <c r="F4598" s="23">
        <v>2</v>
      </c>
      <c r="G4598" s="152" cm="1">
        <f t="array" ref="G4598">SUM(E4598/F4598)</f>
        <v>11</v>
      </c>
      <c r="H4598" s="15"/>
    </row>
    <row r="4599" ht="13.65" customHeight="1">
      <c r="A4599" s="21">
        <v>98</v>
      </c>
      <c r="B4599" t="s" s="22">
        <v>739</v>
      </c>
      <c r="C4599" t="s" s="24">
        <v>740</v>
      </c>
      <c r="D4599" t="s" s="24">
        <v>397</v>
      </c>
      <c r="E4599" s="25">
        <v>33</v>
      </c>
      <c r="F4599" s="23">
        <v>50</v>
      </c>
      <c r="G4599" s="152" cm="1">
        <f t="array" ref="G4599">SUM(E4599/F4599)</f>
        <v>0.66</v>
      </c>
      <c r="H4599" s="15"/>
    </row>
    <row r="4600" ht="13.65" customHeight="1">
      <c r="A4600" s="21">
        <v>28</v>
      </c>
      <c r="B4600" t="s" s="22">
        <v>475</v>
      </c>
      <c r="C4600" s="23">
        <v>6</v>
      </c>
      <c r="D4600" t="s" s="24">
        <v>375</v>
      </c>
      <c r="E4600" s="25">
        <v>6</v>
      </c>
      <c r="F4600" s="23">
        <v>12</v>
      </c>
      <c r="G4600" s="152" cm="1">
        <f t="array" ref="G4600">SUM(E4600/F4600)</f>
        <v>0.5</v>
      </c>
      <c r="H4600" s="15"/>
    </row>
    <row r="4601" ht="13.65" customHeight="1">
      <c r="A4601" s="21">
        <v>47</v>
      </c>
      <c r="B4601" t="s" s="22">
        <v>829</v>
      </c>
      <c r="C4601" s="23">
        <v>1</v>
      </c>
      <c r="D4601" t="s" s="24">
        <v>375</v>
      </c>
      <c r="E4601" s="25">
        <v>0.61</v>
      </c>
      <c r="F4601" s="23">
        <v>2</v>
      </c>
      <c r="G4601" s="152" cm="1">
        <f t="array" ref="G4601">SUM(E4601/F4601)</f>
        <v>0.305</v>
      </c>
      <c r="H4601" s="15"/>
    </row>
    <row r="4602" ht="13.65" customHeight="1">
      <c r="A4602" s="21">
        <v>131</v>
      </c>
      <c r="B4602" t="s" s="22">
        <v>482</v>
      </c>
      <c r="C4602" s="27"/>
      <c r="D4602" s="24"/>
      <c r="E4602" s="25"/>
      <c r="F4602" s="27"/>
      <c r="G4602" s="152">
        <v>50</v>
      </c>
      <c r="H4602" s="15"/>
    </row>
    <row r="4603" ht="13.65" customHeight="1">
      <c r="A4603" s="28"/>
      <c r="B4603" s="28"/>
      <c r="C4603" s="27"/>
      <c r="D4603" s="24"/>
      <c r="E4603" s="27"/>
      <c r="F4603" t="s" s="29">
        <v>118</v>
      </c>
      <c r="G4603" s="197" cm="1">
        <f t="array" ref="G4603">SUM(G4580:G4602)</f>
        <v>82.2634558759717</v>
      </c>
      <c r="H4603" s="15"/>
    </row>
    <row r="4604" ht="13.65" customHeight="1">
      <c r="A4604" s="129"/>
      <c r="B4604" s="129"/>
      <c r="C4604" s="129"/>
      <c r="D4604" s="129"/>
      <c r="E4604" s="129"/>
      <c r="F4604" s="31"/>
      <c r="G4604" s="31"/>
      <c r="H4604" s="3"/>
    </row>
    <row r="4605" ht="11.7" customHeight="1">
      <c r="A4605" t="s" s="167">
        <v>136</v>
      </c>
      <c r="B4605" t="s" s="167">
        <v>281</v>
      </c>
      <c r="C4605" t="s" s="167">
        <v>282</v>
      </c>
      <c r="D4605" t="s" s="168">
        <v>283</v>
      </c>
      <c r="E4605" s="169"/>
      <c r="F4605" s="170"/>
      <c r="G4605" s="171"/>
      <c r="H4605" s="171"/>
    </row>
    <row r="4606" ht="13.65" customHeight="1">
      <c r="A4606" s="23">
        <v>220</v>
      </c>
      <c r="B4606" s="172" cm="1">
        <f t="array" ref="B4606">SUM(H256)</f>
        <v>2.47496540404041</v>
      </c>
      <c r="C4606" s="172" cm="1">
        <f t="array" ref="C4606">SUM(G4603)</f>
        <v>82.2634558759717</v>
      </c>
      <c r="D4606" s="199" cm="1">
        <f t="array" ref="D4606">SUM(A4606*B4606+C4606)</f>
        <v>626.755844764862</v>
      </c>
      <c r="E4606" s="200"/>
      <c r="F4606" s="15"/>
      <c r="G4606" s="3"/>
      <c r="H4606" s="3"/>
    </row>
    <row r="4607" ht="13.65" customHeight="1">
      <c r="A4607" s="31"/>
      <c r="B4607" s="31"/>
      <c r="C4607" s="31"/>
      <c r="D4607" s="31"/>
      <c r="E4607" s="31"/>
      <c r="F4607" s="3"/>
      <c r="G4607" s="3"/>
      <c r="H4607" s="3"/>
    </row>
    <row r="4608" ht="13.65" customHeight="1">
      <c r="A4608" s="203"/>
      <c r="B4608" s="203"/>
      <c r="C4608" s="203"/>
      <c r="D4608" s="203"/>
      <c r="E4608" s="203"/>
      <c r="F4608" s="203"/>
      <c r="G4608" s="203"/>
      <c r="H4608" s="203"/>
    </row>
    <row r="4609" ht="13.65" customHeight="1">
      <c r="A4609" t="s" s="274">
        <v>284</v>
      </c>
      <c r="B4609" s="275"/>
      <c r="C4609" s="275"/>
      <c r="D4609" s="275"/>
      <c r="E4609" s="280"/>
      <c r="F4609" s="275"/>
      <c r="G4609" s="275"/>
      <c r="H4609" s="277"/>
    </row>
    <row r="4610" ht="13.65" customHeight="1">
      <c r="A4610" s="278"/>
      <c r="B4610" s="278"/>
      <c r="C4610" s="278"/>
      <c r="D4610" s="278"/>
      <c r="E4610" s="278"/>
      <c r="F4610" s="278"/>
      <c r="G4610" s="278"/>
      <c r="H4610" s="278"/>
    </row>
    <row r="4611" ht="13.65" customHeight="1">
      <c r="A4611" s="3"/>
      <c r="B4611" s="3"/>
      <c r="C4611" s="3"/>
      <c r="D4611" s="3"/>
      <c r="E4611" s="3"/>
      <c r="F4611" s="3"/>
      <c r="G4611" s="3"/>
      <c r="H4611" s="3"/>
    </row>
    <row r="4612" ht="13.65" customHeight="1">
      <c r="A4612" t="s" s="5">
        <v>830</v>
      </c>
      <c r="B4612" s="3"/>
      <c r="C4612" s="3"/>
      <c r="D4612" s="3"/>
      <c r="E4612" s="3"/>
      <c r="F4612" s="3"/>
      <c r="G4612" s="3"/>
      <c r="H4612" s="3"/>
    </row>
    <row r="4613" ht="13.65" customHeight="1">
      <c r="A4613" s="11"/>
      <c r="B4613" s="11"/>
      <c r="C4613" s="11"/>
      <c r="D4613" s="11"/>
      <c r="E4613" s="11"/>
      <c r="F4613" s="11"/>
      <c r="G4613" s="11"/>
      <c r="H4613" s="3"/>
    </row>
    <row r="4614" ht="13.65" customHeight="1">
      <c r="A4614" s="12"/>
      <c r="B4614" s="12"/>
      <c r="C4614" s="13"/>
      <c r="D4614" s="14"/>
      <c r="E4614" s="13"/>
      <c r="F4614" s="13"/>
      <c r="G4614" t="s" s="14">
        <v>252</v>
      </c>
      <c r="H4614" s="150"/>
    </row>
    <row r="4615" ht="13.65" customHeight="1">
      <c r="A4615" t="s" s="16">
        <v>93</v>
      </c>
      <c r="B4615" t="s" s="16">
        <v>94</v>
      </c>
      <c r="C4615" t="s" s="16">
        <v>95</v>
      </c>
      <c r="D4615" t="s" s="16">
        <v>96</v>
      </c>
      <c r="E4615" t="s" s="16">
        <v>97</v>
      </c>
      <c r="F4615" t="s" s="16">
        <v>98</v>
      </c>
      <c r="G4615" t="s" s="16">
        <v>99</v>
      </c>
      <c r="H4615" s="15"/>
    </row>
    <row r="4616" ht="13.65" customHeight="1">
      <c r="A4616" s="151"/>
      <c r="B4616" s="151"/>
      <c r="C4616" s="19"/>
      <c r="D4616" s="20"/>
      <c r="E4616" s="19"/>
      <c r="F4616" s="19"/>
      <c r="G4616" t="s" s="20">
        <v>100</v>
      </c>
      <c r="H4616" s="15"/>
    </row>
    <row r="4617" ht="13.65" customHeight="1">
      <c r="A4617" s="21">
        <v>72</v>
      </c>
      <c r="B4617" t="s" s="22">
        <v>101</v>
      </c>
      <c r="C4617" s="23">
        <v>50</v>
      </c>
      <c r="D4617" t="s" s="24">
        <v>608</v>
      </c>
      <c r="E4617" s="25">
        <v>1.93</v>
      </c>
      <c r="F4617" s="23">
        <v>6.25</v>
      </c>
      <c r="G4617" s="152" cm="1">
        <f t="array" ref="G4617">SUM(E4617/F4617)</f>
        <v>0.3088</v>
      </c>
      <c r="H4617" s="15"/>
    </row>
    <row r="4618" ht="13.65" customHeight="1">
      <c r="A4618" s="21">
        <v>123</v>
      </c>
      <c r="B4618" t="s" s="22">
        <v>103</v>
      </c>
      <c r="C4618" s="23">
        <v>40</v>
      </c>
      <c r="D4618" t="s" s="24">
        <v>274</v>
      </c>
      <c r="E4618" s="25">
        <v>3.2</v>
      </c>
      <c r="F4618" s="23">
        <v>10</v>
      </c>
      <c r="G4618" s="152" cm="1">
        <f t="array" ref="G4618">SUM(E4618/F4618)</f>
        <v>0.32</v>
      </c>
      <c r="H4618" s="15"/>
    </row>
    <row r="4619" ht="13.65" customHeight="1">
      <c r="A4619" s="21">
        <v>57</v>
      </c>
      <c r="B4619" t="s" s="22">
        <v>253</v>
      </c>
      <c r="C4619" t="s" s="24">
        <v>389</v>
      </c>
      <c r="D4619" t="s" s="24">
        <v>371</v>
      </c>
      <c r="E4619" s="25">
        <v>4.5</v>
      </c>
      <c r="F4619" s="23">
        <v>33</v>
      </c>
      <c r="G4619" s="152" cm="1">
        <f t="array" ref="G4619">SUM(E4619/F4619)</f>
        <v>0.136363636363636</v>
      </c>
      <c r="H4619" s="15"/>
    </row>
    <row r="4620" ht="13.65" customHeight="1">
      <c r="A4620" s="21">
        <v>86</v>
      </c>
      <c r="B4620" t="s" s="22">
        <v>107</v>
      </c>
      <c r="C4620" t="s" s="24">
        <v>108</v>
      </c>
      <c r="D4620" t="s" s="24">
        <v>608</v>
      </c>
      <c r="E4620" s="25">
        <v>0.32</v>
      </c>
      <c r="F4620" t="s" s="24">
        <v>825</v>
      </c>
      <c r="G4620" s="152" cm="1">
        <f t="array" ref="G4620">SUM(E4620*8)</f>
        <v>2.56</v>
      </c>
      <c r="H4620" s="15"/>
    </row>
    <row r="4621" ht="13.65" customHeight="1">
      <c r="A4621" s="21">
        <v>71</v>
      </c>
      <c r="B4621" t="s" s="22">
        <v>109</v>
      </c>
      <c r="C4621" s="23">
        <v>10</v>
      </c>
      <c r="D4621" t="s" s="24">
        <v>608</v>
      </c>
      <c r="E4621" s="25">
        <v>5.92</v>
      </c>
      <c r="F4621" s="23">
        <v>1.25</v>
      </c>
      <c r="G4621" s="152" cm="1">
        <f t="array" ref="G4621">SUM(E4621/F4621)</f>
        <v>4.736</v>
      </c>
      <c r="H4621" s="15"/>
    </row>
    <row r="4622" ht="13.65" customHeight="1">
      <c r="A4622" s="21">
        <v>87</v>
      </c>
      <c r="B4622" t="s" s="22">
        <v>110</v>
      </c>
      <c r="C4622" s="23">
        <v>50</v>
      </c>
      <c r="D4622" t="s" s="24">
        <v>608</v>
      </c>
      <c r="E4622" s="25">
        <v>9</v>
      </c>
      <c r="F4622" s="23">
        <v>6.25</v>
      </c>
      <c r="G4622" s="152" cm="1">
        <f t="array" ref="G4622">SUM(E4622/F4622)</f>
        <v>1.44</v>
      </c>
      <c r="H4622" s="15"/>
    </row>
    <row r="4623" ht="13.65" customHeight="1">
      <c r="A4623" s="21">
        <v>55</v>
      </c>
      <c r="B4623" t="s" s="22">
        <v>111</v>
      </c>
      <c r="C4623" t="s" s="24">
        <v>112</v>
      </c>
      <c r="D4623" t="s" s="24">
        <v>651</v>
      </c>
      <c r="E4623" s="25">
        <v>2.71</v>
      </c>
      <c r="F4623" s="23">
        <v>19</v>
      </c>
      <c r="G4623" s="152" cm="1">
        <f t="array" ref="G4623">SUM(E4623/F4623)</f>
        <v>0.142631578947368</v>
      </c>
      <c r="H4623" s="15"/>
    </row>
    <row r="4624" ht="13.65" customHeight="1">
      <c r="A4624" s="21">
        <v>24</v>
      </c>
      <c r="B4624" t="s" s="22">
        <v>531</v>
      </c>
      <c r="C4624" s="23">
        <v>10</v>
      </c>
      <c r="D4624" t="s" s="24">
        <v>256</v>
      </c>
      <c r="E4624" s="25">
        <v>9.6</v>
      </c>
      <c r="F4624" s="23">
        <v>3.33</v>
      </c>
      <c r="G4624" s="152" cm="1">
        <f t="array" ref="G4624">SUM(E4624/F4624)</f>
        <v>2.88288288288288</v>
      </c>
      <c r="H4624" s="15"/>
    </row>
    <row r="4625" ht="13.65" customHeight="1">
      <c r="A4625" s="21">
        <v>19</v>
      </c>
      <c r="B4625" t="s" s="22">
        <v>437</v>
      </c>
      <c r="C4625" s="23">
        <v>2</v>
      </c>
      <c r="D4625" t="s" s="24">
        <v>373</v>
      </c>
      <c r="E4625" s="25">
        <v>5.2</v>
      </c>
      <c r="F4625" s="23">
        <v>5</v>
      </c>
      <c r="G4625" s="152" cm="1">
        <f t="array" ref="G4625">SUM(E4625/F4625)</f>
        <v>1.04</v>
      </c>
      <c r="H4625" s="15"/>
    </row>
    <row r="4626" ht="13.65" customHeight="1">
      <c r="A4626" s="21">
        <v>19</v>
      </c>
      <c r="B4626" t="s" s="22">
        <v>445</v>
      </c>
      <c r="C4626" s="23">
        <v>6</v>
      </c>
      <c r="D4626" t="s" s="24">
        <v>694</v>
      </c>
      <c r="E4626" s="25">
        <v>5.2</v>
      </c>
      <c r="F4626" s="23">
        <v>10</v>
      </c>
      <c r="G4626" s="152" cm="1">
        <f t="array" ref="G4626">SUM(E4626/F4626)</f>
        <v>0.52</v>
      </c>
      <c r="H4626" s="15"/>
    </row>
    <row r="4627" ht="13.65" customHeight="1">
      <c r="A4627" s="21">
        <v>27</v>
      </c>
      <c r="B4627" t="s" s="22">
        <v>594</v>
      </c>
      <c r="C4627" s="23">
        <v>18</v>
      </c>
      <c r="D4627" t="s" s="24">
        <v>104</v>
      </c>
      <c r="E4627" s="25">
        <v>6.5</v>
      </c>
      <c r="F4627" s="23">
        <v>18</v>
      </c>
      <c r="G4627" s="152" cm="1">
        <f t="array" ref="G4627">SUM(E4627/F4627)</f>
        <v>0.361111111111111</v>
      </c>
      <c r="H4627" s="15"/>
    </row>
    <row r="4628" ht="13.65" customHeight="1">
      <c r="A4628" s="21">
        <v>7</v>
      </c>
      <c r="B4628" t="s" s="22">
        <v>477</v>
      </c>
      <c r="C4628" t="s" s="24">
        <v>478</v>
      </c>
      <c r="D4628" t="s" s="24">
        <v>479</v>
      </c>
      <c r="E4628" s="25">
        <v>14</v>
      </c>
      <c r="F4628" s="23">
        <v>10</v>
      </c>
      <c r="G4628" s="152" cm="1">
        <f t="array" ref="G4628">SUM(E4628/F4628)</f>
        <v>1.4</v>
      </c>
      <c r="H4628" s="15"/>
    </row>
    <row r="4629" ht="13.65" customHeight="1">
      <c r="A4629" s="21">
        <v>68</v>
      </c>
      <c r="B4629" t="s" s="22">
        <v>480</v>
      </c>
      <c r="C4629" t="s" s="24">
        <v>481</v>
      </c>
      <c r="D4629" t="s" s="24">
        <v>597</v>
      </c>
      <c r="E4629" s="25">
        <v>16</v>
      </c>
      <c r="F4629" s="23">
        <v>5</v>
      </c>
      <c r="G4629" s="152" cm="1">
        <f t="array" ref="G4629">SUM(E4629/F4629)</f>
        <v>3.2</v>
      </c>
      <c r="H4629" s="15"/>
    </row>
    <row r="4630" ht="13.65" customHeight="1">
      <c r="A4630" s="21">
        <v>69</v>
      </c>
      <c r="B4630" t="s" s="22">
        <v>598</v>
      </c>
      <c r="C4630" t="s" s="24">
        <v>481</v>
      </c>
      <c r="D4630" t="s" s="24">
        <v>597</v>
      </c>
      <c r="E4630" s="25">
        <v>3.5</v>
      </c>
      <c r="F4630" s="23">
        <v>5</v>
      </c>
      <c r="G4630" s="152" cm="1">
        <f t="array" ref="G4630">SUM(E4630/F4630)</f>
        <v>0.7</v>
      </c>
      <c r="H4630" s="15"/>
    </row>
    <row r="4631" ht="13.65" customHeight="1">
      <c r="A4631" s="21">
        <v>48</v>
      </c>
      <c r="B4631" t="s" s="22">
        <v>710</v>
      </c>
      <c r="C4631" s="23">
        <v>1</v>
      </c>
      <c r="D4631" t="s" s="24">
        <v>375</v>
      </c>
      <c r="E4631" s="25">
        <v>1</v>
      </c>
      <c r="F4631" s="23">
        <v>2</v>
      </c>
      <c r="G4631" s="152" cm="1">
        <f t="array" ref="G4631">SUM(E4631/F4631)</f>
        <v>0.5</v>
      </c>
      <c r="H4631" s="15"/>
    </row>
    <row r="4632" ht="13.65" customHeight="1">
      <c r="A4632" s="21">
        <v>124</v>
      </c>
      <c r="B4632" t="s" s="22">
        <v>372</v>
      </c>
      <c r="C4632" s="23">
        <v>1</v>
      </c>
      <c r="D4632" t="s" s="24">
        <v>373</v>
      </c>
      <c r="E4632" s="25">
        <v>2.2</v>
      </c>
      <c r="F4632" s="23">
        <v>15</v>
      </c>
      <c r="G4632" s="152" cm="1">
        <f t="array" ref="G4632">SUM(E4632/F4632)</f>
        <v>0.146666666666667</v>
      </c>
      <c r="H4632" s="15"/>
    </row>
    <row r="4633" ht="13.65" customHeight="1">
      <c r="A4633" s="21">
        <v>101</v>
      </c>
      <c r="B4633" t="s" s="22">
        <v>407</v>
      </c>
      <c r="C4633" t="s" s="24">
        <v>380</v>
      </c>
      <c r="D4633" t="s" s="24">
        <v>537</v>
      </c>
      <c r="E4633" s="25">
        <v>7.5</v>
      </c>
      <c r="F4633" s="23">
        <v>25</v>
      </c>
      <c r="G4633" s="152" cm="1">
        <f t="array" ref="G4633">SUM(E4633/F4633)</f>
        <v>0.3</v>
      </c>
      <c r="H4633" s="15"/>
    </row>
    <row r="4634" ht="13.65" customHeight="1">
      <c r="A4634" s="21">
        <v>111</v>
      </c>
      <c r="B4634" t="s" s="22">
        <v>476</v>
      </c>
      <c r="C4634" s="23">
        <v>1</v>
      </c>
      <c r="D4634" t="s" s="24">
        <v>401</v>
      </c>
      <c r="E4634" s="25">
        <v>2.7</v>
      </c>
      <c r="F4634" s="23">
        <v>30</v>
      </c>
      <c r="G4634" s="152" cm="1">
        <f t="array" ref="G4634">SUM(E4634/F4634)</f>
        <v>0.09</v>
      </c>
      <c r="H4634" s="15"/>
    </row>
    <row r="4635" ht="13.65" customHeight="1">
      <c r="A4635" s="21">
        <v>102</v>
      </c>
      <c r="B4635" t="s" s="22">
        <v>709</v>
      </c>
      <c r="C4635" s="23">
        <v>1</v>
      </c>
      <c r="D4635" t="s" s="24">
        <v>401</v>
      </c>
      <c r="E4635" s="25">
        <v>2.7</v>
      </c>
      <c r="F4635" s="23">
        <v>50</v>
      </c>
      <c r="G4635" s="152" cm="1">
        <f t="array" ref="G4635">SUM(E4635/F4635)</f>
        <v>0.054</v>
      </c>
      <c r="H4635" s="15"/>
    </row>
    <row r="4636" ht="13.65" customHeight="1">
      <c r="A4636" s="21">
        <v>70</v>
      </c>
      <c r="B4636" t="s" s="22">
        <v>738</v>
      </c>
      <c r="C4636" s="23">
        <v>1</v>
      </c>
      <c r="D4636" t="s" s="24">
        <v>104</v>
      </c>
      <c r="E4636" s="25">
        <v>22</v>
      </c>
      <c r="F4636" s="23">
        <v>1</v>
      </c>
      <c r="G4636" s="152" cm="1">
        <f t="array" ref="G4636">SUM(E4636/F4636)</f>
        <v>22</v>
      </c>
      <c r="H4636" s="15"/>
    </row>
    <row r="4637" ht="13.65" customHeight="1">
      <c r="A4637" s="21">
        <v>98</v>
      </c>
      <c r="B4637" t="s" s="22">
        <v>739</v>
      </c>
      <c r="C4637" t="s" s="24">
        <v>740</v>
      </c>
      <c r="D4637" t="s" s="24">
        <v>397</v>
      </c>
      <c r="E4637" s="25">
        <v>33</v>
      </c>
      <c r="F4637" s="23">
        <v>50</v>
      </c>
      <c r="G4637" s="152" cm="1">
        <f t="array" ref="G4637">SUM(E4637/F4637)</f>
        <v>0.66</v>
      </c>
      <c r="H4637" s="15"/>
    </row>
    <row r="4638" ht="13.65" customHeight="1">
      <c r="A4638" s="21">
        <v>28</v>
      </c>
      <c r="B4638" t="s" s="22">
        <v>475</v>
      </c>
      <c r="C4638" s="23">
        <v>6</v>
      </c>
      <c r="D4638" t="s" s="24">
        <v>375</v>
      </c>
      <c r="E4638" s="25">
        <v>6</v>
      </c>
      <c r="F4638" s="23">
        <v>12</v>
      </c>
      <c r="G4638" s="152" cm="1">
        <f t="array" ref="G4638">SUM(E4638/F4638)</f>
        <v>0.5</v>
      </c>
      <c r="H4638" s="15"/>
    </row>
    <row r="4639" ht="13.65" customHeight="1">
      <c r="A4639" s="21">
        <v>47</v>
      </c>
      <c r="B4639" t="s" s="22">
        <v>829</v>
      </c>
      <c r="C4639" s="23">
        <v>1</v>
      </c>
      <c r="D4639" t="s" s="24">
        <v>375</v>
      </c>
      <c r="E4639" s="25">
        <v>0.61</v>
      </c>
      <c r="F4639" s="23">
        <v>2</v>
      </c>
      <c r="G4639" s="152" cm="1">
        <f t="array" ref="G4639">SUM(E4639/F4639)</f>
        <v>0.305</v>
      </c>
      <c r="H4639" s="15"/>
    </row>
    <row r="4640" ht="13.65" customHeight="1">
      <c r="A4640" s="21">
        <v>131</v>
      </c>
      <c r="B4640" t="s" s="22">
        <v>482</v>
      </c>
      <c r="C4640" s="27"/>
      <c r="D4640" s="24"/>
      <c r="E4640" s="27"/>
      <c r="F4640" s="27"/>
      <c r="G4640" s="152">
        <v>150</v>
      </c>
      <c r="H4640" s="15"/>
    </row>
    <row r="4641" ht="13.65" customHeight="1">
      <c r="A4641" s="28"/>
      <c r="B4641" s="28"/>
      <c r="C4641" s="27"/>
      <c r="D4641" s="24"/>
      <c r="E4641" s="27"/>
      <c r="F4641" t="s" s="29">
        <v>118</v>
      </c>
      <c r="G4641" s="197" cm="1">
        <f t="array" ref="G4641">SUM(G4617:G4640)</f>
        <v>194.303455875972</v>
      </c>
      <c r="H4641" s="15"/>
    </row>
    <row r="4642" ht="13.65" customHeight="1">
      <c r="A4642" s="31"/>
      <c r="B4642" s="31"/>
      <c r="C4642" s="31"/>
      <c r="D4642" s="31"/>
      <c r="E4642" s="31"/>
      <c r="F4642" s="31"/>
      <c r="G4642" s="31"/>
      <c r="H4642" s="3"/>
    </row>
    <row r="4643" ht="13.65" customHeight="1">
      <c r="A4643" t="s" s="5">
        <v>806</v>
      </c>
      <c r="B4643" s="3"/>
      <c r="C4643" s="3"/>
      <c r="D4643" s="3"/>
      <c r="E4643" s="3"/>
      <c r="F4643" s="3"/>
      <c r="G4643" s="3"/>
      <c r="H4643" s="3"/>
    </row>
    <row r="4644" ht="13.65" customHeight="1">
      <c r="A4644" s="11"/>
      <c r="B4644" s="11"/>
      <c r="C4644" s="11"/>
      <c r="D4644" s="11"/>
      <c r="E4644" s="11"/>
      <c r="F4644" s="11"/>
      <c r="G4644" s="11"/>
      <c r="H4644" s="3"/>
    </row>
    <row r="4645" ht="11.7" customHeight="1">
      <c r="A4645" t="s" s="167">
        <v>136</v>
      </c>
      <c r="B4645" t="s" s="167">
        <v>281</v>
      </c>
      <c r="C4645" t="s" s="167">
        <v>282</v>
      </c>
      <c r="D4645" t="s" s="167">
        <v>118</v>
      </c>
      <c r="E4645" t="s" s="167">
        <v>807</v>
      </c>
      <c r="F4645" t="s" s="167">
        <v>605</v>
      </c>
      <c r="G4645" s="167"/>
      <c r="H4645" s="170"/>
    </row>
    <row r="4646" ht="13.65" customHeight="1">
      <c r="A4646" s="23">
        <v>260</v>
      </c>
      <c r="B4646" s="172" cm="1">
        <f t="array" ref="B4646">SUM(H256)</f>
        <v>2.47496540404041</v>
      </c>
      <c r="C4646" s="172" cm="1">
        <f t="array" ref="C4646">SUM(G4641)</f>
        <v>194.303455875972</v>
      </c>
      <c r="D4646" s="308" cm="1">
        <f t="array" ref="D4646">SUM(A4646*B4646+C4646)</f>
        <v>837.794460926479</v>
      </c>
      <c r="E4646" s="198" cm="1">
        <f t="array" ref="E4646">SUM(D4646)*0.3</f>
        <v>251.338338277944</v>
      </c>
      <c r="F4646" s="154" cm="1">
        <f t="array" ref="F4646">SUM(D4646:E4646)</f>
        <v>1089.132799204420</v>
      </c>
      <c r="G4646" s="306"/>
      <c r="H4646" s="15"/>
    </row>
    <row r="4647" ht="13.65" customHeight="1">
      <c r="A4647" s="31"/>
      <c r="B4647" s="31"/>
      <c r="C4647" s="31"/>
      <c r="D4647" s="31"/>
      <c r="E4647" s="31"/>
      <c r="F4647" s="31"/>
      <c r="G4647" s="31"/>
      <c r="H4647" s="3"/>
    </row>
    <row r="4648" ht="13.65" customHeight="1">
      <c r="A4648" s="203"/>
      <c r="B4648" s="203"/>
      <c r="C4648" s="203"/>
      <c r="D4648" s="203"/>
      <c r="E4648" s="203"/>
      <c r="F4648" s="203"/>
      <c r="G4648" s="203"/>
      <c r="H4648" s="203"/>
    </row>
    <row r="4649" ht="13.65" customHeight="1">
      <c r="A4649" t="s" s="274">
        <v>185</v>
      </c>
      <c r="B4649" s="275"/>
      <c r="C4649" s="275"/>
      <c r="D4649" s="275"/>
      <c r="E4649" s="280"/>
      <c r="F4649" s="275"/>
      <c r="G4649" s="275"/>
      <c r="H4649" s="277"/>
    </row>
    <row r="4650" ht="13.65" customHeight="1">
      <c r="A4650" s="278"/>
      <c r="B4650" s="278"/>
      <c r="C4650" s="278"/>
      <c r="D4650" s="278"/>
      <c r="E4650" s="278"/>
      <c r="F4650" s="278"/>
      <c r="G4650" s="278"/>
      <c r="H4650" s="278"/>
    </row>
    <row r="4651" ht="13.65" customHeight="1">
      <c r="A4651" s="3"/>
      <c r="B4651" s="3"/>
      <c r="C4651" s="3"/>
      <c r="D4651" s="3"/>
      <c r="E4651" s="3"/>
      <c r="F4651" s="3"/>
      <c r="G4651" s="3"/>
      <c r="H4651" s="3"/>
    </row>
    <row r="4652" ht="13.65" customHeight="1">
      <c r="A4652" t="s" s="5">
        <v>831</v>
      </c>
      <c r="B4652" s="3"/>
      <c r="C4652" s="3"/>
      <c r="D4652" s="3"/>
      <c r="E4652" s="3"/>
      <c r="F4652" s="3"/>
      <c r="G4652" s="3"/>
      <c r="H4652" s="3"/>
    </row>
    <row r="4653" ht="13.65" customHeight="1">
      <c r="A4653" s="11"/>
      <c r="B4653" s="11"/>
      <c r="C4653" s="11"/>
      <c r="D4653" s="11"/>
      <c r="E4653" s="11"/>
      <c r="F4653" s="11"/>
      <c r="G4653" s="11"/>
      <c r="H4653" s="3"/>
    </row>
    <row r="4654" ht="13.65" customHeight="1">
      <c r="A4654" s="12"/>
      <c r="B4654" s="12"/>
      <c r="C4654" s="13"/>
      <c r="D4654" s="14"/>
      <c r="E4654" s="13"/>
      <c r="F4654" s="13"/>
      <c r="G4654" t="s" s="14">
        <v>252</v>
      </c>
      <c r="H4654" s="150"/>
    </row>
    <row r="4655" ht="13.65" customHeight="1">
      <c r="A4655" t="s" s="16">
        <v>93</v>
      </c>
      <c r="B4655" t="s" s="16">
        <v>94</v>
      </c>
      <c r="C4655" t="s" s="16">
        <v>95</v>
      </c>
      <c r="D4655" t="s" s="16">
        <v>96</v>
      </c>
      <c r="E4655" t="s" s="16">
        <v>97</v>
      </c>
      <c r="F4655" t="s" s="16">
        <v>98</v>
      </c>
      <c r="G4655" t="s" s="16">
        <v>99</v>
      </c>
      <c r="H4655" s="15"/>
    </row>
    <row r="4656" ht="13.65" customHeight="1">
      <c r="A4656" s="151"/>
      <c r="B4656" s="151"/>
      <c r="C4656" s="19"/>
      <c r="D4656" s="20"/>
      <c r="E4656" s="19"/>
      <c r="F4656" s="19"/>
      <c r="G4656" t="s" s="20">
        <v>100</v>
      </c>
      <c r="H4656" s="15"/>
    </row>
    <row r="4657" ht="13.65" customHeight="1">
      <c r="A4657" s="21">
        <v>72</v>
      </c>
      <c r="B4657" t="s" s="22">
        <v>101</v>
      </c>
      <c r="C4657" s="23">
        <v>50</v>
      </c>
      <c r="D4657" t="s" s="24">
        <v>608</v>
      </c>
      <c r="E4657" s="25">
        <v>1.93</v>
      </c>
      <c r="F4657" s="23">
        <v>6.25</v>
      </c>
      <c r="G4657" s="152" cm="1">
        <f t="array" ref="G4657">SUM(E4657/F4657)</f>
        <v>0.3088</v>
      </c>
      <c r="H4657" s="15"/>
    </row>
    <row r="4658" ht="13.65" customHeight="1">
      <c r="A4658" s="21">
        <v>123</v>
      </c>
      <c r="B4658" t="s" s="22">
        <v>103</v>
      </c>
      <c r="C4658" s="23">
        <v>40</v>
      </c>
      <c r="D4658" t="s" s="24">
        <v>274</v>
      </c>
      <c r="E4658" s="25">
        <v>3.2</v>
      </c>
      <c r="F4658" s="23">
        <v>10</v>
      </c>
      <c r="G4658" s="152" cm="1">
        <f t="array" ref="G4658">SUM(E4658/F4658)</f>
        <v>0.32</v>
      </c>
      <c r="H4658" s="15"/>
    </row>
    <row r="4659" ht="13.65" customHeight="1">
      <c r="A4659" s="21">
        <v>57</v>
      </c>
      <c r="B4659" t="s" s="22">
        <v>253</v>
      </c>
      <c r="C4659" t="s" s="24">
        <v>389</v>
      </c>
      <c r="D4659" t="s" s="24">
        <v>371</v>
      </c>
      <c r="E4659" s="25">
        <v>4.5</v>
      </c>
      <c r="F4659" s="23">
        <v>33</v>
      </c>
      <c r="G4659" s="152" cm="1">
        <f t="array" ref="G4659">SUM(E4659/F4659)</f>
        <v>0.136363636363636</v>
      </c>
      <c r="H4659" s="15"/>
    </row>
    <row r="4660" ht="13.65" customHeight="1">
      <c r="A4660" s="21">
        <v>86</v>
      </c>
      <c r="B4660" t="s" s="22">
        <v>107</v>
      </c>
      <c r="C4660" t="s" s="24">
        <v>108</v>
      </c>
      <c r="D4660" t="s" s="24">
        <v>608</v>
      </c>
      <c r="E4660" s="25">
        <v>0.32</v>
      </c>
      <c r="F4660" t="s" s="24">
        <v>825</v>
      </c>
      <c r="G4660" s="152" cm="1">
        <f t="array" ref="G4660">SUM(E4660*8)</f>
        <v>2.56</v>
      </c>
      <c r="H4660" s="15"/>
    </row>
    <row r="4661" ht="13.65" customHeight="1">
      <c r="A4661" s="21">
        <v>71</v>
      </c>
      <c r="B4661" t="s" s="22">
        <v>109</v>
      </c>
      <c r="C4661" s="23">
        <v>10</v>
      </c>
      <c r="D4661" t="s" s="24">
        <v>608</v>
      </c>
      <c r="E4661" s="25">
        <v>5.92</v>
      </c>
      <c r="F4661" s="23">
        <v>1.25</v>
      </c>
      <c r="G4661" s="152" cm="1">
        <f t="array" ref="G4661">SUM(E4661/F4661)</f>
        <v>4.736</v>
      </c>
      <c r="H4661" s="15"/>
    </row>
    <row r="4662" ht="13.65" customHeight="1">
      <c r="A4662" s="21">
        <v>87</v>
      </c>
      <c r="B4662" t="s" s="22">
        <v>110</v>
      </c>
      <c r="C4662" s="23">
        <v>50</v>
      </c>
      <c r="D4662" t="s" s="24">
        <v>608</v>
      </c>
      <c r="E4662" s="25">
        <v>9</v>
      </c>
      <c r="F4662" s="23">
        <v>6.25</v>
      </c>
      <c r="G4662" s="152" cm="1">
        <f t="array" ref="G4662">SUM(E4662/F4662)</f>
        <v>1.44</v>
      </c>
      <c r="H4662" s="15"/>
    </row>
    <row r="4663" ht="13.65" customHeight="1">
      <c r="A4663" s="21">
        <v>55</v>
      </c>
      <c r="B4663" t="s" s="22">
        <v>111</v>
      </c>
      <c r="C4663" t="s" s="24">
        <v>112</v>
      </c>
      <c r="D4663" t="s" s="24">
        <v>651</v>
      </c>
      <c r="E4663" s="25">
        <v>2.71</v>
      </c>
      <c r="F4663" s="23">
        <v>19</v>
      </c>
      <c r="G4663" s="152" cm="1">
        <f t="array" ref="G4663">SUM(E4663/F4663)</f>
        <v>0.142631578947368</v>
      </c>
      <c r="H4663" s="15"/>
    </row>
    <row r="4664" ht="13.65" customHeight="1">
      <c r="A4664" s="21">
        <v>24</v>
      </c>
      <c r="B4664" t="s" s="22">
        <v>531</v>
      </c>
      <c r="C4664" s="23">
        <v>10</v>
      </c>
      <c r="D4664" t="s" s="24">
        <v>256</v>
      </c>
      <c r="E4664" s="25">
        <v>9.6</v>
      </c>
      <c r="F4664" s="23">
        <v>3.33</v>
      </c>
      <c r="G4664" s="152" cm="1">
        <f t="array" ref="G4664">SUM(E4664/F4664)</f>
        <v>2.88288288288288</v>
      </c>
      <c r="H4664" s="15"/>
    </row>
    <row r="4665" ht="13.65" customHeight="1">
      <c r="A4665" s="21">
        <v>19</v>
      </c>
      <c r="B4665" t="s" s="22">
        <v>437</v>
      </c>
      <c r="C4665" s="23">
        <v>2</v>
      </c>
      <c r="D4665" t="s" s="24">
        <v>373</v>
      </c>
      <c r="E4665" s="25">
        <v>5.2</v>
      </c>
      <c r="F4665" s="23">
        <v>5</v>
      </c>
      <c r="G4665" s="152" cm="1">
        <f t="array" ref="G4665">SUM(E4665/F4665)</f>
        <v>1.04</v>
      </c>
      <c r="H4665" s="15"/>
    </row>
    <row r="4666" ht="13.65" customHeight="1">
      <c r="A4666" s="21">
        <v>19</v>
      </c>
      <c r="B4666" t="s" s="22">
        <v>445</v>
      </c>
      <c r="C4666" s="23">
        <v>6</v>
      </c>
      <c r="D4666" t="s" s="24">
        <v>694</v>
      </c>
      <c r="E4666" s="25">
        <v>5.2</v>
      </c>
      <c r="F4666" s="23">
        <v>10</v>
      </c>
      <c r="G4666" s="152" cm="1">
        <f t="array" ref="G4666">SUM(E4666/F4666)</f>
        <v>0.52</v>
      </c>
      <c r="H4666" s="15"/>
    </row>
    <row r="4667" ht="13.65" customHeight="1">
      <c r="A4667" s="21">
        <v>27</v>
      </c>
      <c r="B4667" t="s" s="22">
        <v>594</v>
      </c>
      <c r="C4667" s="23">
        <v>18</v>
      </c>
      <c r="D4667" t="s" s="24">
        <v>104</v>
      </c>
      <c r="E4667" s="25">
        <v>6.5</v>
      </c>
      <c r="F4667" s="23">
        <v>18</v>
      </c>
      <c r="G4667" s="152" cm="1">
        <f t="array" ref="G4667">SUM(E4667/F4667)</f>
        <v>0.361111111111111</v>
      </c>
      <c r="H4667" s="15"/>
    </row>
    <row r="4668" ht="13.65" customHeight="1">
      <c r="A4668" s="21">
        <v>7</v>
      </c>
      <c r="B4668" t="s" s="22">
        <v>477</v>
      </c>
      <c r="C4668" t="s" s="24">
        <v>478</v>
      </c>
      <c r="D4668" t="s" s="24">
        <v>479</v>
      </c>
      <c r="E4668" s="25">
        <v>14</v>
      </c>
      <c r="F4668" s="23">
        <v>10</v>
      </c>
      <c r="G4668" s="152" cm="1">
        <f t="array" ref="G4668">SUM(E4668/F4668)</f>
        <v>1.4</v>
      </c>
      <c r="H4668" s="15"/>
    </row>
    <row r="4669" ht="13.65" customHeight="1">
      <c r="A4669" s="21">
        <v>68</v>
      </c>
      <c r="B4669" t="s" s="22">
        <v>480</v>
      </c>
      <c r="C4669" t="s" s="24">
        <v>481</v>
      </c>
      <c r="D4669" t="s" s="24">
        <v>597</v>
      </c>
      <c r="E4669" s="25">
        <v>16</v>
      </c>
      <c r="F4669" s="23">
        <v>5</v>
      </c>
      <c r="G4669" s="152" cm="1">
        <f t="array" ref="G4669">SUM(E4669/F4669)</f>
        <v>3.2</v>
      </c>
      <c r="H4669" s="15"/>
    </row>
    <row r="4670" ht="13.65" customHeight="1">
      <c r="A4670" s="21">
        <v>69</v>
      </c>
      <c r="B4670" t="s" s="22">
        <v>598</v>
      </c>
      <c r="C4670" t="s" s="24">
        <v>481</v>
      </c>
      <c r="D4670" t="s" s="24">
        <v>597</v>
      </c>
      <c r="E4670" s="25">
        <v>3.5</v>
      </c>
      <c r="F4670" s="23">
        <v>5</v>
      </c>
      <c r="G4670" s="152" cm="1">
        <f t="array" ref="G4670">SUM(E4670/F4670)</f>
        <v>0.7</v>
      </c>
      <c r="H4670" s="15"/>
    </row>
    <row r="4671" ht="13.65" customHeight="1">
      <c r="A4671" s="21">
        <v>48</v>
      </c>
      <c r="B4671" t="s" s="22">
        <v>710</v>
      </c>
      <c r="C4671" s="23">
        <v>1</v>
      </c>
      <c r="D4671" t="s" s="24">
        <v>375</v>
      </c>
      <c r="E4671" s="25">
        <v>1</v>
      </c>
      <c r="F4671" s="23">
        <v>2</v>
      </c>
      <c r="G4671" s="152" cm="1">
        <f t="array" ref="G4671">SUM(E4671/F4671)</f>
        <v>0.5</v>
      </c>
      <c r="H4671" s="15"/>
    </row>
    <row r="4672" ht="13.65" customHeight="1">
      <c r="A4672" s="21">
        <v>124</v>
      </c>
      <c r="B4672" t="s" s="22">
        <v>372</v>
      </c>
      <c r="C4672" s="23">
        <v>1</v>
      </c>
      <c r="D4672" t="s" s="24">
        <v>373</v>
      </c>
      <c r="E4672" s="25">
        <v>2.2</v>
      </c>
      <c r="F4672" s="23">
        <v>15</v>
      </c>
      <c r="G4672" s="152" cm="1">
        <f t="array" ref="G4672">SUM(E4672/F4672)</f>
        <v>0.146666666666667</v>
      </c>
      <c r="H4672" s="15"/>
    </row>
    <row r="4673" ht="13.65" customHeight="1">
      <c r="A4673" s="21">
        <v>101</v>
      </c>
      <c r="B4673" t="s" s="22">
        <v>407</v>
      </c>
      <c r="C4673" t="s" s="24">
        <v>380</v>
      </c>
      <c r="D4673" t="s" s="24">
        <v>537</v>
      </c>
      <c r="E4673" s="25">
        <v>7.5</v>
      </c>
      <c r="F4673" s="23">
        <v>25</v>
      </c>
      <c r="G4673" s="152" cm="1">
        <f t="array" ref="G4673">SUM(E4673/F4673)</f>
        <v>0.3</v>
      </c>
      <c r="H4673" s="15"/>
    </row>
    <row r="4674" ht="13.65" customHeight="1">
      <c r="A4674" s="21">
        <v>111</v>
      </c>
      <c r="B4674" t="s" s="22">
        <v>476</v>
      </c>
      <c r="C4674" s="23">
        <v>1</v>
      </c>
      <c r="D4674" t="s" s="24">
        <v>401</v>
      </c>
      <c r="E4674" s="25">
        <v>2.7</v>
      </c>
      <c r="F4674" s="23">
        <v>30</v>
      </c>
      <c r="G4674" s="152" cm="1">
        <f t="array" ref="G4674">SUM(E4674/F4674)</f>
        <v>0.09</v>
      </c>
      <c r="H4674" s="15"/>
    </row>
    <row r="4675" ht="13.65" customHeight="1">
      <c r="A4675" s="21">
        <v>70</v>
      </c>
      <c r="B4675" t="s" s="22">
        <v>738</v>
      </c>
      <c r="C4675" s="23">
        <v>1</v>
      </c>
      <c r="D4675" t="s" s="24">
        <v>104</v>
      </c>
      <c r="E4675" s="25">
        <v>22</v>
      </c>
      <c r="F4675" s="23">
        <v>1</v>
      </c>
      <c r="G4675" s="152" cm="1">
        <f t="array" ref="G4675">SUM(E4675/F4675)</f>
        <v>22</v>
      </c>
      <c r="H4675" s="15"/>
    </row>
    <row r="4676" ht="13.65" customHeight="1">
      <c r="A4676" s="21">
        <v>98</v>
      </c>
      <c r="B4676" t="s" s="22">
        <v>739</v>
      </c>
      <c r="C4676" t="s" s="24">
        <v>740</v>
      </c>
      <c r="D4676" t="s" s="24">
        <v>462</v>
      </c>
      <c r="E4676" s="25">
        <v>33</v>
      </c>
      <c r="F4676" s="23">
        <v>25</v>
      </c>
      <c r="G4676" s="152" cm="1">
        <f t="array" ref="G4676">SUM(E4676/F4676)</f>
        <v>1.32</v>
      </c>
      <c r="H4676" s="15"/>
    </row>
    <row r="4677" ht="13.65" customHeight="1">
      <c r="A4677" s="21">
        <v>28</v>
      </c>
      <c r="B4677" t="s" s="22">
        <v>475</v>
      </c>
      <c r="C4677" s="23">
        <v>6</v>
      </c>
      <c r="D4677" t="s" s="24">
        <v>375</v>
      </c>
      <c r="E4677" s="25">
        <v>6</v>
      </c>
      <c r="F4677" s="23">
        <v>12</v>
      </c>
      <c r="G4677" s="152" cm="1">
        <f t="array" ref="G4677">SUM(E4677/F4677)</f>
        <v>0.5</v>
      </c>
      <c r="H4677" s="15"/>
    </row>
    <row r="4678" ht="13.65" customHeight="1">
      <c r="A4678" s="21">
        <v>47</v>
      </c>
      <c r="B4678" t="s" s="22">
        <v>829</v>
      </c>
      <c r="C4678" s="23">
        <v>1</v>
      </c>
      <c r="D4678" t="s" s="24">
        <v>375</v>
      </c>
      <c r="E4678" s="25">
        <v>0.61</v>
      </c>
      <c r="F4678" s="23">
        <v>2</v>
      </c>
      <c r="G4678" s="152" cm="1">
        <f t="array" ref="G4678">SUM(E4678/F4678)</f>
        <v>0.305</v>
      </c>
      <c r="H4678" s="15"/>
    </row>
    <row r="4679" ht="13.65" customHeight="1">
      <c r="A4679" s="21">
        <v>131</v>
      </c>
      <c r="B4679" t="s" s="22">
        <v>482</v>
      </c>
      <c r="C4679" s="27"/>
      <c r="D4679" s="24"/>
      <c r="E4679" s="27"/>
      <c r="F4679" s="27"/>
      <c r="G4679" s="152">
        <v>240</v>
      </c>
      <c r="H4679" s="15"/>
    </row>
    <row r="4680" ht="13.65" customHeight="1">
      <c r="A4680" s="28"/>
      <c r="B4680" s="28"/>
      <c r="C4680" s="27"/>
      <c r="D4680" s="24"/>
      <c r="E4680" s="27"/>
      <c r="F4680" t="s" s="29">
        <v>118</v>
      </c>
      <c r="G4680" s="197" cm="1">
        <f t="array" ref="G4680">SUM(G4657:G4679)</f>
        <v>284.909455875972</v>
      </c>
      <c r="H4680" s="15"/>
    </row>
    <row r="4681" ht="13.65" customHeight="1">
      <c r="A4681" s="31"/>
      <c r="B4681" s="31"/>
      <c r="C4681" s="31"/>
      <c r="D4681" s="31"/>
      <c r="E4681" s="31"/>
      <c r="F4681" s="31"/>
      <c r="G4681" s="31"/>
      <c r="H4681" s="3"/>
    </row>
    <row r="4682" ht="13.65" customHeight="1">
      <c r="A4682" t="s" s="5">
        <v>806</v>
      </c>
      <c r="B4682" s="3"/>
      <c r="C4682" s="3"/>
      <c r="D4682" s="3"/>
      <c r="E4682" s="3"/>
      <c r="F4682" s="3"/>
      <c r="G4682" s="3"/>
      <c r="H4682" s="3"/>
    </row>
    <row r="4683" ht="13.65" customHeight="1">
      <c r="A4683" s="11"/>
      <c r="B4683" s="11"/>
      <c r="C4683" s="11"/>
      <c r="D4683" s="11"/>
      <c r="E4683" s="11"/>
      <c r="F4683" s="11"/>
      <c r="G4683" s="11"/>
      <c r="H4683" s="3"/>
    </row>
    <row r="4684" ht="11.7" customHeight="1">
      <c r="A4684" t="s" s="167">
        <v>136</v>
      </c>
      <c r="B4684" t="s" s="167">
        <v>281</v>
      </c>
      <c r="C4684" t="s" s="167">
        <v>282</v>
      </c>
      <c r="D4684" t="s" s="167">
        <v>118</v>
      </c>
      <c r="E4684" t="s" s="167">
        <v>807</v>
      </c>
      <c r="F4684" t="s" s="167">
        <v>605</v>
      </c>
      <c r="G4684" s="167"/>
      <c r="H4684" s="170"/>
    </row>
    <row r="4685" ht="13.65" customHeight="1">
      <c r="A4685" s="23">
        <v>270</v>
      </c>
      <c r="B4685" s="172" cm="1">
        <f t="array" ref="B4685">SUM(H256)</f>
        <v>2.47496540404041</v>
      </c>
      <c r="C4685" s="172" cm="1">
        <f t="array" ref="C4685">SUM(G4680)</f>
        <v>284.909455875972</v>
      </c>
      <c r="D4685" s="308" cm="1">
        <f t="array" ref="D4685">SUM(A4685*B4685+C4685)</f>
        <v>953.1501149668831</v>
      </c>
      <c r="E4685" s="198" cm="1">
        <f t="array" ref="E4685">SUM(D4685)*0.3</f>
        <v>285.945034490065</v>
      </c>
      <c r="F4685" s="154" cm="1">
        <f t="array" ref="F4685">SUM(D4685:E4685)</f>
        <v>1239.095149456950</v>
      </c>
      <c r="G4685" s="306"/>
      <c r="H4685" s="15"/>
    </row>
    <row r="4686" ht="13.65" customHeight="1">
      <c r="A4686" s="31"/>
      <c r="B4686" s="31"/>
      <c r="C4686" s="31"/>
      <c r="D4686" s="31"/>
      <c r="E4686" s="31"/>
      <c r="F4686" s="31"/>
      <c r="G4686" s="31"/>
      <c r="H4686" s="3"/>
    </row>
    <row r="4687" ht="13.65" customHeight="1">
      <c r="A4687" s="203"/>
      <c r="B4687" s="203"/>
      <c r="C4687" s="203"/>
      <c r="D4687" s="203"/>
      <c r="E4687" s="203"/>
      <c r="F4687" s="203"/>
      <c r="G4687" s="203"/>
      <c r="H4687" s="203"/>
    </row>
    <row r="4688" ht="13.65" customHeight="1">
      <c r="A4688" t="s" s="274">
        <v>185</v>
      </c>
      <c r="B4688" s="275"/>
      <c r="C4688" s="275"/>
      <c r="D4688" s="275"/>
      <c r="E4688" s="280"/>
      <c r="F4688" s="275"/>
      <c r="G4688" s="275"/>
      <c r="H4688" s="277"/>
    </row>
    <row r="4689" ht="13.65" customHeight="1">
      <c r="A4689" s="278"/>
      <c r="B4689" s="278"/>
      <c r="C4689" s="278"/>
      <c r="D4689" s="278"/>
      <c r="E4689" s="278"/>
      <c r="F4689" s="278"/>
      <c r="G4689" s="278"/>
      <c r="H4689" s="278"/>
    </row>
    <row r="4690" ht="13.65" customHeight="1">
      <c r="A4690" s="3"/>
      <c r="B4690" s="3"/>
      <c r="C4690" s="3"/>
      <c r="D4690" s="3"/>
      <c r="E4690" s="3"/>
      <c r="F4690" s="3"/>
      <c r="G4690" s="3"/>
      <c r="H4690" s="3"/>
    </row>
    <row r="4691" ht="13.65" customHeight="1">
      <c r="A4691" t="s" s="5">
        <v>832</v>
      </c>
      <c r="B4691" s="3"/>
      <c r="C4691" s="3"/>
      <c r="D4691" s="3"/>
      <c r="E4691" s="3"/>
      <c r="F4691" s="3"/>
      <c r="G4691" s="3"/>
      <c r="H4691" s="3"/>
    </row>
    <row r="4692" ht="13.65" customHeight="1">
      <c r="A4692" s="11"/>
      <c r="B4692" s="11"/>
      <c r="C4692" s="11"/>
      <c r="D4692" s="11"/>
      <c r="E4692" s="11"/>
      <c r="F4692" s="11"/>
      <c r="G4692" s="11"/>
      <c r="H4692" s="3"/>
    </row>
    <row r="4693" ht="13.65" customHeight="1">
      <c r="A4693" s="12"/>
      <c r="B4693" s="12"/>
      <c r="C4693" s="13"/>
      <c r="D4693" s="14"/>
      <c r="E4693" s="13"/>
      <c r="F4693" s="13"/>
      <c r="G4693" t="s" s="14">
        <v>252</v>
      </c>
      <c r="H4693" s="150"/>
    </row>
    <row r="4694" ht="13.65" customHeight="1">
      <c r="A4694" t="s" s="16">
        <v>93</v>
      </c>
      <c r="B4694" t="s" s="16">
        <v>94</v>
      </c>
      <c r="C4694" t="s" s="16">
        <v>95</v>
      </c>
      <c r="D4694" t="s" s="16">
        <v>96</v>
      </c>
      <c r="E4694" t="s" s="16">
        <v>97</v>
      </c>
      <c r="F4694" t="s" s="16">
        <v>98</v>
      </c>
      <c r="G4694" t="s" s="16">
        <v>99</v>
      </c>
      <c r="H4694" s="15"/>
    </row>
    <row r="4695" ht="13.65" customHeight="1">
      <c r="A4695" s="151"/>
      <c r="B4695" s="151"/>
      <c r="C4695" s="19"/>
      <c r="D4695" s="20"/>
      <c r="E4695" s="19"/>
      <c r="F4695" s="19"/>
      <c r="G4695" t="s" s="20">
        <v>100</v>
      </c>
      <c r="H4695" s="15"/>
    </row>
    <row r="4696" ht="13.65" customHeight="1">
      <c r="A4696" s="21">
        <v>72</v>
      </c>
      <c r="B4696" t="s" s="22">
        <v>101</v>
      </c>
      <c r="C4696" s="23">
        <v>50</v>
      </c>
      <c r="D4696" t="s" s="24">
        <v>608</v>
      </c>
      <c r="E4696" s="25">
        <v>1.93</v>
      </c>
      <c r="F4696" s="23">
        <v>6.25</v>
      </c>
      <c r="G4696" s="152" cm="1">
        <f t="array" ref="G4696">SUM(E4696/F4696)</f>
        <v>0.3088</v>
      </c>
      <c r="H4696" s="15"/>
    </row>
    <row r="4697" ht="13.65" customHeight="1">
      <c r="A4697" s="21">
        <v>123</v>
      </c>
      <c r="B4697" t="s" s="22">
        <v>103</v>
      </c>
      <c r="C4697" s="23">
        <v>40</v>
      </c>
      <c r="D4697" t="s" s="24">
        <v>274</v>
      </c>
      <c r="E4697" s="25">
        <v>3.2</v>
      </c>
      <c r="F4697" s="23">
        <v>10</v>
      </c>
      <c r="G4697" s="152" cm="1">
        <f t="array" ref="G4697">SUM(E4697/F4697)</f>
        <v>0.32</v>
      </c>
      <c r="H4697" s="15"/>
    </row>
    <row r="4698" ht="13.65" customHeight="1">
      <c r="A4698" s="21">
        <v>57</v>
      </c>
      <c r="B4698" t="s" s="22">
        <v>253</v>
      </c>
      <c r="C4698" t="s" s="24">
        <v>389</v>
      </c>
      <c r="D4698" t="s" s="24">
        <v>371</v>
      </c>
      <c r="E4698" s="25">
        <v>4.5</v>
      </c>
      <c r="F4698" s="23">
        <v>33</v>
      </c>
      <c r="G4698" s="152" cm="1">
        <f t="array" ref="G4698">SUM(E4698/F4698)</f>
        <v>0.136363636363636</v>
      </c>
      <c r="H4698" s="15"/>
    </row>
    <row r="4699" ht="13.65" customHeight="1">
      <c r="A4699" s="21">
        <v>117</v>
      </c>
      <c r="B4699" t="s" s="22">
        <v>105</v>
      </c>
      <c r="C4699" s="23">
        <v>100</v>
      </c>
      <c r="D4699" t="s" s="24">
        <v>106</v>
      </c>
      <c r="E4699" s="25">
        <v>1.2</v>
      </c>
      <c r="F4699" s="23">
        <v>10</v>
      </c>
      <c r="G4699" s="152" cm="1">
        <f t="array" ref="G4699">SUM(E4699/F4699)</f>
        <v>0.12</v>
      </c>
      <c r="H4699" s="15"/>
    </row>
    <row r="4700" ht="13.65" customHeight="1">
      <c r="A4700" s="21">
        <v>86</v>
      </c>
      <c r="B4700" t="s" s="22">
        <v>107</v>
      </c>
      <c r="C4700" t="s" s="24">
        <v>108</v>
      </c>
      <c r="D4700" t="s" s="24">
        <v>608</v>
      </c>
      <c r="E4700" s="25">
        <v>0.32</v>
      </c>
      <c r="F4700" t="s" s="24">
        <v>825</v>
      </c>
      <c r="G4700" s="152" cm="1">
        <f t="array" ref="G4700">SUM(E4700*8)</f>
        <v>2.56</v>
      </c>
      <c r="H4700" s="15"/>
    </row>
    <row r="4701" ht="13.65" customHeight="1">
      <c r="A4701" s="21">
        <v>71</v>
      </c>
      <c r="B4701" t="s" s="22">
        <v>109</v>
      </c>
      <c r="C4701" s="23">
        <v>10</v>
      </c>
      <c r="D4701" t="s" s="24">
        <v>608</v>
      </c>
      <c r="E4701" s="25">
        <v>5.92</v>
      </c>
      <c r="F4701" s="23">
        <v>1.25</v>
      </c>
      <c r="G4701" s="152" cm="1">
        <f t="array" ref="G4701">SUM(E4701/F4701)</f>
        <v>4.736</v>
      </c>
      <c r="H4701" s="15"/>
    </row>
    <row r="4702" ht="13.65" customHeight="1">
      <c r="A4702" s="21">
        <v>87</v>
      </c>
      <c r="B4702" t="s" s="22">
        <v>110</v>
      </c>
      <c r="C4702" s="23">
        <v>50</v>
      </c>
      <c r="D4702" t="s" s="24">
        <v>608</v>
      </c>
      <c r="E4702" s="25">
        <v>9</v>
      </c>
      <c r="F4702" s="23">
        <v>6.25</v>
      </c>
      <c r="G4702" s="152" cm="1">
        <f t="array" ref="G4702">SUM(E4702/F4702)</f>
        <v>1.44</v>
      </c>
      <c r="H4702" s="15"/>
    </row>
    <row r="4703" ht="13.65" customHeight="1">
      <c r="A4703" s="21">
        <v>55</v>
      </c>
      <c r="B4703" t="s" s="22">
        <v>111</v>
      </c>
      <c r="C4703" t="s" s="24">
        <v>112</v>
      </c>
      <c r="D4703" t="s" s="24">
        <v>651</v>
      </c>
      <c r="E4703" s="25">
        <v>2.71</v>
      </c>
      <c r="F4703" s="23">
        <v>19</v>
      </c>
      <c r="G4703" s="152" cm="1">
        <f t="array" ref="G4703">SUM(E4703/F4703)</f>
        <v>0.142631578947368</v>
      </c>
      <c r="H4703" s="15"/>
    </row>
    <row r="4704" ht="13.65" customHeight="1">
      <c r="A4704" s="21">
        <v>24</v>
      </c>
      <c r="B4704" t="s" s="22">
        <v>531</v>
      </c>
      <c r="C4704" s="23">
        <v>10</v>
      </c>
      <c r="D4704" t="s" s="24">
        <v>256</v>
      </c>
      <c r="E4704" s="25">
        <v>9.6</v>
      </c>
      <c r="F4704" s="23">
        <v>3.33</v>
      </c>
      <c r="G4704" s="152" cm="1">
        <f t="array" ref="G4704">SUM(E4704/F4704)</f>
        <v>2.88288288288288</v>
      </c>
      <c r="H4704" s="15"/>
    </row>
    <row r="4705" ht="13.65" customHeight="1">
      <c r="A4705" s="21">
        <v>19</v>
      </c>
      <c r="B4705" t="s" s="22">
        <v>445</v>
      </c>
      <c r="C4705" s="23">
        <v>6</v>
      </c>
      <c r="D4705" t="s" s="24">
        <v>694</v>
      </c>
      <c r="E4705" s="25">
        <v>5.2</v>
      </c>
      <c r="F4705" s="23">
        <v>10</v>
      </c>
      <c r="G4705" s="152" cm="1">
        <f t="array" ref="G4705">SUM(E4705/F4705)</f>
        <v>0.52</v>
      </c>
      <c r="H4705" s="15"/>
    </row>
    <row r="4706" ht="13.65" customHeight="1">
      <c r="A4706" s="21">
        <v>27</v>
      </c>
      <c r="B4706" t="s" s="22">
        <v>594</v>
      </c>
      <c r="C4706" s="23">
        <v>18</v>
      </c>
      <c r="D4706" t="s" s="24">
        <v>104</v>
      </c>
      <c r="E4706" s="25">
        <v>6.5</v>
      </c>
      <c r="F4706" s="23">
        <v>18</v>
      </c>
      <c r="G4706" s="152" cm="1">
        <f t="array" ref="G4706">SUM(E4706/F4706)</f>
        <v>0.361111111111111</v>
      </c>
      <c r="H4706" s="15"/>
    </row>
    <row r="4707" ht="13.65" customHeight="1">
      <c r="A4707" s="21">
        <v>7</v>
      </c>
      <c r="B4707" t="s" s="22">
        <v>477</v>
      </c>
      <c r="C4707" t="s" s="24">
        <v>478</v>
      </c>
      <c r="D4707" t="s" s="24">
        <v>479</v>
      </c>
      <c r="E4707" s="25">
        <v>14</v>
      </c>
      <c r="F4707" s="23">
        <v>10</v>
      </c>
      <c r="G4707" s="152" cm="1">
        <f t="array" ref="G4707">SUM(E4707/F4707)</f>
        <v>1.4</v>
      </c>
      <c r="H4707" s="15"/>
    </row>
    <row r="4708" ht="13.65" customHeight="1">
      <c r="A4708" s="21">
        <v>68</v>
      </c>
      <c r="B4708" t="s" s="22">
        <v>480</v>
      </c>
      <c r="C4708" t="s" s="24">
        <v>481</v>
      </c>
      <c r="D4708" t="s" s="24">
        <v>597</v>
      </c>
      <c r="E4708" s="25">
        <v>16</v>
      </c>
      <c r="F4708" s="23">
        <v>5</v>
      </c>
      <c r="G4708" s="152" cm="1">
        <f t="array" ref="G4708">SUM(E4708/F4708)</f>
        <v>3.2</v>
      </c>
      <c r="H4708" s="15"/>
    </row>
    <row r="4709" ht="13.65" customHeight="1">
      <c r="A4709" s="21">
        <v>39</v>
      </c>
      <c r="B4709" t="s" s="22">
        <v>598</v>
      </c>
      <c r="C4709" t="s" s="24">
        <v>481</v>
      </c>
      <c r="D4709" t="s" s="24">
        <v>597</v>
      </c>
      <c r="E4709" s="25">
        <v>3.5</v>
      </c>
      <c r="F4709" s="23">
        <v>5</v>
      </c>
      <c r="G4709" s="152" cm="1">
        <f t="array" ref="G4709">SUM(E4709/F4709)</f>
        <v>0.7</v>
      </c>
      <c r="H4709" s="15"/>
    </row>
    <row r="4710" ht="13.65" customHeight="1">
      <c r="A4710" s="21">
        <v>111</v>
      </c>
      <c r="B4710" t="s" s="22">
        <v>476</v>
      </c>
      <c r="C4710" s="23">
        <v>1</v>
      </c>
      <c r="D4710" t="s" s="24">
        <v>401</v>
      </c>
      <c r="E4710" s="25">
        <v>2.7</v>
      </c>
      <c r="F4710" s="23">
        <v>30</v>
      </c>
      <c r="G4710" s="152" cm="1">
        <f t="array" ref="G4710">SUM(E4710/F4710)</f>
        <v>0.09</v>
      </c>
      <c r="H4710" s="15"/>
    </row>
    <row r="4711" ht="13.65" customHeight="1">
      <c r="A4711" s="21">
        <v>131</v>
      </c>
      <c r="B4711" t="s" s="22">
        <v>482</v>
      </c>
      <c r="C4711" s="27"/>
      <c r="D4711" s="24"/>
      <c r="E4711" s="27"/>
      <c r="F4711" s="27"/>
      <c r="G4711" s="152">
        <v>60</v>
      </c>
      <c r="H4711" s="15"/>
    </row>
    <row r="4712" ht="13.65" customHeight="1">
      <c r="A4712" s="28"/>
      <c r="B4712" s="28"/>
      <c r="C4712" s="27"/>
      <c r="D4712" s="24"/>
      <c r="E4712" s="27"/>
      <c r="F4712" t="s" s="29">
        <v>118</v>
      </c>
      <c r="G4712" s="197" cm="1">
        <f t="array" ref="G4712">SUM(G4696:G4711)</f>
        <v>78.917789209305</v>
      </c>
      <c r="H4712" s="15"/>
    </row>
    <row r="4713" ht="13.65" customHeight="1">
      <c r="A4713" s="31"/>
      <c r="B4713" s="31"/>
      <c r="C4713" s="31"/>
      <c r="D4713" s="31"/>
      <c r="E4713" s="31"/>
      <c r="F4713" s="31"/>
      <c r="G4713" s="31"/>
      <c r="H4713" s="3"/>
    </row>
    <row r="4714" ht="13.65" customHeight="1">
      <c r="A4714" t="s" s="5">
        <v>806</v>
      </c>
      <c r="B4714" s="3"/>
      <c r="C4714" s="3"/>
      <c r="D4714" s="3"/>
      <c r="E4714" s="3"/>
      <c r="F4714" s="3"/>
      <c r="G4714" s="3"/>
      <c r="H4714" s="3"/>
    </row>
    <row r="4715" ht="13.65" customHeight="1">
      <c r="A4715" s="11"/>
      <c r="B4715" s="11"/>
      <c r="C4715" s="11"/>
      <c r="D4715" s="11"/>
      <c r="E4715" s="11"/>
      <c r="F4715" s="11"/>
      <c r="G4715" s="11"/>
      <c r="H4715" s="3"/>
    </row>
    <row r="4716" ht="11.7" customHeight="1">
      <c r="A4716" t="s" s="167">
        <v>136</v>
      </c>
      <c r="B4716" t="s" s="167">
        <v>281</v>
      </c>
      <c r="C4716" t="s" s="167">
        <v>282</v>
      </c>
      <c r="D4716" t="s" s="167">
        <v>118</v>
      </c>
      <c r="E4716" t="s" s="167">
        <v>807</v>
      </c>
      <c r="F4716" t="s" s="167">
        <v>605</v>
      </c>
      <c r="G4716" s="167"/>
      <c r="H4716" s="170"/>
    </row>
    <row r="4717" ht="13.65" customHeight="1">
      <c r="A4717" s="23">
        <v>120</v>
      </c>
      <c r="B4717" s="172" cm="1">
        <f t="array" ref="B4717">SUM(H256)</f>
        <v>2.47496540404041</v>
      </c>
      <c r="C4717" s="172" cm="1">
        <f t="array" ref="C4717">SUM(G4712)</f>
        <v>78.917789209305</v>
      </c>
      <c r="D4717" s="308" cm="1">
        <f t="array" ref="D4717">SUM(A4717*B4717+C4717)</f>
        <v>375.913637694154</v>
      </c>
      <c r="E4717" s="198" cm="1">
        <f t="array" ref="E4717">SUM(D4717)*0.3</f>
        <v>112.774091308246</v>
      </c>
      <c r="F4717" s="154" cm="1">
        <f t="array" ref="F4717">SUM(D4717:E4717)</f>
        <v>488.6877290024</v>
      </c>
      <c r="G4717" s="306"/>
      <c r="H4717" s="15"/>
    </row>
    <row r="4718" ht="13.65" customHeight="1">
      <c r="A4718" s="31"/>
      <c r="B4718" s="31"/>
      <c r="C4718" s="31"/>
      <c r="D4718" s="31"/>
      <c r="E4718" s="31"/>
      <c r="F4718" s="31"/>
      <c r="G4718" s="31"/>
      <c r="H4718" s="3"/>
    </row>
    <row r="4719" ht="13.65" customHeight="1">
      <c r="A4719" s="3"/>
      <c r="B4719" s="3"/>
      <c r="C4719" s="3"/>
      <c r="D4719" s="3"/>
      <c r="E4719" s="3"/>
      <c r="F4719" s="3"/>
      <c r="G4719" s="3"/>
      <c r="H4719" s="3"/>
    </row>
    <row r="4720" ht="13.65" customHeight="1">
      <c r="A4720" t="s" s="5">
        <v>833</v>
      </c>
      <c r="B4720" s="3"/>
      <c r="C4720" s="3"/>
      <c r="D4720" s="3"/>
      <c r="E4720" s="3"/>
      <c r="F4720" s="3"/>
      <c r="G4720" s="3"/>
      <c r="H4720" s="3"/>
    </row>
    <row r="4721" ht="13.65" customHeight="1">
      <c r="A4721" s="11"/>
      <c r="B4721" s="11"/>
      <c r="C4721" s="11"/>
      <c r="D4721" s="11"/>
      <c r="E4721" s="11"/>
      <c r="F4721" s="11"/>
      <c r="G4721" s="11"/>
      <c r="H4721" s="3"/>
    </row>
    <row r="4722" ht="13.65" customHeight="1">
      <c r="A4722" s="12"/>
      <c r="B4722" s="12"/>
      <c r="C4722" s="13"/>
      <c r="D4722" s="14"/>
      <c r="E4722" s="13"/>
      <c r="F4722" s="13"/>
      <c r="G4722" t="s" s="14">
        <v>252</v>
      </c>
      <c r="H4722" s="150"/>
    </row>
    <row r="4723" ht="13.65" customHeight="1">
      <c r="A4723" t="s" s="16">
        <v>93</v>
      </c>
      <c r="B4723" t="s" s="16">
        <v>94</v>
      </c>
      <c r="C4723" t="s" s="16">
        <v>95</v>
      </c>
      <c r="D4723" t="s" s="16">
        <v>96</v>
      </c>
      <c r="E4723" t="s" s="16">
        <v>97</v>
      </c>
      <c r="F4723" t="s" s="16">
        <v>98</v>
      </c>
      <c r="G4723" t="s" s="16">
        <v>99</v>
      </c>
      <c r="H4723" s="15"/>
    </row>
    <row r="4724" ht="13.65" customHeight="1">
      <c r="A4724" s="151"/>
      <c r="B4724" s="151"/>
      <c r="C4724" s="19"/>
      <c r="D4724" s="20"/>
      <c r="E4724" s="19"/>
      <c r="F4724" s="19"/>
      <c r="G4724" t="s" s="20">
        <v>100</v>
      </c>
      <c r="H4724" s="15"/>
    </row>
    <row r="4725" ht="13.65" customHeight="1">
      <c r="A4725" s="21">
        <v>72</v>
      </c>
      <c r="B4725" t="s" s="22">
        <v>101</v>
      </c>
      <c r="C4725" s="23">
        <v>50</v>
      </c>
      <c r="D4725" t="s" s="24">
        <v>608</v>
      </c>
      <c r="E4725" s="25">
        <v>1.93</v>
      </c>
      <c r="F4725" s="23">
        <v>6.25</v>
      </c>
      <c r="G4725" s="152" cm="1">
        <f t="array" ref="G4725">SUM(E4725/F4725)</f>
        <v>0.3088</v>
      </c>
      <c r="H4725" s="15"/>
    </row>
    <row r="4726" ht="13.65" customHeight="1">
      <c r="A4726" s="21">
        <v>123</v>
      </c>
      <c r="B4726" t="s" s="22">
        <v>103</v>
      </c>
      <c r="C4726" s="23">
        <v>40</v>
      </c>
      <c r="D4726" t="s" s="24">
        <v>274</v>
      </c>
      <c r="E4726" s="25">
        <v>3.2</v>
      </c>
      <c r="F4726" s="23">
        <v>10</v>
      </c>
      <c r="G4726" s="152" cm="1">
        <f t="array" ref="G4726">SUM(E4726/F4726)</f>
        <v>0.32</v>
      </c>
      <c r="H4726" s="15"/>
    </row>
    <row r="4727" ht="13.65" customHeight="1">
      <c r="A4727" s="21">
        <v>57</v>
      </c>
      <c r="B4727" t="s" s="22">
        <v>253</v>
      </c>
      <c r="C4727" t="s" s="24">
        <v>389</v>
      </c>
      <c r="D4727" t="s" s="24">
        <v>371</v>
      </c>
      <c r="E4727" s="25">
        <v>4.5</v>
      </c>
      <c r="F4727" s="23">
        <v>33</v>
      </c>
      <c r="G4727" s="152" cm="1">
        <f t="array" ref="G4727">SUM(E4727/F4727)</f>
        <v>0.136363636363636</v>
      </c>
      <c r="H4727" s="15"/>
    </row>
    <row r="4728" ht="13.65" customHeight="1">
      <c r="A4728" s="21">
        <v>117</v>
      </c>
      <c r="B4728" t="s" s="22">
        <v>105</v>
      </c>
      <c r="C4728" s="23">
        <v>100</v>
      </c>
      <c r="D4728" t="s" s="24">
        <v>106</v>
      </c>
      <c r="E4728" s="25">
        <v>1.2</v>
      </c>
      <c r="F4728" s="23">
        <v>10</v>
      </c>
      <c r="G4728" s="152" cm="1">
        <f t="array" ref="G4728">SUM(E4728/F4728)</f>
        <v>0.12</v>
      </c>
      <c r="H4728" s="15"/>
    </row>
    <row r="4729" ht="13.65" customHeight="1">
      <c r="A4729" s="21">
        <v>86</v>
      </c>
      <c r="B4729" t="s" s="22">
        <v>107</v>
      </c>
      <c r="C4729" t="s" s="24">
        <v>108</v>
      </c>
      <c r="D4729" t="s" s="24">
        <v>608</v>
      </c>
      <c r="E4729" s="25">
        <v>0.32</v>
      </c>
      <c r="F4729" t="s" s="24">
        <v>825</v>
      </c>
      <c r="G4729" s="152" cm="1">
        <f t="array" ref="G4729">SUM(E4729*8)</f>
        <v>2.56</v>
      </c>
      <c r="H4729" s="15"/>
    </row>
    <row r="4730" ht="13.65" customHeight="1">
      <c r="A4730" s="21">
        <v>71</v>
      </c>
      <c r="B4730" t="s" s="22">
        <v>109</v>
      </c>
      <c r="C4730" s="23">
        <v>10</v>
      </c>
      <c r="D4730" t="s" s="24">
        <v>608</v>
      </c>
      <c r="E4730" s="25">
        <v>5.92</v>
      </c>
      <c r="F4730" s="23">
        <v>1.25</v>
      </c>
      <c r="G4730" s="152" cm="1">
        <f t="array" ref="G4730">SUM(E4730/F4730)</f>
        <v>4.736</v>
      </c>
      <c r="H4730" s="15"/>
    </row>
    <row r="4731" ht="13.65" customHeight="1">
      <c r="A4731" s="21">
        <v>87</v>
      </c>
      <c r="B4731" t="s" s="22">
        <v>110</v>
      </c>
      <c r="C4731" s="23">
        <v>50</v>
      </c>
      <c r="D4731" t="s" s="24">
        <v>608</v>
      </c>
      <c r="E4731" s="25">
        <v>9</v>
      </c>
      <c r="F4731" s="23">
        <v>6.25</v>
      </c>
      <c r="G4731" s="152" cm="1">
        <f t="array" ref="G4731">SUM(E4731/F4731)</f>
        <v>1.44</v>
      </c>
      <c r="H4731" s="15"/>
    </row>
    <row r="4732" ht="13.65" customHeight="1">
      <c r="A4732" s="21">
        <v>55</v>
      </c>
      <c r="B4732" t="s" s="22">
        <v>111</v>
      </c>
      <c r="C4732" t="s" s="24">
        <v>112</v>
      </c>
      <c r="D4732" t="s" s="24">
        <v>651</v>
      </c>
      <c r="E4732" s="25">
        <v>2.71</v>
      </c>
      <c r="F4732" s="23">
        <v>19</v>
      </c>
      <c r="G4732" s="152" cm="1">
        <f t="array" ref="G4732">SUM(E4732/F4732)</f>
        <v>0.142631578947368</v>
      </c>
      <c r="H4732" s="15"/>
    </row>
    <row r="4733" ht="13.65" customHeight="1">
      <c r="A4733" s="21">
        <v>24</v>
      </c>
      <c r="B4733" t="s" s="22">
        <v>531</v>
      </c>
      <c r="C4733" s="23">
        <v>10</v>
      </c>
      <c r="D4733" t="s" s="24">
        <v>256</v>
      </c>
      <c r="E4733" s="25">
        <v>9.6</v>
      </c>
      <c r="F4733" s="23">
        <v>3.33</v>
      </c>
      <c r="G4733" s="152" cm="1">
        <f t="array" ref="G4733">SUM(E4733/F4733)</f>
        <v>2.88288288288288</v>
      </c>
      <c r="H4733" s="15"/>
    </row>
    <row r="4734" ht="13.65" customHeight="1">
      <c r="A4734" s="21">
        <v>19</v>
      </c>
      <c r="B4734" t="s" s="22">
        <v>445</v>
      </c>
      <c r="C4734" s="23">
        <v>6</v>
      </c>
      <c r="D4734" t="s" s="24">
        <v>694</v>
      </c>
      <c r="E4734" s="25">
        <v>5.2</v>
      </c>
      <c r="F4734" s="23">
        <v>10</v>
      </c>
      <c r="G4734" s="152" cm="1">
        <f t="array" ref="G4734">SUM(E4734/F4734)</f>
        <v>0.52</v>
      </c>
      <c r="H4734" s="15"/>
    </row>
    <row r="4735" ht="13.65" customHeight="1">
      <c r="A4735" s="21">
        <v>27</v>
      </c>
      <c r="B4735" t="s" s="22">
        <v>594</v>
      </c>
      <c r="C4735" s="23">
        <v>18</v>
      </c>
      <c r="D4735" t="s" s="24">
        <v>104</v>
      </c>
      <c r="E4735" s="25">
        <v>6.5</v>
      </c>
      <c r="F4735" s="23">
        <v>18</v>
      </c>
      <c r="G4735" s="152" cm="1">
        <f t="array" ref="G4735">SUM(E4735/F4735)</f>
        <v>0.361111111111111</v>
      </c>
      <c r="H4735" s="15"/>
    </row>
    <row r="4736" ht="13.65" customHeight="1">
      <c r="A4736" s="21">
        <v>7</v>
      </c>
      <c r="B4736" t="s" s="22">
        <v>477</v>
      </c>
      <c r="C4736" t="s" s="24">
        <v>478</v>
      </c>
      <c r="D4736" t="s" s="24">
        <v>479</v>
      </c>
      <c r="E4736" s="25">
        <v>14</v>
      </c>
      <c r="F4736" s="23">
        <v>10</v>
      </c>
      <c r="G4736" s="152" cm="1">
        <f t="array" ref="G4736">SUM(E4736/F4736)</f>
        <v>1.4</v>
      </c>
      <c r="H4736" s="15"/>
    </row>
    <row r="4737" ht="13.65" customHeight="1">
      <c r="A4737" s="21">
        <v>68</v>
      </c>
      <c r="B4737" t="s" s="22">
        <v>480</v>
      </c>
      <c r="C4737" t="s" s="24">
        <v>481</v>
      </c>
      <c r="D4737" t="s" s="24">
        <v>597</v>
      </c>
      <c r="E4737" s="25">
        <v>16</v>
      </c>
      <c r="F4737" s="23">
        <v>5</v>
      </c>
      <c r="G4737" s="152" cm="1">
        <f t="array" ref="G4737">SUM(E4737/F4737)</f>
        <v>3.2</v>
      </c>
      <c r="H4737" s="15"/>
    </row>
    <row r="4738" ht="13.65" customHeight="1">
      <c r="A4738" s="21">
        <v>39</v>
      </c>
      <c r="B4738" t="s" s="22">
        <v>598</v>
      </c>
      <c r="C4738" t="s" s="24">
        <v>481</v>
      </c>
      <c r="D4738" t="s" s="24">
        <v>597</v>
      </c>
      <c r="E4738" s="25">
        <v>3.5</v>
      </c>
      <c r="F4738" s="23">
        <v>5</v>
      </c>
      <c r="G4738" s="152" cm="1">
        <f t="array" ref="G4738">SUM(E4738/F4738)</f>
        <v>0.7</v>
      </c>
      <c r="H4738" s="15"/>
    </row>
    <row r="4739" ht="13.65" customHeight="1">
      <c r="A4739" s="21">
        <v>111</v>
      </c>
      <c r="B4739" t="s" s="22">
        <v>476</v>
      </c>
      <c r="C4739" s="23">
        <v>1</v>
      </c>
      <c r="D4739" t="s" s="24">
        <v>401</v>
      </c>
      <c r="E4739" s="25">
        <v>2.7</v>
      </c>
      <c r="F4739" s="23">
        <v>30</v>
      </c>
      <c r="G4739" s="152" cm="1">
        <f t="array" ref="G4739">SUM(E4739/F4739)</f>
        <v>0.09</v>
      </c>
      <c r="H4739" s="15"/>
    </row>
    <row r="4740" ht="13.65" customHeight="1">
      <c r="A4740" s="21">
        <v>131</v>
      </c>
      <c r="B4740" t="s" s="22">
        <v>482</v>
      </c>
      <c r="C4740" s="27"/>
      <c r="D4740" s="24"/>
      <c r="E4740" s="27"/>
      <c r="F4740" s="27"/>
      <c r="G4740" s="152">
        <v>60</v>
      </c>
      <c r="H4740" s="15"/>
    </row>
    <row r="4741" ht="13.65" customHeight="1">
      <c r="A4741" s="28"/>
      <c r="B4741" s="28"/>
      <c r="C4741" s="27"/>
      <c r="D4741" s="24"/>
      <c r="E4741" s="27"/>
      <c r="F4741" t="s" s="29">
        <v>118</v>
      </c>
      <c r="G4741" s="197" cm="1">
        <f t="array" ref="G4741">SUM(G4725:G4740)</f>
        <v>78.917789209305</v>
      </c>
      <c r="H4741" s="15"/>
    </row>
    <row r="4742" ht="13.65" customHeight="1">
      <c r="A4742" s="31"/>
      <c r="B4742" s="31"/>
      <c r="C4742" s="31"/>
      <c r="D4742" s="31"/>
      <c r="E4742" s="31"/>
      <c r="F4742" s="31"/>
      <c r="G4742" s="31"/>
      <c r="H4742" s="3"/>
    </row>
    <row r="4743" ht="13.65" customHeight="1">
      <c r="A4743" t="s" s="5">
        <v>806</v>
      </c>
      <c r="B4743" s="3"/>
      <c r="C4743" s="3"/>
      <c r="D4743" s="3"/>
      <c r="E4743" s="3"/>
      <c r="F4743" s="3"/>
      <c r="G4743" s="3"/>
      <c r="H4743" s="3"/>
    </row>
    <row r="4744" ht="13.65" customHeight="1">
      <c r="A4744" s="11"/>
      <c r="B4744" s="11"/>
      <c r="C4744" s="11"/>
      <c r="D4744" s="11"/>
      <c r="E4744" s="11"/>
      <c r="F4744" s="11"/>
      <c r="G4744" s="11"/>
      <c r="H4744" s="3"/>
    </row>
    <row r="4745" ht="11.7" customHeight="1">
      <c r="A4745" t="s" s="167">
        <v>136</v>
      </c>
      <c r="B4745" t="s" s="167">
        <v>281</v>
      </c>
      <c r="C4745" t="s" s="167">
        <v>282</v>
      </c>
      <c r="D4745" t="s" s="167">
        <v>118</v>
      </c>
      <c r="E4745" t="s" s="167">
        <v>807</v>
      </c>
      <c r="F4745" t="s" s="167">
        <v>605</v>
      </c>
      <c r="G4745" s="167"/>
      <c r="H4745" s="170"/>
    </row>
    <row r="4746" ht="13.65" customHeight="1">
      <c r="A4746" s="23">
        <v>120</v>
      </c>
      <c r="B4746" s="172" cm="1">
        <f t="array" ref="B4746">SUM(H256)</f>
        <v>2.47496540404041</v>
      </c>
      <c r="C4746" s="172" cm="1">
        <f t="array" ref="C4746">SUM(G4741)</f>
        <v>78.917789209305</v>
      </c>
      <c r="D4746" s="308" cm="1">
        <f t="array" ref="D4746">SUM(A4746*B4746+C4746)</f>
        <v>375.913637694154</v>
      </c>
      <c r="E4746" s="198" cm="1">
        <f t="array" ref="E4746">SUM(D4746)*0.3</f>
        <v>112.774091308246</v>
      </c>
      <c r="F4746" s="154" cm="1">
        <f t="array" ref="F4746">SUM(D4746:E4746)</f>
        <v>488.6877290024</v>
      </c>
      <c r="G4746" s="306"/>
      <c r="H4746" s="15"/>
    </row>
    <row r="4747" ht="13.65" customHeight="1">
      <c r="A4747" s="289"/>
      <c r="B4747" s="289"/>
      <c r="C4747" s="289"/>
      <c r="D4747" s="289"/>
      <c r="E4747" s="289"/>
      <c r="F4747" s="289"/>
      <c r="G4747" s="289"/>
      <c r="H4747" s="203"/>
    </row>
    <row r="4748" ht="13.65" customHeight="1">
      <c r="A4748" t="s" s="274">
        <v>185</v>
      </c>
      <c r="B4748" s="275"/>
      <c r="C4748" s="275"/>
      <c r="D4748" s="275"/>
      <c r="E4748" s="280"/>
      <c r="F4748" s="275"/>
      <c r="G4748" s="275"/>
      <c r="H4748" s="277"/>
    </row>
    <row r="4749" ht="13.65" customHeight="1">
      <c r="A4749" s="278"/>
      <c r="B4749" s="278"/>
      <c r="C4749" s="278"/>
      <c r="D4749" s="278"/>
      <c r="E4749" s="278"/>
      <c r="F4749" s="278"/>
      <c r="G4749" s="278"/>
      <c r="H4749" s="278"/>
    </row>
    <row r="4750" ht="13.65" customHeight="1">
      <c r="A4750" s="3"/>
      <c r="B4750" s="3"/>
      <c r="C4750" s="3"/>
      <c r="D4750" s="3"/>
      <c r="E4750" s="3"/>
      <c r="F4750" s="3"/>
      <c r="G4750" s="3"/>
      <c r="H4750" s="3"/>
    </row>
    <row r="4751" ht="13.65" customHeight="1">
      <c r="A4751" t="s" s="5">
        <v>834</v>
      </c>
      <c r="B4751" s="3"/>
      <c r="C4751" s="3"/>
      <c r="D4751" s="3"/>
      <c r="E4751" s="3"/>
      <c r="F4751" s="3"/>
      <c r="G4751" s="3"/>
      <c r="H4751" s="3"/>
    </row>
    <row r="4752" ht="13.65" customHeight="1">
      <c r="A4752" s="11"/>
      <c r="B4752" s="11"/>
      <c r="C4752" s="11"/>
      <c r="D4752" s="11"/>
      <c r="E4752" s="11"/>
      <c r="F4752" s="11"/>
      <c r="G4752" s="11"/>
      <c r="H4752" s="3"/>
    </row>
    <row r="4753" ht="13.65" customHeight="1">
      <c r="A4753" s="12"/>
      <c r="B4753" s="12"/>
      <c r="C4753" s="13"/>
      <c r="D4753" s="14"/>
      <c r="E4753" s="13"/>
      <c r="F4753" s="13"/>
      <c r="G4753" t="s" s="14">
        <v>252</v>
      </c>
      <c r="H4753" s="150"/>
    </row>
    <row r="4754" ht="13.65" customHeight="1">
      <c r="A4754" t="s" s="16">
        <v>93</v>
      </c>
      <c r="B4754" t="s" s="16">
        <v>94</v>
      </c>
      <c r="C4754" t="s" s="16">
        <v>95</v>
      </c>
      <c r="D4754" t="s" s="16">
        <v>96</v>
      </c>
      <c r="E4754" t="s" s="16">
        <v>97</v>
      </c>
      <c r="F4754" t="s" s="16">
        <v>98</v>
      </c>
      <c r="G4754" t="s" s="16">
        <v>99</v>
      </c>
      <c r="H4754" s="15"/>
    </row>
    <row r="4755" ht="13.65" customHeight="1">
      <c r="A4755" s="151"/>
      <c r="B4755" s="151"/>
      <c r="C4755" s="19"/>
      <c r="D4755" s="20"/>
      <c r="E4755" s="19"/>
      <c r="F4755" s="19"/>
      <c r="G4755" t="s" s="20">
        <v>100</v>
      </c>
      <c r="H4755" s="15"/>
    </row>
    <row r="4756" ht="13.65" customHeight="1">
      <c r="A4756" s="21">
        <v>72</v>
      </c>
      <c r="B4756" t="s" s="22">
        <v>101</v>
      </c>
      <c r="C4756" s="23">
        <v>50</v>
      </c>
      <c r="D4756" t="s" s="24">
        <v>608</v>
      </c>
      <c r="E4756" s="25">
        <v>1.93</v>
      </c>
      <c r="F4756" s="23">
        <v>6.25</v>
      </c>
      <c r="G4756" s="152" cm="1">
        <f t="array" ref="G4756">SUM(E4756/F4756)</f>
        <v>0.3088</v>
      </c>
      <c r="H4756" s="15"/>
    </row>
    <row r="4757" ht="13.65" customHeight="1">
      <c r="A4757" s="21">
        <v>123</v>
      </c>
      <c r="B4757" t="s" s="22">
        <v>103</v>
      </c>
      <c r="C4757" s="23">
        <v>40</v>
      </c>
      <c r="D4757" t="s" s="24">
        <v>274</v>
      </c>
      <c r="E4757" s="25">
        <v>3.2</v>
      </c>
      <c r="F4757" s="23">
        <v>10</v>
      </c>
      <c r="G4757" s="152" cm="1">
        <f t="array" ref="G4757">SUM(E4757/F4757)</f>
        <v>0.32</v>
      </c>
      <c r="H4757" s="15"/>
    </row>
    <row r="4758" ht="13.65" customHeight="1">
      <c r="A4758" s="21">
        <v>57</v>
      </c>
      <c r="B4758" t="s" s="22">
        <v>253</v>
      </c>
      <c r="C4758" t="s" s="24">
        <v>389</v>
      </c>
      <c r="D4758" t="s" s="24">
        <v>371</v>
      </c>
      <c r="E4758" s="25">
        <v>4.5</v>
      </c>
      <c r="F4758" s="23">
        <v>33</v>
      </c>
      <c r="G4758" s="152" cm="1">
        <f t="array" ref="G4758">SUM(E4758/F4758)</f>
        <v>0.136363636363636</v>
      </c>
      <c r="H4758" s="15"/>
    </row>
    <row r="4759" ht="13.65" customHeight="1">
      <c r="A4759" s="21">
        <v>117</v>
      </c>
      <c r="B4759" t="s" s="22">
        <v>105</v>
      </c>
      <c r="C4759" s="23">
        <v>100</v>
      </c>
      <c r="D4759" t="s" s="24">
        <v>106</v>
      </c>
      <c r="E4759" s="25">
        <v>1.2</v>
      </c>
      <c r="F4759" s="23">
        <v>10</v>
      </c>
      <c r="G4759" s="152" cm="1">
        <f t="array" ref="G4759">SUM(E4759/F4759)</f>
        <v>0.12</v>
      </c>
      <c r="H4759" s="15"/>
    </row>
    <row r="4760" ht="13.65" customHeight="1">
      <c r="A4760" s="21">
        <v>86</v>
      </c>
      <c r="B4760" t="s" s="22">
        <v>107</v>
      </c>
      <c r="C4760" t="s" s="24">
        <v>108</v>
      </c>
      <c r="D4760" t="s" s="24">
        <v>608</v>
      </c>
      <c r="E4760" s="25">
        <v>0.32</v>
      </c>
      <c r="F4760" t="s" s="24">
        <v>825</v>
      </c>
      <c r="G4760" s="152" cm="1">
        <f t="array" ref="G4760">SUM(E4760*8)</f>
        <v>2.56</v>
      </c>
      <c r="H4760" s="15"/>
    </row>
    <row r="4761" ht="13.65" customHeight="1">
      <c r="A4761" s="21">
        <v>71</v>
      </c>
      <c r="B4761" t="s" s="22">
        <v>109</v>
      </c>
      <c r="C4761" s="23">
        <v>10</v>
      </c>
      <c r="D4761" t="s" s="24">
        <v>608</v>
      </c>
      <c r="E4761" s="25">
        <v>5.92</v>
      </c>
      <c r="F4761" s="23">
        <v>1.25</v>
      </c>
      <c r="G4761" s="152" cm="1">
        <f t="array" ref="G4761">SUM(E4761/F4761)</f>
        <v>4.736</v>
      </c>
      <c r="H4761" s="15"/>
    </row>
    <row r="4762" ht="13.65" customHeight="1">
      <c r="A4762" s="21">
        <v>87</v>
      </c>
      <c r="B4762" t="s" s="22">
        <v>110</v>
      </c>
      <c r="C4762" s="23">
        <v>50</v>
      </c>
      <c r="D4762" t="s" s="24">
        <v>608</v>
      </c>
      <c r="E4762" s="25">
        <v>9</v>
      </c>
      <c r="F4762" s="23">
        <v>6.25</v>
      </c>
      <c r="G4762" s="152" cm="1">
        <f t="array" ref="G4762">SUM(E4762/F4762)</f>
        <v>1.44</v>
      </c>
      <c r="H4762" s="15"/>
    </row>
    <row r="4763" ht="13.65" customHeight="1">
      <c r="A4763" s="21">
        <v>55</v>
      </c>
      <c r="B4763" t="s" s="22">
        <v>111</v>
      </c>
      <c r="C4763" t="s" s="24">
        <v>112</v>
      </c>
      <c r="D4763" t="s" s="24">
        <v>651</v>
      </c>
      <c r="E4763" s="25">
        <v>2.71</v>
      </c>
      <c r="F4763" s="23">
        <v>19</v>
      </c>
      <c r="G4763" s="152" cm="1">
        <f t="array" ref="G4763">SUM(E4763/F4763)</f>
        <v>0.142631578947368</v>
      </c>
      <c r="H4763" s="15"/>
    </row>
    <row r="4764" ht="13.65" customHeight="1">
      <c r="A4764" s="21">
        <v>24</v>
      </c>
      <c r="B4764" t="s" s="22">
        <v>531</v>
      </c>
      <c r="C4764" s="23">
        <v>10</v>
      </c>
      <c r="D4764" t="s" s="24">
        <v>256</v>
      </c>
      <c r="E4764" s="25">
        <v>9.6</v>
      </c>
      <c r="F4764" s="23">
        <v>3.33</v>
      </c>
      <c r="G4764" s="152" cm="1">
        <f t="array" ref="G4764">SUM(E4764/F4764)</f>
        <v>2.88288288288288</v>
      </c>
      <c r="H4764" s="15"/>
    </row>
    <row r="4765" ht="13.65" customHeight="1">
      <c r="A4765" s="21">
        <v>98</v>
      </c>
      <c r="B4765" t="s" s="22">
        <v>739</v>
      </c>
      <c r="C4765" t="s" s="24">
        <v>740</v>
      </c>
      <c r="D4765" t="s" s="24">
        <v>462</v>
      </c>
      <c r="E4765" s="25">
        <v>33</v>
      </c>
      <c r="F4765" s="23">
        <v>25</v>
      </c>
      <c r="G4765" s="152" cm="1">
        <f t="array" ref="G4765">SUM(E4765/F4765)</f>
        <v>1.32</v>
      </c>
      <c r="H4765" s="15"/>
    </row>
    <row r="4766" ht="13.65" customHeight="1">
      <c r="A4766" s="21">
        <v>7</v>
      </c>
      <c r="B4766" t="s" s="22">
        <v>477</v>
      </c>
      <c r="C4766" t="s" s="24">
        <v>478</v>
      </c>
      <c r="D4766" t="s" s="24">
        <v>479</v>
      </c>
      <c r="E4766" s="25">
        <v>14</v>
      </c>
      <c r="F4766" s="23">
        <v>10</v>
      </c>
      <c r="G4766" s="152" cm="1">
        <f t="array" ref="G4766">SUM(E4766/F4766)</f>
        <v>1.4</v>
      </c>
      <c r="H4766" s="15"/>
    </row>
    <row r="4767" ht="13.65" customHeight="1">
      <c r="A4767" s="21">
        <v>68</v>
      </c>
      <c r="B4767" t="s" s="22">
        <v>480</v>
      </c>
      <c r="C4767" t="s" s="24">
        <v>481</v>
      </c>
      <c r="D4767" t="s" s="24">
        <v>597</v>
      </c>
      <c r="E4767" s="25">
        <v>16</v>
      </c>
      <c r="F4767" s="23">
        <v>5</v>
      </c>
      <c r="G4767" s="152" cm="1">
        <f t="array" ref="G4767">SUM(E4767/F4767)</f>
        <v>3.2</v>
      </c>
      <c r="H4767" s="15"/>
    </row>
    <row r="4768" ht="13.65" customHeight="1">
      <c r="A4768" s="21">
        <v>69</v>
      </c>
      <c r="B4768" t="s" s="22">
        <v>598</v>
      </c>
      <c r="C4768" t="s" s="24">
        <v>481</v>
      </c>
      <c r="D4768" t="s" s="24">
        <v>597</v>
      </c>
      <c r="E4768" s="25">
        <v>3.5</v>
      </c>
      <c r="F4768" s="23">
        <v>5</v>
      </c>
      <c r="G4768" s="152" cm="1">
        <f t="array" ref="G4768">SUM(E4768/F4768)</f>
        <v>0.7</v>
      </c>
      <c r="H4768" s="15"/>
    </row>
    <row r="4769" ht="13.65" customHeight="1">
      <c r="A4769" s="21">
        <v>111</v>
      </c>
      <c r="B4769" t="s" s="22">
        <v>476</v>
      </c>
      <c r="C4769" s="23">
        <v>1</v>
      </c>
      <c r="D4769" t="s" s="24">
        <v>401</v>
      </c>
      <c r="E4769" s="25">
        <v>2.7</v>
      </c>
      <c r="F4769" s="23">
        <v>30</v>
      </c>
      <c r="G4769" s="152" cm="1">
        <f t="array" ref="G4769">SUM(E4769/F4769)</f>
        <v>0.09</v>
      </c>
      <c r="H4769" s="15"/>
    </row>
    <row r="4770" ht="13.65" customHeight="1">
      <c r="A4770" s="21">
        <v>102</v>
      </c>
      <c r="B4770" t="s" s="22">
        <v>709</v>
      </c>
      <c r="C4770" s="23">
        <v>1</v>
      </c>
      <c r="D4770" t="s" s="24">
        <v>397</v>
      </c>
      <c r="E4770" s="25">
        <v>2.7</v>
      </c>
      <c r="F4770" s="23">
        <v>50</v>
      </c>
      <c r="G4770" s="152" cm="1">
        <f t="array" ref="G4770">SUM(E4770/F4770)</f>
        <v>0.054</v>
      </c>
      <c r="H4770" s="15"/>
    </row>
    <row r="4771" ht="13.65" customHeight="1">
      <c r="A4771" s="21">
        <v>131</v>
      </c>
      <c r="B4771" t="s" s="22">
        <v>482</v>
      </c>
      <c r="C4771" s="27"/>
      <c r="D4771" s="24"/>
      <c r="E4771" s="27"/>
      <c r="F4771" s="27"/>
      <c r="G4771" s="152">
        <v>45</v>
      </c>
      <c r="H4771" s="15"/>
    </row>
    <row r="4772" ht="13.65" customHeight="1">
      <c r="A4772" s="28"/>
      <c r="B4772" s="28"/>
      <c r="C4772" s="27"/>
      <c r="D4772" s="24"/>
      <c r="E4772" s="27"/>
      <c r="F4772" t="s" s="29">
        <v>118</v>
      </c>
      <c r="G4772" s="197" cm="1">
        <f t="array" ref="G4772">SUM(G4756:G4771)</f>
        <v>64.4106780981939</v>
      </c>
      <c r="H4772" s="15"/>
    </row>
    <row r="4773" ht="13.65" customHeight="1">
      <c r="A4773" s="129"/>
      <c r="B4773" s="129"/>
      <c r="C4773" s="129"/>
      <c r="D4773" s="129"/>
      <c r="E4773" s="129"/>
      <c r="F4773" s="31"/>
      <c r="G4773" s="31"/>
      <c r="H4773" s="3"/>
    </row>
    <row r="4774" ht="11.7" customHeight="1">
      <c r="A4774" t="s" s="167">
        <v>136</v>
      </c>
      <c r="B4774" t="s" s="167">
        <v>281</v>
      </c>
      <c r="C4774" t="s" s="167">
        <v>282</v>
      </c>
      <c r="D4774" t="s" s="168">
        <v>283</v>
      </c>
      <c r="E4774" s="169"/>
      <c r="F4774" s="170"/>
      <c r="G4774" s="171"/>
      <c r="H4774" s="171"/>
    </row>
    <row r="4775" ht="13.65" customHeight="1">
      <c r="A4775" s="23">
        <v>80</v>
      </c>
      <c r="B4775" s="172" cm="1">
        <f t="array" ref="B4775">SUM(H256)</f>
        <v>2.47496540404041</v>
      </c>
      <c r="C4775" s="172" cm="1">
        <f t="array" ref="C4775">SUM(G4772)</f>
        <v>64.4106780981939</v>
      </c>
      <c r="D4775" s="199" cm="1">
        <f t="array" ref="D4775">SUM(A4775*B4775+C4775)</f>
        <v>262.407910421427</v>
      </c>
      <c r="E4775" s="200"/>
      <c r="F4775" s="15"/>
      <c r="G4775" s="3"/>
      <c r="H4775" s="3"/>
    </row>
    <row r="4776" ht="13.65" customHeight="1">
      <c r="A4776" s="31"/>
      <c r="B4776" s="31"/>
      <c r="C4776" s="31"/>
      <c r="D4776" s="31"/>
      <c r="E4776" s="31"/>
      <c r="F4776" s="3"/>
      <c r="G4776" s="3"/>
      <c r="H4776" s="3"/>
    </row>
    <row r="4777" ht="13.65" customHeight="1">
      <c r="A4777" s="203"/>
      <c r="B4777" s="203"/>
      <c r="C4777" s="203"/>
      <c r="D4777" s="203"/>
      <c r="E4777" s="203"/>
      <c r="F4777" s="203"/>
      <c r="G4777" s="203"/>
      <c r="H4777" s="203"/>
    </row>
    <row r="4778" ht="13.65" customHeight="1">
      <c r="A4778" t="s" s="274">
        <v>185</v>
      </c>
      <c r="B4778" s="275"/>
      <c r="C4778" s="275"/>
      <c r="D4778" s="275"/>
      <c r="E4778" s="280"/>
      <c r="F4778" s="275"/>
      <c r="G4778" s="275"/>
      <c r="H4778" s="277"/>
    </row>
    <row r="4779" ht="13.65" customHeight="1">
      <c r="A4779" s="278"/>
      <c r="B4779" s="278"/>
      <c r="C4779" s="278"/>
      <c r="D4779" s="278"/>
      <c r="E4779" s="278"/>
      <c r="F4779" s="278"/>
      <c r="G4779" s="278"/>
      <c r="H4779" s="278"/>
    </row>
    <row r="4780" ht="13.65" customHeight="1">
      <c r="A4780" s="3"/>
      <c r="B4780" s="3"/>
      <c r="C4780" s="3"/>
      <c r="D4780" s="3"/>
      <c r="E4780" s="3"/>
      <c r="F4780" s="3"/>
      <c r="G4780" s="3"/>
      <c r="H4780" s="3"/>
    </row>
    <row r="4781" ht="13.65" customHeight="1">
      <c r="A4781" t="s" s="5">
        <v>835</v>
      </c>
      <c r="B4781" s="3"/>
      <c r="C4781" s="3"/>
      <c r="D4781" s="3"/>
      <c r="E4781" s="3"/>
      <c r="F4781" s="3"/>
      <c r="G4781" s="3"/>
      <c r="H4781" s="3"/>
    </row>
    <row r="4782" ht="13.65" customHeight="1">
      <c r="A4782" s="11"/>
      <c r="B4782" s="11"/>
      <c r="C4782" s="11"/>
      <c r="D4782" s="11"/>
      <c r="E4782" s="11"/>
      <c r="F4782" s="11"/>
      <c r="G4782" s="11"/>
      <c r="H4782" s="3"/>
    </row>
    <row r="4783" ht="13.65" customHeight="1">
      <c r="A4783" s="12"/>
      <c r="B4783" s="12"/>
      <c r="C4783" s="13"/>
      <c r="D4783" s="14"/>
      <c r="E4783" s="13"/>
      <c r="F4783" s="13"/>
      <c r="G4783" t="s" s="14">
        <v>252</v>
      </c>
      <c r="H4783" s="150"/>
    </row>
    <row r="4784" ht="13.65" customHeight="1">
      <c r="A4784" t="s" s="16">
        <v>93</v>
      </c>
      <c r="B4784" t="s" s="16">
        <v>94</v>
      </c>
      <c r="C4784" t="s" s="16">
        <v>95</v>
      </c>
      <c r="D4784" t="s" s="16">
        <v>96</v>
      </c>
      <c r="E4784" t="s" s="16">
        <v>97</v>
      </c>
      <c r="F4784" t="s" s="16">
        <v>98</v>
      </c>
      <c r="G4784" t="s" s="16">
        <v>99</v>
      </c>
      <c r="H4784" s="15"/>
    </row>
    <row r="4785" ht="13.65" customHeight="1">
      <c r="A4785" s="151"/>
      <c r="B4785" s="151"/>
      <c r="C4785" s="19"/>
      <c r="D4785" s="20"/>
      <c r="E4785" s="19"/>
      <c r="F4785" s="19"/>
      <c r="G4785" t="s" s="20">
        <v>100</v>
      </c>
      <c r="H4785" s="15"/>
    </row>
    <row r="4786" ht="13.65" customHeight="1">
      <c r="A4786" s="21">
        <v>72</v>
      </c>
      <c r="B4786" t="s" s="22">
        <v>101</v>
      </c>
      <c r="C4786" s="23">
        <v>50</v>
      </c>
      <c r="D4786" t="s" s="24">
        <v>608</v>
      </c>
      <c r="E4786" s="25">
        <v>1.93</v>
      </c>
      <c r="F4786" s="23">
        <v>6.25</v>
      </c>
      <c r="G4786" s="152" cm="1">
        <f t="array" ref="G4786">SUM(E4786/F4786)</f>
        <v>0.3088</v>
      </c>
      <c r="H4786" s="15"/>
    </row>
    <row r="4787" ht="13.65" customHeight="1">
      <c r="A4787" s="21">
        <v>123</v>
      </c>
      <c r="B4787" t="s" s="22">
        <v>103</v>
      </c>
      <c r="C4787" s="23">
        <v>40</v>
      </c>
      <c r="D4787" t="s" s="24">
        <v>274</v>
      </c>
      <c r="E4787" s="25">
        <v>3.2</v>
      </c>
      <c r="F4787" s="23">
        <v>10</v>
      </c>
      <c r="G4787" s="152" cm="1">
        <f t="array" ref="G4787">SUM(E4787/F4787)</f>
        <v>0.32</v>
      </c>
      <c r="H4787" s="15"/>
    </row>
    <row r="4788" ht="13.65" customHeight="1">
      <c r="A4788" s="21">
        <v>57</v>
      </c>
      <c r="B4788" t="s" s="22">
        <v>253</v>
      </c>
      <c r="C4788" t="s" s="24">
        <v>389</v>
      </c>
      <c r="D4788" t="s" s="24">
        <v>371</v>
      </c>
      <c r="E4788" s="25">
        <v>4.5</v>
      </c>
      <c r="F4788" s="23">
        <v>33</v>
      </c>
      <c r="G4788" s="152" cm="1">
        <f t="array" ref="G4788">SUM(E4788/F4788)</f>
        <v>0.136363636363636</v>
      </c>
      <c r="H4788" s="15"/>
    </row>
    <row r="4789" ht="13.65" customHeight="1">
      <c r="A4789" s="21">
        <v>86</v>
      </c>
      <c r="B4789" t="s" s="22">
        <v>107</v>
      </c>
      <c r="C4789" t="s" s="24">
        <v>108</v>
      </c>
      <c r="D4789" t="s" s="24">
        <v>608</v>
      </c>
      <c r="E4789" s="25">
        <v>0.32</v>
      </c>
      <c r="F4789" t="s" s="24">
        <v>825</v>
      </c>
      <c r="G4789" s="152" cm="1">
        <f t="array" ref="G4789">SUM(E4789*8)</f>
        <v>2.56</v>
      </c>
      <c r="H4789" s="15"/>
    </row>
    <row r="4790" ht="13.65" customHeight="1">
      <c r="A4790" s="21">
        <v>71</v>
      </c>
      <c r="B4790" t="s" s="22">
        <v>109</v>
      </c>
      <c r="C4790" s="23">
        <v>10</v>
      </c>
      <c r="D4790" t="s" s="24">
        <v>608</v>
      </c>
      <c r="E4790" s="25">
        <v>5.92</v>
      </c>
      <c r="F4790" s="23">
        <v>1.25</v>
      </c>
      <c r="G4790" s="152" cm="1">
        <f t="array" ref="G4790">SUM(E4790/F4790)</f>
        <v>4.736</v>
      </c>
      <c r="H4790" s="15"/>
    </row>
    <row r="4791" ht="13.65" customHeight="1">
      <c r="A4791" s="21">
        <v>87</v>
      </c>
      <c r="B4791" t="s" s="22">
        <v>110</v>
      </c>
      <c r="C4791" s="23">
        <v>50</v>
      </c>
      <c r="D4791" t="s" s="24">
        <v>608</v>
      </c>
      <c r="E4791" s="25">
        <v>9</v>
      </c>
      <c r="F4791" s="23">
        <v>6.25</v>
      </c>
      <c r="G4791" s="152" cm="1">
        <f t="array" ref="G4791">SUM(E4791/F4791)</f>
        <v>1.44</v>
      </c>
      <c r="H4791" s="15"/>
    </row>
    <row r="4792" ht="13.65" customHeight="1">
      <c r="A4792" s="21">
        <v>55</v>
      </c>
      <c r="B4792" t="s" s="22">
        <v>111</v>
      </c>
      <c r="C4792" t="s" s="24">
        <v>112</v>
      </c>
      <c r="D4792" t="s" s="24">
        <v>651</v>
      </c>
      <c r="E4792" s="25">
        <v>2.71</v>
      </c>
      <c r="F4792" s="23">
        <v>19</v>
      </c>
      <c r="G4792" s="152" cm="1">
        <f t="array" ref="G4792">SUM(E4792/F4792)</f>
        <v>0.142631578947368</v>
      </c>
      <c r="H4792" s="15"/>
    </row>
    <row r="4793" ht="13.65" customHeight="1">
      <c r="A4793" s="21">
        <v>24</v>
      </c>
      <c r="B4793" t="s" s="22">
        <v>531</v>
      </c>
      <c r="C4793" s="23">
        <v>10</v>
      </c>
      <c r="D4793" t="s" s="24">
        <v>256</v>
      </c>
      <c r="E4793" s="25">
        <v>9.6</v>
      </c>
      <c r="F4793" s="23">
        <v>3.33</v>
      </c>
      <c r="G4793" s="152" cm="1">
        <f t="array" ref="G4793">SUM(E4793/F4793)</f>
        <v>2.88288288288288</v>
      </c>
      <c r="H4793" s="15"/>
    </row>
    <row r="4794" ht="13.65" customHeight="1">
      <c r="A4794" s="21">
        <v>19</v>
      </c>
      <c r="B4794" t="s" s="22">
        <v>445</v>
      </c>
      <c r="C4794" s="23">
        <v>6</v>
      </c>
      <c r="D4794" t="s" s="24">
        <v>694</v>
      </c>
      <c r="E4794" s="25">
        <v>5.2</v>
      </c>
      <c r="F4794" s="23">
        <v>10</v>
      </c>
      <c r="G4794" s="152" cm="1">
        <f t="array" ref="G4794">SUM(E4794/F4794)</f>
        <v>0.52</v>
      </c>
      <c r="H4794" s="15"/>
    </row>
    <row r="4795" ht="13.65" customHeight="1">
      <c r="A4795" s="21">
        <v>27</v>
      </c>
      <c r="B4795" t="s" s="22">
        <v>594</v>
      </c>
      <c r="C4795" s="23">
        <v>18</v>
      </c>
      <c r="D4795" t="s" s="24">
        <v>104</v>
      </c>
      <c r="E4795" s="25">
        <v>6.5</v>
      </c>
      <c r="F4795" s="23">
        <v>18</v>
      </c>
      <c r="G4795" s="152" cm="1">
        <f t="array" ref="G4795">SUM(E4795/F4795)</f>
        <v>0.361111111111111</v>
      </c>
      <c r="H4795" s="15"/>
    </row>
    <row r="4796" ht="13.65" customHeight="1">
      <c r="A4796" s="21">
        <v>7</v>
      </c>
      <c r="B4796" t="s" s="22">
        <v>477</v>
      </c>
      <c r="C4796" t="s" s="24">
        <v>478</v>
      </c>
      <c r="D4796" t="s" s="24">
        <v>479</v>
      </c>
      <c r="E4796" s="25">
        <v>14</v>
      </c>
      <c r="F4796" s="23">
        <v>10</v>
      </c>
      <c r="G4796" s="152" cm="1">
        <f t="array" ref="G4796">SUM(E4796/F4796)</f>
        <v>1.4</v>
      </c>
      <c r="H4796" s="15"/>
    </row>
    <row r="4797" ht="13.65" customHeight="1">
      <c r="A4797" s="21">
        <v>68</v>
      </c>
      <c r="B4797" t="s" s="22">
        <v>480</v>
      </c>
      <c r="C4797" t="s" s="24">
        <v>481</v>
      </c>
      <c r="D4797" t="s" s="24">
        <v>597</v>
      </c>
      <c r="E4797" s="25">
        <v>16</v>
      </c>
      <c r="F4797" s="23">
        <v>5</v>
      </c>
      <c r="G4797" s="152" cm="1">
        <f t="array" ref="G4797">SUM(E4797/F4797)</f>
        <v>3.2</v>
      </c>
      <c r="H4797" s="15"/>
    </row>
    <row r="4798" ht="13.65" customHeight="1">
      <c r="A4798" s="21">
        <v>69</v>
      </c>
      <c r="B4798" t="s" s="22">
        <v>598</v>
      </c>
      <c r="C4798" t="s" s="24">
        <v>481</v>
      </c>
      <c r="D4798" t="s" s="24">
        <v>597</v>
      </c>
      <c r="E4798" s="25">
        <v>3.5</v>
      </c>
      <c r="F4798" s="23">
        <v>5</v>
      </c>
      <c r="G4798" s="152" cm="1">
        <f t="array" ref="G4798">SUM(E4798/F4798)</f>
        <v>0.7</v>
      </c>
      <c r="H4798" s="15"/>
    </row>
    <row r="4799" ht="13.65" customHeight="1">
      <c r="A4799" s="21">
        <v>48</v>
      </c>
      <c r="B4799" t="s" s="22">
        <v>710</v>
      </c>
      <c r="C4799" s="23">
        <v>1</v>
      </c>
      <c r="D4799" t="s" s="24">
        <v>375</v>
      </c>
      <c r="E4799" s="25">
        <v>1</v>
      </c>
      <c r="F4799" s="23">
        <v>2</v>
      </c>
      <c r="G4799" s="152" cm="1">
        <f t="array" ref="G4799">SUM(E4799/F4799)</f>
        <v>0.5</v>
      </c>
      <c r="H4799" s="15"/>
    </row>
    <row r="4800" ht="13.65" customHeight="1">
      <c r="A4800" s="21">
        <v>124</v>
      </c>
      <c r="B4800" t="s" s="22">
        <v>372</v>
      </c>
      <c r="C4800" s="23">
        <v>1</v>
      </c>
      <c r="D4800" t="s" s="24">
        <v>373</v>
      </c>
      <c r="E4800" s="25">
        <v>2.2</v>
      </c>
      <c r="F4800" s="23">
        <v>15</v>
      </c>
      <c r="G4800" s="152" cm="1">
        <f t="array" ref="G4800">SUM(E4800/F4800)</f>
        <v>0.146666666666667</v>
      </c>
      <c r="H4800" s="15"/>
    </row>
    <row r="4801" ht="13.65" customHeight="1">
      <c r="A4801" s="21">
        <v>101</v>
      </c>
      <c r="B4801" t="s" s="22">
        <v>407</v>
      </c>
      <c r="C4801" t="s" s="24">
        <v>380</v>
      </c>
      <c r="D4801" t="s" s="24">
        <v>537</v>
      </c>
      <c r="E4801" s="25">
        <v>7.5</v>
      </c>
      <c r="F4801" s="23">
        <v>25</v>
      </c>
      <c r="G4801" s="152" cm="1">
        <f t="array" ref="G4801">SUM(E4801/F4801)</f>
        <v>0.3</v>
      </c>
      <c r="H4801" s="15"/>
    </row>
    <row r="4802" ht="13.65" customHeight="1">
      <c r="A4802" s="21">
        <v>111</v>
      </c>
      <c r="B4802" t="s" s="22">
        <v>476</v>
      </c>
      <c r="C4802" s="23">
        <v>1</v>
      </c>
      <c r="D4802" t="s" s="24">
        <v>401</v>
      </c>
      <c r="E4802" s="25">
        <v>2.7</v>
      </c>
      <c r="F4802" s="23">
        <v>30</v>
      </c>
      <c r="G4802" s="152" cm="1">
        <f t="array" ref="G4802">SUM(E4802/F4802)</f>
        <v>0.09</v>
      </c>
      <c r="H4802" s="15"/>
    </row>
    <row r="4803" ht="13.65" customHeight="1">
      <c r="A4803" s="21">
        <v>102</v>
      </c>
      <c r="B4803" t="s" s="22">
        <v>709</v>
      </c>
      <c r="C4803" s="23">
        <v>1</v>
      </c>
      <c r="D4803" t="s" s="24">
        <v>397</v>
      </c>
      <c r="E4803" s="25">
        <v>2.7</v>
      </c>
      <c r="F4803" s="23">
        <v>50</v>
      </c>
      <c r="G4803" s="152" cm="1">
        <f t="array" ref="G4803">SUM(E4803/F4803)</f>
        <v>0.054</v>
      </c>
      <c r="H4803" s="15"/>
    </row>
    <row r="4804" ht="13.65" customHeight="1">
      <c r="A4804" s="21">
        <v>70</v>
      </c>
      <c r="B4804" t="s" s="22">
        <v>738</v>
      </c>
      <c r="C4804" s="23">
        <v>1</v>
      </c>
      <c r="D4804" t="s" s="24">
        <v>104</v>
      </c>
      <c r="E4804" s="25">
        <v>22</v>
      </c>
      <c r="F4804" s="23">
        <v>1</v>
      </c>
      <c r="G4804" s="152" cm="1">
        <f t="array" ref="G4804">SUM(E4804/F4804)</f>
        <v>22</v>
      </c>
      <c r="H4804" s="15"/>
    </row>
    <row r="4805" ht="13.65" customHeight="1">
      <c r="A4805" s="21">
        <v>98</v>
      </c>
      <c r="B4805" t="s" s="22">
        <v>739</v>
      </c>
      <c r="C4805" t="s" s="24">
        <v>740</v>
      </c>
      <c r="D4805" t="s" s="24">
        <v>397</v>
      </c>
      <c r="E4805" s="25">
        <v>33</v>
      </c>
      <c r="F4805" s="23">
        <v>50</v>
      </c>
      <c r="G4805" s="152" cm="1">
        <f t="array" ref="G4805">SUM(E4805/F4805)</f>
        <v>0.66</v>
      </c>
      <c r="H4805" s="15"/>
    </row>
    <row r="4806" ht="13.65" customHeight="1">
      <c r="A4806" s="21">
        <v>28</v>
      </c>
      <c r="B4806" t="s" s="22">
        <v>475</v>
      </c>
      <c r="C4806" s="23">
        <v>6</v>
      </c>
      <c r="D4806" t="s" s="24">
        <v>375</v>
      </c>
      <c r="E4806" s="25">
        <v>6</v>
      </c>
      <c r="F4806" s="23">
        <v>12</v>
      </c>
      <c r="G4806" s="152" cm="1">
        <f t="array" ref="G4806">SUM(E4806/F4806)</f>
        <v>0.5</v>
      </c>
      <c r="H4806" s="15"/>
    </row>
    <row r="4807" ht="13.65" customHeight="1">
      <c r="A4807" s="21">
        <v>47</v>
      </c>
      <c r="B4807" t="s" s="22">
        <v>829</v>
      </c>
      <c r="C4807" s="23">
        <v>1</v>
      </c>
      <c r="D4807" t="s" s="24">
        <v>375</v>
      </c>
      <c r="E4807" s="25">
        <v>0.61</v>
      </c>
      <c r="F4807" s="23">
        <v>2</v>
      </c>
      <c r="G4807" s="152" cm="1">
        <f t="array" ref="G4807">SUM(E4807/F4807)</f>
        <v>0.305</v>
      </c>
      <c r="H4807" s="15"/>
    </row>
    <row r="4808" ht="13.65" customHeight="1">
      <c r="A4808" s="21">
        <v>91</v>
      </c>
      <c r="B4808" t="s" s="22">
        <v>836</v>
      </c>
      <c r="C4808" s="23">
        <v>1</v>
      </c>
      <c r="D4808" t="s" s="24">
        <v>104</v>
      </c>
      <c r="E4808" s="25">
        <v>4.62</v>
      </c>
      <c r="F4808" s="23">
        <v>1</v>
      </c>
      <c r="G4808" s="152" cm="1">
        <f t="array" ref="G4808">SUM(E4808/F4808)</f>
        <v>4.62</v>
      </c>
      <c r="H4808" s="15"/>
    </row>
    <row r="4809" ht="13.65" customHeight="1">
      <c r="A4809" s="21">
        <v>131</v>
      </c>
      <c r="B4809" t="s" s="22">
        <v>482</v>
      </c>
      <c r="C4809" s="27"/>
      <c r="D4809" s="24"/>
      <c r="E4809" s="27"/>
      <c r="F4809" s="27"/>
      <c r="G4809" s="152">
        <v>120</v>
      </c>
      <c r="H4809" s="15"/>
    </row>
    <row r="4810" ht="13.65" customHeight="1">
      <c r="A4810" s="28"/>
      <c r="B4810" s="28"/>
      <c r="C4810" s="27"/>
      <c r="D4810" s="24"/>
      <c r="E4810" s="27"/>
      <c r="F4810" t="s" s="29">
        <v>118</v>
      </c>
      <c r="G4810" s="197" cm="1">
        <f t="array" ref="G4810">SUM(G4786:G4809)</f>
        <v>167.883455875972</v>
      </c>
      <c r="H4810" s="15"/>
    </row>
    <row r="4811" ht="13.65" customHeight="1">
      <c r="A4811" s="31"/>
      <c r="B4811" s="31"/>
      <c r="C4811" s="31"/>
      <c r="D4811" s="31"/>
      <c r="E4811" s="31"/>
      <c r="F4811" s="31"/>
      <c r="G4811" s="31"/>
      <c r="H4811" s="3"/>
    </row>
    <row r="4812" ht="13.65" customHeight="1">
      <c r="A4812" t="s" s="5">
        <v>806</v>
      </c>
      <c r="B4812" s="3"/>
      <c r="C4812" s="3"/>
      <c r="D4812" s="3"/>
      <c r="E4812" s="3"/>
      <c r="F4812" s="3"/>
      <c r="G4812" s="3"/>
      <c r="H4812" s="3"/>
    </row>
    <row r="4813" ht="13.65" customHeight="1">
      <c r="A4813" s="11"/>
      <c r="B4813" s="11"/>
      <c r="C4813" s="11"/>
      <c r="D4813" s="11"/>
      <c r="E4813" s="11"/>
      <c r="F4813" s="11"/>
      <c r="G4813" s="11"/>
      <c r="H4813" s="3"/>
    </row>
    <row r="4814" ht="11.7" customHeight="1">
      <c r="A4814" t="s" s="167">
        <v>136</v>
      </c>
      <c r="B4814" t="s" s="167">
        <v>281</v>
      </c>
      <c r="C4814" t="s" s="167">
        <v>282</v>
      </c>
      <c r="D4814" t="s" s="167">
        <v>118</v>
      </c>
      <c r="E4814" t="s" s="167">
        <v>807</v>
      </c>
      <c r="F4814" t="s" s="167">
        <v>605</v>
      </c>
      <c r="G4814" s="167"/>
      <c r="H4814" s="170"/>
    </row>
    <row r="4815" ht="13.65" customHeight="1">
      <c r="A4815" s="23">
        <v>420</v>
      </c>
      <c r="B4815" s="172" cm="1">
        <f t="array" ref="B4815">SUM(H256)</f>
        <v>2.47496540404041</v>
      </c>
      <c r="C4815" s="172" cm="1">
        <f t="array" ref="C4815">SUM(G4810)</f>
        <v>167.883455875972</v>
      </c>
      <c r="D4815" s="308" cm="1">
        <f t="array" ref="D4815">SUM(A4815*B4815+C4815)</f>
        <v>1207.368925572940</v>
      </c>
      <c r="E4815" s="198" cm="1">
        <f t="array" ref="E4815">SUM(D4815)*0.3</f>
        <v>362.210677671882</v>
      </c>
      <c r="F4815" s="154" cm="1">
        <f t="array" ref="F4815">SUM(D4815:E4815)</f>
        <v>1569.579603244820</v>
      </c>
      <c r="G4815" s="306"/>
      <c r="H4815" s="15"/>
    </row>
    <row r="4816" ht="13.65" customHeight="1">
      <c r="A4816" s="31"/>
      <c r="B4816" s="31"/>
      <c r="C4816" s="31"/>
      <c r="D4816" s="31"/>
      <c r="E4816" s="31"/>
      <c r="F4816" s="31"/>
      <c r="G4816" s="31"/>
      <c r="H4816" s="3"/>
    </row>
    <row r="4817" ht="13.65" customHeight="1">
      <c r="A4817" s="203"/>
      <c r="B4817" s="203"/>
      <c r="C4817" s="203"/>
      <c r="D4817" s="203"/>
      <c r="E4817" s="203"/>
      <c r="F4817" s="203"/>
      <c r="G4817" s="203"/>
      <c r="H4817" s="203"/>
    </row>
    <row r="4818" ht="13.65" customHeight="1">
      <c r="A4818" t="s" s="274">
        <v>185</v>
      </c>
      <c r="B4818" s="275"/>
      <c r="C4818" s="275"/>
      <c r="D4818" s="275"/>
      <c r="E4818" s="280"/>
      <c r="F4818" s="275"/>
      <c r="G4818" s="275"/>
      <c r="H4818" s="277"/>
    </row>
    <row r="4819" ht="13.65" customHeight="1">
      <c r="A4819" s="278"/>
      <c r="B4819" s="278"/>
      <c r="C4819" s="278"/>
      <c r="D4819" s="278"/>
      <c r="E4819" s="278"/>
      <c r="F4819" s="278"/>
      <c r="G4819" s="278"/>
      <c r="H4819" s="278"/>
    </row>
    <row r="4820" ht="13.65" customHeight="1">
      <c r="A4820" s="3"/>
      <c r="B4820" s="3"/>
      <c r="C4820" s="3"/>
      <c r="D4820" s="3"/>
      <c r="E4820" s="3"/>
      <c r="F4820" s="3"/>
      <c r="G4820" s="3"/>
      <c r="H4820" s="3"/>
    </row>
    <row r="4821" ht="13.65" customHeight="1">
      <c r="A4821" t="s" s="5">
        <v>837</v>
      </c>
      <c r="B4821" s="3"/>
      <c r="C4821" s="3"/>
      <c r="D4821" s="3"/>
      <c r="E4821" s="3"/>
      <c r="F4821" s="3"/>
      <c r="G4821" s="3"/>
      <c r="H4821" s="3"/>
    </row>
    <row r="4822" ht="13.65" customHeight="1">
      <c r="A4822" s="11"/>
      <c r="B4822" s="11"/>
      <c r="C4822" s="11"/>
      <c r="D4822" s="11"/>
      <c r="E4822" s="11"/>
      <c r="F4822" s="11"/>
      <c r="G4822" s="11"/>
      <c r="H4822" s="3"/>
    </row>
    <row r="4823" ht="13.65" customHeight="1">
      <c r="A4823" s="12"/>
      <c r="B4823" s="12"/>
      <c r="C4823" s="13"/>
      <c r="D4823" s="14"/>
      <c r="E4823" s="13"/>
      <c r="F4823" s="13"/>
      <c r="G4823" t="s" s="14">
        <v>252</v>
      </c>
      <c r="H4823" s="150"/>
    </row>
    <row r="4824" ht="13.65" customHeight="1">
      <c r="A4824" t="s" s="16">
        <v>93</v>
      </c>
      <c r="B4824" t="s" s="16">
        <v>94</v>
      </c>
      <c r="C4824" t="s" s="16">
        <v>95</v>
      </c>
      <c r="D4824" t="s" s="16">
        <v>96</v>
      </c>
      <c r="E4824" t="s" s="16">
        <v>97</v>
      </c>
      <c r="F4824" t="s" s="16">
        <v>98</v>
      </c>
      <c r="G4824" t="s" s="16">
        <v>99</v>
      </c>
      <c r="H4824" s="15"/>
    </row>
    <row r="4825" ht="13.65" customHeight="1">
      <c r="A4825" s="151"/>
      <c r="B4825" s="151"/>
      <c r="C4825" s="19"/>
      <c r="D4825" s="20"/>
      <c r="E4825" s="19"/>
      <c r="F4825" s="19"/>
      <c r="G4825" t="s" s="20">
        <v>100</v>
      </c>
      <c r="H4825" s="15"/>
    </row>
    <row r="4826" ht="13.65" customHeight="1">
      <c r="A4826" s="21">
        <v>72</v>
      </c>
      <c r="B4826" t="s" s="22">
        <v>101</v>
      </c>
      <c r="C4826" s="23">
        <v>50</v>
      </c>
      <c r="D4826" t="s" s="24">
        <v>608</v>
      </c>
      <c r="E4826" s="25">
        <v>1.93</v>
      </c>
      <c r="F4826" s="23">
        <v>6.25</v>
      </c>
      <c r="G4826" s="152" cm="1">
        <f t="array" ref="G4826">SUM(E4826/F4826)</f>
        <v>0.3088</v>
      </c>
      <c r="H4826" s="15"/>
    </row>
    <row r="4827" ht="13.65" customHeight="1">
      <c r="A4827" s="21">
        <v>123</v>
      </c>
      <c r="B4827" t="s" s="22">
        <v>103</v>
      </c>
      <c r="C4827" s="23">
        <v>40</v>
      </c>
      <c r="D4827" t="s" s="24">
        <v>274</v>
      </c>
      <c r="E4827" s="25">
        <v>3.2</v>
      </c>
      <c r="F4827" s="23">
        <v>10</v>
      </c>
      <c r="G4827" s="152" cm="1">
        <f t="array" ref="G4827">SUM(E4827/F4827)</f>
        <v>0.32</v>
      </c>
      <c r="H4827" s="15"/>
    </row>
    <row r="4828" ht="13.65" customHeight="1">
      <c r="A4828" s="21">
        <v>57</v>
      </c>
      <c r="B4828" t="s" s="22">
        <v>253</v>
      </c>
      <c r="C4828" t="s" s="24">
        <v>389</v>
      </c>
      <c r="D4828" t="s" s="24">
        <v>371</v>
      </c>
      <c r="E4828" s="25">
        <v>4.5</v>
      </c>
      <c r="F4828" s="23">
        <v>33</v>
      </c>
      <c r="G4828" s="152" cm="1">
        <f t="array" ref="G4828">SUM(E4828/F4828)</f>
        <v>0.136363636363636</v>
      </c>
      <c r="H4828" s="15"/>
    </row>
    <row r="4829" ht="13.65" customHeight="1">
      <c r="A4829" s="21">
        <v>86</v>
      </c>
      <c r="B4829" t="s" s="22">
        <v>107</v>
      </c>
      <c r="C4829" t="s" s="24">
        <v>108</v>
      </c>
      <c r="D4829" t="s" s="24">
        <v>608</v>
      </c>
      <c r="E4829" s="25">
        <v>0.32</v>
      </c>
      <c r="F4829" t="s" s="24">
        <v>825</v>
      </c>
      <c r="G4829" s="152" cm="1">
        <f t="array" ref="G4829">SUM(E4829*8)</f>
        <v>2.56</v>
      </c>
      <c r="H4829" s="15"/>
    </row>
    <row r="4830" ht="13.65" customHeight="1">
      <c r="A4830" s="21">
        <v>71</v>
      </c>
      <c r="B4830" t="s" s="22">
        <v>109</v>
      </c>
      <c r="C4830" s="23">
        <v>10</v>
      </c>
      <c r="D4830" t="s" s="24">
        <v>608</v>
      </c>
      <c r="E4830" s="25">
        <v>5.92</v>
      </c>
      <c r="F4830" s="23">
        <v>1.25</v>
      </c>
      <c r="G4830" s="152" cm="1">
        <f t="array" ref="G4830">SUM(E4830/F4830)</f>
        <v>4.736</v>
      </c>
      <c r="H4830" s="15"/>
    </row>
    <row r="4831" ht="13.65" customHeight="1">
      <c r="A4831" s="21">
        <v>87</v>
      </c>
      <c r="B4831" t="s" s="22">
        <v>110</v>
      </c>
      <c r="C4831" s="23">
        <v>50</v>
      </c>
      <c r="D4831" t="s" s="24">
        <v>608</v>
      </c>
      <c r="E4831" s="25">
        <v>9</v>
      </c>
      <c r="F4831" s="23">
        <v>12.5</v>
      </c>
      <c r="G4831" s="152" cm="1">
        <f t="array" ref="G4831">SUM(E4831/F4831)</f>
        <v>0.72</v>
      </c>
      <c r="H4831" s="15"/>
    </row>
    <row r="4832" ht="13.65" customHeight="1">
      <c r="A4832" s="21">
        <v>55</v>
      </c>
      <c r="B4832" t="s" s="22">
        <v>111</v>
      </c>
      <c r="C4832" t="s" s="24">
        <v>112</v>
      </c>
      <c r="D4832" t="s" s="24">
        <v>651</v>
      </c>
      <c r="E4832" s="25">
        <v>2.71</v>
      </c>
      <c r="F4832" s="23">
        <v>19</v>
      </c>
      <c r="G4832" s="152" cm="1">
        <f t="array" ref="G4832">SUM(E4832/F4832)</f>
        <v>0.142631578947368</v>
      </c>
      <c r="H4832" s="15"/>
    </row>
    <row r="4833" ht="13.65" customHeight="1">
      <c r="A4833" s="21">
        <v>24</v>
      </c>
      <c r="B4833" t="s" s="22">
        <v>531</v>
      </c>
      <c r="C4833" s="23">
        <v>10</v>
      </c>
      <c r="D4833" t="s" s="24">
        <v>256</v>
      </c>
      <c r="E4833" s="25">
        <v>9.6</v>
      </c>
      <c r="F4833" s="23">
        <v>3.33</v>
      </c>
      <c r="G4833" s="152" cm="1">
        <f t="array" ref="G4833">SUM(E4833/F4833)</f>
        <v>2.88288288288288</v>
      </c>
      <c r="H4833" s="15"/>
    </row>
    <row r="4834" ht="13.65" customHeight="1">
      <c r="A4834" s="21">
        <v>19</v>
      </c>
      <c r="B4834" t="s" s="22">
        <v>445</v>
      </c>
      <c r="C4834" s="23">
        <v>6</v>
      </c>
      <c r="D4834" t="s" s="24">
        <v>694</v>
      </c>
      <c r="E4834" s="25">
        <v>5.2</v>
      </c>
      <c r="F4834" s="23">
        <v>10</v>
      </c>
      <c r="G4834" s="152" cm="1">
        <f t="array" ref="G4834">SUM(E4834/F4834)</f>
        <v>0.52</v>
      </c>
      <c r="H4834" s="15"/>
    </row>
    <row r="4835" ht="13.65" customHeight="1">
      <c r="A4835" s="21">
        <v>27</v>
      </c>
      <c r="B4835" t="s" s="22">
        <v>594</v>
      </c>
      <c r="C4835" s="23">
        <v>18</v>
      </c>
      <c r="D4835" t="s" s="24">
        <v>104</v>
      </c>
      <c r="E4835" s="25">
        <v>6.5</v>
      </c>
      <c r="F4835" s="23">
        <v>18</v>
      </c>
      <c r="G4835" s="152" cm="1">
        <f t="array" ref="G4835">SUM(E4835/F4835)</f>
        <v>0.361111111111111</v>
      </c>
      <c r="H4835" s="15"/>
    </row>
    <row r="4836" ht="13.65" customHeight="1">
      <c r="A4836" s="21">
        <v>7</v>
      </c>
      <c r="B4836" t="s" s="22">
        <v>477</v>
      </c>
      <c r="C4836" t="s" s="24">
        <v>478</v>
      </c>
      <c r="D4836" t="s" s="24">
        <v>479</v>
      </c>
      <c r="E4836" s="25">
        <v>14</v>
      </c>
      <c r="F4836" s="23">
        <v>10</v>
      </c>
      <c r="G4836" s="152" cm="1">
        <f t="array" ref="G4836">SUM(E4836/F4836)</f>
        <v>1.4</v>
      </c>
      <c r="H4836" s="15"/>
    </row>
    <row r="4837" ht="13.65" customHeight="1">
      <c r="A4837" s="21">
        <v>68</v>
      </c>
      <c r="B4837" t="s" s="22">
        <v>480</v>
      </c>
      <c r="C4837" t="s" s="24">
        <v>481</v>
      </c>
      <c r="D4837" t="s" s="24">
        <v>597</v>
      </c>
      <c r="E4837" s="25">
        <v>16</v>
      </c>
      <c r="F4837" s="23">
        <v>5</v>
      </c>
      <c r="G4837" s="152" cm="1">
        <f t="array" ref="G4837">SUM(E4837/F4837)</f>
        <v>3.2</v>
      </c>
      <c r="H4837" s="15"/>
    </row>
    <row r="4838" ht="13.65" customHeight="1">
      <c r="A4838" s="21">
        <v>69</v>
      </c>
      <c r="B4838" t="s" s="22">
        <v>598</v>
      </c>
      <c r="C4838" t="s" s="24">
        <v>481</v>
      </c>
      <c r="D4838" t="s" s="24">
        <v>597</v>
      </c>
      <c r="E4838" s="25">
        <v>3.5</v>
      </c>
      <c r="F4838" s="23">
        <v>5</v>
      </c>
      <c r="G4838" s="152" cm="1">
        <f t="array" ref="G4838">SUM(E4838/F4838)</f>
        <v>0.7</v>
      </c>
      <c r="H4838" s="15"/>
    </row>
    <row r="4839" ht="13.65" customHeight="1">
      <c r="A4839" s="21">
        <v>48</v>
      </c>
      <c r="B4839" t="s" s="22">
        <v>710</v>
      </c>
      <c r="C4839" s="23">
        <v>1</v>
      </c>
      <c r="D4839" t="s" s="24">
        <v>375</v>
      </c>
      <c r="E4839" s="25">
        <v>1</v>
      </c>
      <c r="F4839" s="23">
        <v>2</v>
      </c>
      <c r="G4839" s="152" cm="1">
        <f t="array" ref="G4839">SUM(E4839/F4839)</f>
        <v>0.5</v>
      </c>
      <c r="H4839" s="15"/>
    </row>
    <row r="4840" ht="13.65" customHeight="1">
      <c r="A4840" s="21">
        <v>124</v>
      </c>
      <c r="B4840" t="s" s="22">
        <v>372</v>
      </c>
      <c r="C4840" s="23">
        <v>1</v>
      </c>
      <c r="D4840" t="s" s="24">
        <v>373</v>
      </c>
      <c r="E4840" s="25">
        <v>2.2</v>
      </c>
      <c r="F4840" s="23">
        <v>15</v>
      </c>
      <c r="G4840" s="152" cm="1">
        <f t="array" ref="G4840">SUM(E4840/F4840)</f>
        <v>0.146666666666667</v>
      </c>
      <c r="H4840" s="15"/>
    </row>
    <row r="4841" ht="13.65" customHeight="1">
      <c r="A4841" s="21">
        <v>101</v>
      </c>
      <c r="B4841" t="s" s="22">
        <v>407</v>
      </c>
      <c r="C4841" t="s" s="24">
        <v>380</v>
      </c>
      <c r="D4841" t="s" s="24">
        <v>537</v>
      </c>
      <c r="E4841" s="25">
        <v>7.5</v>
      </c>
      <c r="F4841" s="23">
        <v>25</v>
      </c>
      <c r="G4841" s="152" cm="1">
        <f t="array" ref="G4841">SUM(E4841/F4841)</f>
        <v>0.3</v>
      </c>
      <c r="H4841" s="15"/>
    </row>
    <row r="4842" ht="13.65" customHeight="1">
      <c r="A4842" s="21">
        <v>111</v>
      </c>
      <c r="B4842" t="s" s="22">
        <v>476</v>
      </c>
      <c r="C4842" s="23">
        <v>1</v>
      </c>
      <c r="D4842" t="s" s="24">
        <v>401</v>
      </c>
      <c r="E4842" s="25">
        <v>2.7</v>
      </c>
      <c r="F4842" s="23">
        <v>30</v>
      </c>
      <c r="G4842" s="152" cm="1">
        <f t="array" ref="G4842">SUM(E4842/F4842)</f>
        <v>0.09</v>
      </c>
      <c r="H4842" s="15"/>
    </row>
    <row r="4843" ht="13.65" customHeight="1">
      <c r="A4843" s="21">
        <v>102</v>
      </c>
      <c r="B4843" t="s" s="22">
        <v>709</v>
      </c>
      <c r="C4843" s="23">
        <v>1</v>
      </c>
      <c r="D4843" t="s" s="24">
        <v>397</v>
      </c>
      <c r="E4843" s="25">
        <v>2.7</v>
      </c>
      <c r="F4843" s="23">
        <v>50</v>
      </c>
      <c r="G4843" s="152" cm="1">
        <f t="array" ref="G4843">SUM(E4843/F4843)</f>
        <v>0.054</v>
      </c>
      <c r="H4843" s="15"/>
    </row>
    <row r="4844" ht="13.65" customHeight="1">
      <c r="A4844" s="21">
        <v>70</v>
      </c>
      <c r="B4844" t="s" s="22">
        <v>738</v>
      </c>
      <c r="C4844" s="23">
        <v>1</v>
      </c>
      <c r="D4844" t="s" s="24">
        <v>104</v>
      </c>
      <c r="E4844" s="25">
        <v>22</v>
      </c>
      <c r="F4844" s="23">
        <v>1</v>
      </c>
      <c r="G4844" s="152" cm="1">
        <f t="array" ref="G4844">SUM(E4844/F4844)</f>
        <v>22</v>
      </c>
      <c r="H4844" s="15"/>
    </row>
    <row r="4845" ht="13.65" customHeight="1">
      <c r="A4845" s="21">
        <v>98</v>
      </c>
      <c r="B4845" t="s" s="22">
        <v>739</v>
      </c>
      <c r="C4845" t="s" s="24">
        <v>740</v>
      </c>
      <c r="D4845" t="s" s="24">
        <v>397</v>
      </c>
      <c r="E4845" s="25">
        <v>33</v>
      </c>
      <c r="F4845" s="23">
        <v>50</v>
      </c>
      <c r="G4845" s="152" cm="1">
        <f t="array" ref="G4845">SUM(E4845/F4845)</f>
        <v>0.66</v>
      </c>
      <c r="H4845" s="15"/>
    </row>
    <row r="4846" ht="13.65" customHeight="1">
      <c r="A4846" s="21">
        <v>28</v>
      </c>
      <c r="B4846" t="s" s="22">
        <v>475</v>
      </c>
      <c r="C4846" s="23">
        <v>6</v>
      </c>
      <c r="D4846" t="s" s="24">
        <v>375</v>
      </c>
      <c r="E4846" s="25">
        <v>6</v>
      </c>
      <c r="F4846" s="23">
        <v>12</v>
      </c>
      <c r="G4846" s="152" cm="1">
        <f t="array" ref="G4846">SUM(E4846/F4846)</f>
        <v>0.5</v>
      </c>
      <c r="H4846" s="15"/>
    </row>
    <row r="4847" ht="13.65" customHeight="1">
      <c r="A4847" s="21">
        <v>47</v>
      </c>
      <c r="B4847" t="s" s="22">
        <v>829</v>
      </c>
      <c r="C4847" s="23">
        <v>1</v>
      </c>
      <c r="D4847" t="s" s="24">
        <v>375</v>
      </c>
      <c r="E4847" s="25">
        <v>0.61</v>
      </c>
      <c r="F4847" s="23">
        <v>2</v>
      </c>
      <c r="G4847" s="152" cm="1">
        <f t="array" ref="G4847">SUM(E4847/F4847)</f>
        <v>0.305</v>
      </c>
      <c r="H4847" s="15"/>
    </row>
    <row r="4848" ht="13.65" customHeight="1">
      <c r="A4848" s="21">
        <v>91</v>
      </c>
      <c r="B4848" t="s" s="22">
        <v>836</v>
      </c>
      <c r="C4848" s="23">
        <v>1</v>
      </c>
      <c r="D4848" t="s" s="24">
        <v>104</v>
      </c>
      <c r="E4848" s="25">
        <v>4.62</v>
      </c>
      <c r="F4848" s="23">
        <v>1</v>
      </c>
      <c r="G4848" s="152" cm="1">
        <f t="array" ref="G4848">SUM(E4848/F4848)</f>
        <v>4.62</v>
      </c>
      <c r="H4848" s="15"/>
    </row>
    <row r="4849" ht="13.65" customHeight="1">
      <c r="A4849" s="21">
        <v>131</v>
      </c>
      <c r="B4849" t="s" s="22">
        <v>482</v>
      </c>
      <c r="C4849" s="27"/>
      <c r="D4849" s="24"/>
      <c r="E4849" s="27"/>
      <c r="F4849" s="27"/>
      <c r="G4849" s="152">
        <v>180</v>
      </c>
      <c r="H4849" s="15"/>
    </row>
    <row r="4850" ht="13.65" customHeight="1">
      <c r="A4850" s="28"/>
      <c r="B4850" s="28"/>
      <c r="C4850" s="27"/>
      <c r="D4850" s="24"/>
      <c r="E4850" s="27"/>
      <c r="F4850" t="s" s="29">
        <v>118</v>
      </c>
      <c r="G4850" s="197" cm="1">
        <f t="array" ref="G4850">SUM(G4826:G4849)</f>
        <v>227.163455875972</v>
      </c>
      <c r="H4850" s="15"/>
    </row>
    <row r="4851" ht="13.65" customHeight="1">
      <c r="A4851" s="31"/>
      <c r="B4851" s="31"/>
      <c r="C4851" s="31"/>
      <c r="D4851" s="31"/>
      <c r="E4851" s="31"/>
      <c r="F4851" s="31"/>
      <c r="G4851" s="31"/>
      <c r="H4851" s="3"/>
    </row>
    <row r="4852" ht="13.65" customHeight="1">
      <c r="A4852" t="s" s="5">
        <v>806</v>
      </c>
      <c r="B4852" s="3"/>
      <c r="C4852" s="3"/>
      <c r="D4852" s="3"/>
      <c r="E4852" s="3"/>
      <c r="F4852" s="3"/>
      <c r="G4852" s="3"/>
      <c r="H4852" s="3"/>
    </row>
    <row r="4853" ht="13.65" customHeight="1">
      <c r="A4853" s="11"/>
      <c r="B4853" s="11"/>
      <c r="C4853" s="11"/>
      <c r="D4853" s="11"/>
      <c r="E4853" s="11"/>
      <c r="F4853" s="11"/>
      <c r="G4853" s="11"/>
      <c r="H4853" s="3"/>
    </row>
    <row r="4854" ht="11.7" customHeight="1">
      <c r="A4854" t="s" s="167">
        <v>136</v>
      </c>
      <c r="B4854" t="s" s="167">
        <v>281</v>
      </c>
      <c r="C4854" t="s" s="167">
        <v>282</v>
      </c>
      <c r="D4854" t="s" s="167">
        <v>118</v>
      </c>
      <c r="E4854" t="s" s="167">
        <v>807</v>
      </c>
      <c r="F4854" t="s" s="167">
        <v>605</v>
      </c>
      <c r="G4854" s="167"/>
      <c r="H4854" s="170"/>
    </row>
    <row r="4855" ht="13.65" customHeight="1">
      <c r="A4855" s="23">
        <v>480</v>
      </c>
      <c r="B4855" s="172" cm="1">
        <f t="array" ref="B4855">SUM(H256)</f>
        <v>2.47496540404041</v>
      </c>
      <c r="C4855" s="172" cm="1">
        <f t="array" ref="C4855">SUM(G4850)</f>
        <v>227.163455875972</v>
      </c>
      <c r="D4855" s="308" cm="1">
        <f t="array" ref="D4855">SUM(A4855*B4855+C4855)</f>
        <v>1415.146849815370</v>
      </c>
      <c r="E4855" s="198" cm="1">
        <f t="array" ref="E4855">SUM(D4855)*0.3</f>
        <v>424.544054944611</v>
      </c>
      <c r="F4855" s="154" cm="1">
        <f t="array" ref="F4855">SUM(D4855:E4855)</f>
        <v>1839.690904759980</v>
      </c>
      <c r="G4855" s="306"/>
      <c r="H4855" s="15"/>
    </row>
    <row r="4856" ht="13.65" customHeight="1">
      <c r="A4856" s="31"/>
      <c r="B4856" s="31"/>
      <c r="C4856" s="31"/>
      <c r="D4856" s="31"/>
      <c r="E4856" s="31"/>
      <c r="F4856" s="31"/>
      <c r="G4856" s="31"/>
      <c r="H4856" s="3"/>
    </row>
    <row r="4857" ht="13.65" customHeight="1">
      <c r="A4857" s="203"/>
      <c r="B4857" s="203"/>
      <c r="C4857" s="203"/>
      <c r="D4857" s="203"/>
      <c r="E4857" s="203"/>
      <c r="F4857" s="203"/>
      <c r="G4857" s="203"/>
      <c r="H4857" s="203"/>
    </row>
    <row r="4858" ht="13.65" customHeight="1">
      <c r="A4858" t="s" s="274">
        <v>185</v>
      </c>
      <c r="B4858" s="275"/>
      <c r="C4858" s="275"/>
      <c r="D4858" s="275"/>
      <c r="E4858" s="280"/>
      <c r="F4858" s="275"/>
      <c r="G4858" s="275"/>
      <c r="H4858" s="277"/>
    </row>
    <row r="4859" ht="13.65" customHeight="1">
      <c r="A4859" s="278"/>
      <c r="B4859" s="278"/>
      <c r="C4859" s="278"/>
      <c r="D4859" s="278"/>
      <c r="E4859" s="278"/>
      <c r="F4859" s="278"/>
      <c r="G4859" s="278"/>
      <c r="H4859" s="278"/>
    </row>
    <row r="4860" ht="13.65" customHeight="1">
      <c r="A4860" s="3"/>
      <c r="B4860" s="3"/>
      <c r="C4860" s="3"/>
      <c r="D4860" s="3"/>
      <c r="E4860" s="3"/>
      <c r="F4860" s="3"/>
      <c r="G4860" s="3"/>
      <c r="H4860" s="3"/>
    </row>
    <row r="4861" ht="13.65" customHeight="1">
      <c r="A4861" t="s" s="5">
        <v>838</v>
      </c>
      <c r="B4861" s="3"/>
      <c r="C4861" s="3"/>
      <c r="D4861" s="3"/>
      <c r="E4861" s="3"/>
      <c r="F4861" s="3"/>
      <c r="G4861" s="3"/>
      <c r="H4861" s="3"/>
    </row>
    <row r="4862" ht="13.65" customHeight="1">
      <c r="A4862" s="11"/>
      <c r="B4862" s="11"/>
      <c r="C4862" s="11"/>
      <c r="D4862" s="11"/>
      <c r="E4862" s="11"/>
      <c r="F4862" s="11"/>
      <c r="G4862" s="11"/>
      <c r="H4862" s="3"/>
    </row>
    <row r="4863" ht="13.65" customHeight="1">
      <c r="A4863" s="12"/>
      <c r="B4863" s="12"/>
      <c r="C4863" s="13"/>
      <c r="D4863" s="14"/>
      <c r="E4863" s="13"/>
      <c r="F4863" s="13"/>
      <c r="G4863" t="s" s="14">
        <v>252</v>
      </c>
      <c r="H4863" s="150"/>
    </row>
    <row r="4864" ht="13.65" customHeight="1">
      <c r="A4864" t="s" s="16">
        <v>93</v>
      </c>
      <c r="B4864" t="s" s="16">
        <v>94</v>
      </c>
      <c r="C4864" t="s" s="16">
        <v>95</v>
      </c>
      <c r="D4864" t="s" s="16">
        <v>96</v>
      </c>
      <c r="E4864" t="s" s="16">
        <v>97</v>
      </c>
      <c r="F4864" t="s" s="16">
        <v>98</v>
      </c>
      <c r="G4864" t="s" s="16">
        <v>99</v>
      </c>
      <c r="H4864" s="15"/>
    </row>
    <row r="4865" ht="13.65" customHeight="1">
      <c r="A4865" s="151"/>
      <c r="B4865" s="151"/>
      <c r="C4865" s="19"/>
      <c r="D4865" s="20"/>
      <c r="E4865" s="19"/>
      <c r="F4865" s="19"/>
      <c r="G4865" t="s" s="20">
        <v>100</v>
      </c>
      <c r="H4865" s="15"/>
    </row>
    <row r="4866" ht="13.65" customHeight="1">
      <c r="A4866" s="21">
        <v>72</v>
      </c>
      <c r="B4866" t="s" s="22">
        <v>101</v>
      </c>
      <c r="C4866" s="23">
        <v>50</v>
      </c>
      <c r="D4866" t="s" s="24">
        <v>608</v>
      </c>
      <c r="E4866" s="25">
        <v>1.93</v>
      </c>
      <c r="F4866" s="23">
        <v>6.25</v>
      </c>
      <c r="G4866" s="152" cm="1">
        <f t="array" ref="G4866">SUM(E4866/F4866)</f>
        <v>0.3088</v>
      </c>
      <c r="H4866" s="15"/>
    </row>
    <row r="4867" ht="13.65" customHeight="1">
      <c r="A4867" s="21">
        <v>123</v>
      </c>
      <c r="B4867" t="s" s="22">
        <v>103</v>
      </c>
      <c r="C4867" s="23">
        <v>40</v>
      </c>
      <c r="D4867" t="s" s="24">
        <v>274</v>
      </c>
      <c r="E4867" s="25">
        <v>3.2</v>
      </c>
      <c r="F4867" s="23">
        <v>10</v>
      </c>
      <c r="G4867" s="152" cm="1">
        <f t="array" ref="G4867">SUM(E4867/F4867)</f>
        <v>0.32</v>
      </c>
      <c r="H4867" s="15"/>
    </row>
    <row r="4868" ht="13.65" customHeight="1">
      <c r="A4868" s="21">
        <v>57</v>
      </c>
      <c r="B4868" t="s" s="22">
        <v>253</v>
      </c>
      <c r="C4868" t="s" s="24">
        <v>389</v>
      </c>
      <c r="D4868" t="s" s="24">
        <v>371</v>
      </c>
      <c r="E4868" s="25">
        <v>4.5</v>
      </c>
      <c r="F4868" s="23">
        <v>33</v>
      </c>
      <c r="G4868" s="152" cm="1">
        <f t="array" ref="G4868">SUM(E4868/F4868)</f>
        <v>0.136363636363636</v>
      </c>
      <c r="H4868" s="15"/>
    </row>
    <row r="4869" ht="13.65" customHeight="1">
      <c r="A4869" s="21">
        <v>86</v>
      </c>
      <c r="B4869" t="s" s="22">
        <v>107</v>
      </c>
      <c r="C4869" t="s" s="24">
        <v>108</v>
      </c>
      <c r="D4869" t="s" s="24">
        <v>608</v>
      </c>
      <c r="E4869" s="25">
        <v>0.32</v>
      </c>
      <c r="F4869" t="s" s="24">
        <v>825</v>
      </c>
      <c r="G4869" s="152" cm="1">
        <f t="array" ref="G4869">SUM(E4869*8)</f>
        <v>2.56</v>
      </c>
      <c r="H4869" s="15"/>
    </row>
    <row r="4870" ht="13.65" customHeight="1">
      <c r="A4870" s="21">
        <v>71</v>
      </c>
      <c r="B4870" t="s" s="22">
        <v>109</v>
      </c>
      <c r="C4870" s="23">
        <v>10</v>
      </c>
      <c r="D4870" t="s" s="24">
        <v>608</v>
      </c>
      <c r="E4870" s="25">
        <v>5.92</v>
      </c>
      <c r="F4870" s="23">
        <v>1.25</v>
      </c>
      <c r="G4870" s="152" cm="1">
        <f t="array" ref="G4870">SUM(E4870/F4870)</f>
        <v>4.736</v>
      </c>
      <c r="H4870" s="15"/>
    </row>
    <row r="4871" ht="13.65" customHeight="1">
      <c r="A4871" s="21">
        <v>87</v>
      </c>
      <c r="B4871" t="s" s="22">
        <v>110</v>
      </c>
      <c r="C4871" s="23">
        <v>50</v>
      </c>
      <c r="D4871" t="s" s="24">
        <v>608</v>
      </c>
      <c r="E4871" s="25">
        <v>9</v>
      </c>
      <c r="F4871" s="23">
        <v>6.25</v>
      </c>
      <c r="G4871" s="152" cm="1">
        <f t="array" ref="G4871">SUM(E4871/F4871)</f>
        <v>1.44</v>
      </c>
      <c r="H4871" s="15"/>
    </row>
    <row r="4872" ht="13.65" customHeight="1">
      <c r="A4872" s="21">
        <v>55</v>
      </c>
      <c r="B4872" t="s" s="22">
        <v>111</v>
      </c>
      <c r="C4872" t="s" s="24">
        <v>112</v>
      </c>
      <c r="D4872" t="s" s="24">
        <v>651</v>
      </c>
      <c r="E4872" s="25">
        <v>2.71</v>
      </c>
      <c r="F4872" s="23">
        <v>19</v>
      </c>
      <c r="G4872" s="152" cm="1">
        <f t="array" ref="G4872">SUM(E4872/F4872)</f>
        <v>0.142631578947368</v>
      </c>
      <c r="H4872" s="15"/>
    </row>
    <row r="4873" ht="13.65" customHeight="1">
      <c r="A4873" s="21">
        <v>24</v>
      </c>
      <c r="B4873" t="s" s="22">
        <v>531</v>
      </c>
      <c r="C4873" s="23">
        <v>10</v>
      </c>
      <c r="D4873" t="s" s="24">
        <v>256</v>
      </c>
      <c r="E4873" s="25">
        <v>9.6</v>
      </c>
      <c r="F4873" s="23">
        <v>3.33</v>
      </c>
      <c r="G4873" s="152" cm="1">
        <f t="array" ref="G4873">SUM(E4873/F4873)</f>
        <v>2.88288288288288</v>
      </c>
      <c r="H4873" s="15"/>
    </row>
    <row r="4874" ht="13.65" customHeight="1">
      <c r="A4874" s="21">
        <v>19</v>
      </c>
      <c r="B4874" t="s" s="22">
        <v>445</v>
      </c>
      <c r="C4874" s="23">
        <v>6</v>
      </c>
      <c r="D4874" t="s" s="24">
        <v>694</v>
      </c>
      <c r="E4874" s="25">
        <v>5.2</v>
      </c>
      <c r="F4874" s="23">
        <v>10</v>
      </c>
      <c r="G4874" s="152" cm="1">
        <f t="array" ref="G4874">SUM(E4874/F4874)</f>
        <v>0.52</v>
      </c>
      <c r="H4874" s="15"/>
    </row>
    <row r="4875" ht="13.65" customHeight="1">
      <c r="A4875" s="21">
        <v>27</v>
      </c>
      <c r="B4875" t="s" s="22">
        <v>594</v>
      </c>
      <c r="C4875" s="23">
        <v>18</v>
      </c>
      <c r="D4875" t="s" s="24">
        <v>104</v>
      </c>
      <c r="E4875" s="25">
        <v>6.5</v>
      </c>
      <c r="F4875" s="23">
        <v>18</v>
      </c>
      <c r="G4875" s="152" cm="1">
        <f t="array" ref="G4875">SUM(E4875/F4875)</f>
        <v>0.361111111111111</v>
      </c>
      <c r="H4875" s="15"/>
    </row>
    <row r="4876" ht="13.65" customHeight="1">
      <c r="A4876" s="21">
        <v>7</v>
      </c>
      <c r="B4876" t="s" s="22">
        <v>477</v>
      </c>
      <c r="C4876" t="s" s="24">
        <v>478</v>
      </c>
      <c r="D4876" t="s" s="24">
        <v>479</v>
      </c>
      <c r="E4876" s="25">
        <v>14</v>
      </c>
      <c r="F4876" s="23">
        <v>10</v>
      </c>
      <c r="G4876" s="152" cm="1">
        <f t="array" ref="G4876">SUM(E4876/F4876)</f>
        <v>1.4</v>
      </c>
      <c r="H4876" s="15"/>
    </row>
    <row r="4877" ht="13.65" customHeight="1">
      <c r="A4877" s="21">
        <v>68</v>
      </c>
      <c r="B4877" t="s" s="22">
        <v>480</v>
      </c>
      <c r="C4877" t="s" s="24">
        <v>481</v>
      </c>
      <c r="D4877" t="s" s="24">
        <v>597</v>
      </c>
      <c r="E4877" s="25">
        <v>16</v>
      </c>
      <c r="F4877" s="23">
        <v>5</v>
      </c>
      <c r="G4877" s="152" cm="1">
        <f t="array" ref="G4877">SUM(E4877/F4877)</f>
        <v>3.2</v>
      </c>
      <c r="H4877" s="15"/>
    </row>
    <row r="4878" ht="13.65" customHeight="1">
      <c r="A4878" s="21">
        <v>69</v>
      </c>
      <c r="B4878" t="s" s="22">
        <v>598</v>
      </c>
      <c r="C4878" t="s" s="24">
        <v>481</v>
      </c>
      <c r="D4878" t="s" s="24">
        <v>597</v>
      </c>
      <c r="E4878" s="25">
        <v>3.5</v>
      </c>
      <c r="F4878" s="23">
        <v>5</v>
      </c>
      <c r="G4878" s="152" cm="1">
        <f t="array" ref="G4878">SUM(E4878/F4878)</f>
        <v>0.7</v>
      </c>
      <c r="H4878" s="15"/>
    </row>
    <row r="4879" ht="13.65" customHeight="1">
      <c r="A4879" s="21">
        <v>48</v>
      </c>
      <c r="B4879" t="s" s="22">
        <v>710</v>
      </c>
      <c r="C4879" s="23">
        <v>1</v>
      </c>
      <c r="D4879" t="s" s="24">
        <v>375</v>
      </c>
      <c r="E4879" s="25">
        <v>1</v>
      </c>
      <c r="F4879" s="23">
        <v>2</v>
      </c>
      <c r="G4879" s="152" cm="1">
        <f t="array" ref="G4879">SUM(E4879/F4879)</f>
        <v>0.5</v>
      </c>
      <c r="H4879" s="15"/>
    </row>
    <row r="4880" ht="13.65" customHeight="1">
      <c r="A4880" s="21">
        <v>124</v>
      </c>
      <c r="B4880" t="s" s="22">
        <v>372</v>
      </c>
      <c r="C4880" s="23">
        <v>1</v>
      </c>
      <c r="D4880" t="s" s="24">
        <v>373</v>
      </c>
      <c r="E4880" s="25">
        <v>2.2</v>
      </c>
      <c r="F4880" s="23">
        <v>15</v>
      </c>
      <c r="G4880" s="152" cm="1">
        <f t="array" ref="G4880">SUM(E4880/F4880)</f>
        <v>0.146666666666667</v>
      </c>
      <c r="H4880" s="15"/>
    </row>
    <row r="4881" ht="13.65" customHeight="1">
      <c r="A4881" s="21">
        <v>101</v>
      </c>
      <c r="B4881" t="s" s="22">
        <v>407</v>
      </c>
      <c r="C4881" t="s" s="24">
        <v>380</v>
      </c>
      <c r="D4881" t="s" s="24">
        <v>537</v>
      </c>
      <c r="E4881" s="25">
        <v>7.5</v>
      </c>
      <c r="F4881" s="23">
        <v>25</v>
      </c>
      <c r="G4881" s="152" cm="1">
        <f t="array" ref="G4881">SUM(E4881/F4881)</f>
        <v>0.3</v>
      </c>
      <c r="H4881" s="15"/>
    </row>
    <row r="4882" ht="13.65" customHeight="1">
      <c r="A4882" s="21">
        <v>111</v>
      </c>
      <c r="B4882" t="s" s="22">
        <v>476</v>
      </c>
      <c r="C4882" s="23">
        <v>1</v>
      </c>
      <c r="D4882" t="s" s="24">
        <v>401</v>
      </c>
      <c r="E4882" s="25">
        <v>2.7</v>
      </c>
      <c r="F4882" s="23">
        <v>30</v>
      </c>
      <c r="G4882" s="152" cm="1">
        <f t="array" ref="G4882">SUM(E4882/F4882)</f>
        <v>0.09</v>
      </c>
      <c r="H4882" s="15"/>
    </row>
    <row r="4883" ht="13.65" customHeight="1">
      <c r="A4883" s="21">
        <v>102</v>
      </c>
      <c r="B4883" t="s" s="22">
        <v>709</v>
      </c>
      <c r="C4883" s="23">
        <v>1</v>
      </c>
      <c r="D4883" t="s" s="24">
        <v>397</v>
      </c>
      <c r="E4883" s="25">
        <v>2.7</v>
      </c>
      <c r="F4883" s="23">
        <v>50</v>
      </c>
      <c r="G4883" s="152" cm="1">
        <f t="array" ref="G4883">SUM(E4883/F4883)</f>
        <v>0.054</v>
      </c>
      <c r="H4883" s="15"/>
    </row>
    <row r="4884" ht="13.65" customHeight="1">
      <c r="A4884" s="21">
        <v>70</v>
      </c>
      <c r="B4884" t="s" s="22">
        <v>738</v>
      </c>
      <c r="C4884" s="23">
        <v>1</v>
      </c>
      <c r="D4884" t="s" s="24">
        <v>375</v>
      </c>
      <c r="E4884" s="25">
        <v>22</v>
      </c>
      <c r="F4884" s="23">
        <v>2</v>
      </c>
      <c r="G4884" s="152" cm="1">
        <f t="array" ref="G4884">SUM(E4884/F4884)</f>
        <v>11</v>
      </c>
      <c r="H4884" s="15"/>
    </row>
    <row r="4885" ht="13.65" customHeight="1">
      <c r="A4885" s="21">
        <v>98</v>
      </c>
      <c r="B4885" t="s" s="22">
        <v>739</v>
      </c>
      <c r="C4885" t="s" s="24">
        <v>740</v>
      </c>
      <c r="D4885" t="s" s="24">
        <v>397</v>
      </c>
      <c r="E4885" s="25">
        <v>33</v>
      </c>
      <c r="F4885" s="23">
        <v>50</v>
      </c>
      <c r="G4885" s="152" cm="1">
        <f t="array" ref="G4885">SUM(E4885/F4885)</f>
        <v>0.66</v>
      </c>
      <c r="H4885" s="15"/>
    </row>
    <row r="4886" ht="13.65" customHeight="1">
      <c r="A4886" s="21">
        <v>28</v>
      </c>
      <c r="B4886" t="s" s="22">
        <v>475</v>
      </c>
      <c r="C4886" s="23">
        <v>6</v>
      </c>
      <c r="D4886" t="s" s="24">
        <v>375</v>
      </c>
      <c r="E4886" s="25">
        <v>6</v>
      </c>
      <c r="F4886" s="23">
        <v>12</v>
      </c>
      <c r="G4886" s="152" cm="1">
        <f t="array" ref="G4886">SUM(E4886/F4886)</f>
        <v>0.5</v>
      </c>
      <c r="H4886" s="15"/>
    </row>
    <row r="4887" ht="13.65" customHeight="1">
      <c r="A4887" s="21">
        <v>47</v>
      </c>
      <c r="B4887" t="s" s="22">
        <v>829</v>
      </c>
      <c r="C4887" s="23">
        <v>1</v>
      </c>
      <c r="D4887" t="s" s="24">
        <v>375</v>
      </c>
      <c r="E4887" s="25">
        <v>0.61</v>
      </c>
      <c r="F4887" s="23">
        <v>2</v>
      </c>
      <c r="G4887" s="152" cm="1">
        <f t="array" ref="G4887">SUM(E4887/F4887)</f>
        <v>0.305</v>
      </c>
      <c r="H4887" s="15"/>
    </row>
    <row r="4888" ht="13.65" customHeight="1">
      <c r="A4888" s="21">
        <v>131</v>
      </c>
      <c r="B4888" t="s" s="22">
        <v>482</v>
      </c>
      <c r="C4888" s="27"/>
      <c r="D4888" s="24"/>
      <c r="E4888" s="27"/>
      <c r="F4888" s="27"/>
      <c r="G4888" s="152">
        <v>90</v>
      </c>
      <c r="H4888" s="15"/>
    </row>
    <row r="4889" ht="13.65" customHeight="1">
      <c r="A4889" s="28"/>
      <c r="B4889" s="28"/>
      <c r="C4889" s="27"/>
      <c r="D4889" s="24"/>
      <c r="E4889" s="27"/>
      <c r="F4889" t="s" s="29">
        <v>118</v>
      </c>
      <c r="G4889" s="197" cm="1">
        <f t="array" ref="G4889">SUM(G4866:G4888)</f>
        <v>122.263455875972</v>
      </c>
      <c r="H4889" s="15"/>
    </row>
    <row r="4890" ht="13.65" customHeight="1">
      <c r="A4890" s="129"/>
      <c r="B4890" s="129"/>
      <c r="C4890" s="129"/>
      <c r="D4890" s="129"/>
      <c r="E4890" s="129"/>
      <c r="F4890" s="31"/>
      <c r="G4890" s="31"/>
      <c r="H4890" s="3"/>
    </row>
    <row r="4891" ht="11.7" customHeight="1">
      <c r="A4891" t="s" s="167">
        <v>136</v>
      </c>
      <c r="B4891" t="s" s="167">
        <v>281</v>
      </c>
      <c r="C4891" t="s" s="167">
        <v>282</v>
      </c>
      <c r="D4891" t="s" s="168">
        <v>283</v>
      </c>
      <c r="E4891" s="169"/>
      <c r="F4891" s="170"/>
      <c r="G4891" s="171"/>
      <c r="H4891" s="171"/>
    </row>
    <row r="4892" ht="13.65" customHeight="1">
      <c r="A4892" s="23">
        <v>360</v>
      </c>
      <c r="B4892" s="172" cm="1">
        <f t="array" ref="B4892">SUM(H256)</f>
        <v>2.47496540404041</v>
      </c>
      <c r="C4892" s="172" cm="1">
        <f t="array" ref="C4892">SUM(G4889)</f>
        <v>122.263455875972</v>
      </c>
      <c r="D4892" s="199" cm="1">
        <f t="array" ref="D4892">SUM(A4892*B4892+C4892)</f>
        <v>1013.251001330520</v>
      </c>
      <c r="E4892" s="200"/>
      <c r="F4892" s="15"/>
      <c r="G4892" s="3"/>
      <c r="H4892" s="3"/>
    </row>
    <row r="4893" ht="13.65" customHeight="1">
      <c r="A4893" s="31"/>
      <c r="B4893" s="31"/>
      <c r="C4893" s="31"/>
      <c r="D4893" s="31"/>
      <c r="E4893" s="31"/>
      <c r="F4893" s="3"/>
      <c r="G4893" s="3"/>
      <c r="H4893" s="3"/>
    </row>
    <row r="4894" ht="13.65" customHeight="1">
      <c r="A4894" s="203"/>
      <c r="B4894" s="203"/>
      <c r="C4894" s="203"/>
      <c r="D4894" s="203"/>
      <c r="E4894" s="203"/>
      <c r="F4894" s="203"/>
      <c r="G4894" s="203"/>
      <c r="H4894" s="203"/>
    </row>
    <row r="4895" ht="13.65" customHeight="1">
      <c r="A4895" t="s" s="274">
        <v>284</v>
      </c>
      <c r="B4895" s="275"/>
      <c r="C4895" s="275"/>
      <c r="D4895" s="275"/>
      <c r="E4895" s="280"/>
      <c r="F4895" s="275"/>
      <c r="G4895" s="275"/>
      <c r="H4895" s="277"/>
    </row>
    <row r="4896" ht="13.65" customHeight="1">
      <c r="A4896" s="278"/>
      <c r="B4896" s="278"/>
      <c r="C4896" s="278"/>
      <c r="D4896" s="278"/>
      <c r="E4896" s="278"/>
      <c r="F4896" s="278"/>
      <c r="G4896" s="278"/>
      <c r="H4896" s="278"/>
    </row>
    <row r="4897" ht="13.65" customHeight="1">
      <c r="A4897" s="3"/>
      <c r="B4897" s="3"/>
      <c r="C4897" s="3"/>
      <c r="D4897" s="3"/>
      <c r="E4897" s="3"/>
      <c r="F4897" s="3"/>
      <c r="G4897" s="3"/>
      <c r="H4897" s="3"/>
    </row>
    <row r="4898" ht="13.65" customHeight="1">
      <c r="A4898" t="s" s="5">
        <v>839</v>
      </c>
      <c r="B4898" s="3"/>
      <c r="C4898" s="3"/>
      <c r="D4898" s="3"/>
      <c r="E4898" s="3"/>
      <c r="F4898" s="3"/>
      <c r="G4898" s="3"/>
      <c r="H4898" s="3"/>
    </row>
    <row r="4899" ht="13.65" customHeight="1">
      <c r="A4899" s="11"/>
      <c r="B4899" s="11"/>
      <c r="C4899" s="11"/>
      <c r="D4899" s="11"/>
      <c r="E4899" s="11"/>
      <c r="F4899" s="11"/>
      <c r="G4899" s="11"/>
      <c r="H4899" s="3"/>
    </row>
    <row r="4900" ht="13.65" customHeight="1">
      <c r="A4900" s="12"/>
      <c r="B4900" s="12"/>
      <c r="C4900" s="13"/>
      <c r="D4900" s="14"/>
      <c r="E4900" s="13"/>
      <c r="F4900" s="13"/>
      <c r="G4900" t="s" s="14">
        <v>252</v>
      </c>
      <c r="H4900" s="150"/>
    </row>
    <row r="4901" ht="13.65" customHeight="1">
      <c r="A4901" t="s" s="16">
        <v>93</v>
      </c>
      <c r="B4901" t="s" s="16">
        <v>94</v>
      </c>
      <c r="C4901" t="s" s="16">
        <v>95</v>
      </c>
      <c r="D4901" t="s" s="16">
        <v>96</v>
      </c>
      <c r="E4901" t="s" s="16">
        <v>97</v>
      </c>
      <c r="F4901" t="s" s="16">
        <v>98</v>
      </c>
      <c r="G4901" t="s" s="16">
        <v>99</v>
      </c>
      <c r="H4901" s="15"/>
    </row>
    <row r="4902" ht="13.65" customHeight="1">
      <c r="A4902" s="151"/>
      <c r="B4902" s="151"/>
      <c r="C4902" s="19"/>
      <c r="D4902" s="20"/>
      <c r="E4902" s="19"/>
      <c r="F4902" s="19"/>
      <c r="G4902" t="s" s="20">
        <v>100</v>
      </c>
      <c r="H4902" s="15"/>
    </row>
    <row r="4903" ht="13.65" customHeight="1">
      <c r="A4903" s="21">
        <v>72</v>
      </c>
      <c r="B4903" t="s" s="22">
        <v>101</v>
      </c>
      <c r="C4903" s="23">
        <v>50</v>
      </c>
      <c r="D4903" t="s" s="24">
        <v>608</v>
      </c>
      <c r="E4903" s="25">
        <v>1.93</v>
      </c>
      <c r="F4903" s="23">
        <v>6.25</v>
      </c>
      <c r="G4903" s="152" cm="1">
        <f t="array" ref="G4903">SUM(E4903/F4903)</f>
        <v>0.3088</v>
      </c>
      <c r="H4903" s="15"/>
    </row>
    <row r="4904" ht="13.65" customHeight="1">
      <c r="A4904" s="21">
        <v>123</v>
      </c>
      <c r="B4904" t="s" s="22">
        <v>103</v>
      </c>
      <c r="C4904" s="23">
        <v>40</v>
      </c>
      <c r="D4904" t="s" s="24">
        <v>274</v>
      </c>
      <c r="E4904" s="25">
        <v>3.2</v>
      </c>
      <c r="F4904" s="23">
        <v>10</v>
      </c>
      <c r="G4904" s="152" cm="1">
        <f t="array" ref="G4904">SUM(E4904/F4904)</f>
        <v>0.32</v>
      </c>
      <c r="H4904" s="15"/>
    </row>
    <row r="4905" ht="13.65" customHeight="1">
      <c r="A4905" s="21">
        <v>57</v>
      </c>
      <c r="B4905" t="s" s="22">
        <v>253</v>
      </c>
      <c r="C4905" t="s" s="24">
        <v>389</v>
      </c>
      <c r="D4905" t="s" s="24">
        <v>371</v>
      </c>
      <c r="E4905" s="25">
        <v>4.5</v>
      </c>
      <c r="F4905" s="23">
        <v>33</v>
      </c>
      <c r="G4905" s="152" cm="1">
        <f t="array" ref="G4905">SUM(E4905/F4905)</f>
        <v>0.136363636363636</v>
      </c>
      <c r="H4905" s="15"/>
    </row>
    <row r="4906" ht="13.65" customHeight="1">
      <c r="A4906" s="21">
        <v>86</v>
      </c>
      <c r="B4906" t="s" s="22">
        <v>107</v>
      </c>
      <c r="C4906" t="s" s="24">
        <v>108</v>
      </c>
      <c r="D4906" t="s" s="24">
        <v>608</v>
      </c>
      <c r="E4906" s="25">
        <v>0.32</v>
      </c>
      <c r="F4906" t="s" s="24">
        <v>825</v>
      </c>
      <c r="G4906" s="152" cm="1">
        <f t="array" ref="G4906">SUM(E4906*8)</f>
        <v>2.56</v>
      </c>
      <c r="H4906" s="15"/>
    </row>
    <row r="4907" ht="13.65" customHeight="1">
      <c r="A4907" s="21">
        <v>71</v>
      </c>
      <c r="B4907" t="s" s="22">
        <v>109</v>
      </c>
      <c r="C4907" s="23">
        <v>10</v>
      </c>
      <c r="D4907" t="s" s="24">
        <v>608</v>
      </c>
      <c r="E4907" s="25">
        <v>5.92</v>
      </c>
      <c r="F4907" s="23">
        <v>1.25</v>
      </c>
      <c r="G4907" s="152" cm="1">
        <f t="array" ref="G4907">SUM(E4907/F4907)</f>
        <v>4.736</v>
      </c>
      <c r="H4907" s="15"/>
    </row>
    <row r="4908" ht="13.65" customHeight="1">
      <c r="A4908" s="21">
        <v>87</v>
      </c>
      <c r="B4908" t="s" s="22">
        <v>110</v>
      </c>
      <c r="C4908" s="23">
        <v>50</v>
      </c>
      <c r="D4908" t="s" s="24">
        <v>608</v>
      </c>
      <c r="E4908" s="25">
        <v>9</v>
      </c>
      <c r="F4908" s="23">
        <v>6.25</v>
      </c>
      <c r="G4908" s="152" cm="1">
        <f t="array" ref="G4908">SUM(E4908/F4908)</f>
        <v>1.44</v>
      </c>
      <c r="H4908" s="15"/>
    </row>
    <row r="4909" ht="13.65" customHeight="1">
      <c r="A4909" s="21">
        <v>55</v>
      </c>
      <c r="B4909" t="s" s="22">
        <v>111</v>
      </c>
      <c r="C4909" t="s" s="24">
        <v>112</v>
      </c>
      <c r="D4909" t="s" s="24">
        <v>651</v>
      </c>
      <c r="E4909" s="25">
        <v>2.71</v>
      </c>
      <c r="F4909" s="23">
        <v>19</v>
      </c>
      <c r="G4909" s="152" cm="1">
        <f t="array" ref="G4909">SUM(E4909/F4909)</f>
        <v>0.142631578947368</v>
      </c>
      <c r="H4909" s="15"/>
    </row>
    <row r="4910" ht="13.65" customHeight="1">
      <c r="A4910" s="21">
        <v>24</v>
      </c>
      <c r="B4910" t="s" s="22">
        <v>531</v>
      </c>
      <c r="C4910" s="23">
        <v>10</v>
      </c>
      <c r="D4910" t="s" s="24">
        <v>256</v>
      </c>
      <c r="E4910" s="25">
        <v>9.6</v>
      </c>
      <c r="F4910" s="23">
        <v>3.33</v>
      </c>
      <c r="G4910" s="152" cm="1">
        <f t="array" ref="G4910">SUM(E4910/F4910)</f>
        <v>2.88288288288288</v>
      </c>
      <c r="H4910" s="15"/>
    </row>
    <row r="4911" ht="13.65" customHeight="1">
      <c r="A4911" s="21">
        <v>19</v>
      </c>
      <c r="B4911" t="s" s="22">
        <v>445</v>
      </c>
      <c r="C4911" s="23">
        <v>6</v>
      </c>
      <c r="D4911" t="s" s="24">
        <v>694</v>
      </c>
      <c r="E4911" s="25">
        <v>5.2</v>
      </c>
      <c r="F4911" s="23">
        <v>10</v>
      </c>
      <c r="G4911" s="152" cm="1">
        <f t="array" ref="G4911">SUM(E4911/F4911)</f>
        <v>0.52</v>
      </c>
      <c r="H4911" s="15"/>
    </row>
    <row r="4912" ht="13.65" customHeight="1">
      <c r="A4912" s="21">
        <v>27</v>
      </c>
      <c r="B4912" t="s" s="22">
        <v>594</v>
      </c>
      <c r="C4912" s="23">
        <v>18</v>
      </c>
      <c r="D4912" t="s" s="24">
        <v>104</v>
      </c>
      <c r="E4912" s="25">
        <v>6.5</v>
      </c>
      <c r="F4912" s="23">
        <v>18</v>
      </c>
      <c r="G4912" s="152" cm="1">
        <f t="array" ref="G4912">SUM(E4912/F4912)</f>
        <v>0.361111111111111</v>
      </c>
      <c r="H4912" s="15"/>
    </row>
    <row r="4913" ht="13.65" customHeight="1">
      <c r="A4913" s="21">
        <v>7</v>
      </c>
      <c r="B4913" t="s" s="22">
        <v>477</v>
      </c>
      <c r="C4913" t="s" s="24">
        <v>478</v>
      </c>
      <c r="D4913" t="s" s="24">
        <v>479</v>
      </c>
      <c r="E4913" s="25">
        <v>14</v>
      </c>
      <c r="F4913" s="23">
        <v>10</v>
      </c>
      <c r="G4913" s="152" cm="1">
        <f t="array" ref="G4913">SUM(E4913/F4913)</f>
        <v>1.4</v>
      </c>
      <c r="H4913" s="15"/>
    </row>
    <row r="4914" ht="13.65" customHeight="1">
      <c r="A4914" s="21">
        <v>68</v>
      </c>
      <c r="B4914" t="s" s="22">
        <v>480</v>
      </c>
      <c r="C4914" t="s" s="24">
        <v>481</v>
      </c>
      <c r="D4914" t="s" s="24">
        <v>597</v>
      </c>
      <c r="E4914" s="25">
        <v>16</v>
      </c>
      <c r="F4914" s="23">
        <v>5</v>
      </c>
      <c r="G4914" s="152" cm="1">
        <f t="array" ref="G4914">SUM(E4914/F4914)</f>
        <v>3.2</v>
      </c>
      <c r="H4914" s="15"/>
    </row>
    <row r="4915" ht="13.65" customHeight="1">
      <c r="A4915" s="21">
        <v>69</v>
      </c>
      <c r="B4915" t="s" s="22">
        <v>598</v>
      </c>
      <c r="C4915" t="s" s="24">
        <v>481</v>
      </c>
      <c r="D4915" t="s" s="24">
        <v>597</v>
      </c>
      <c r="E4915" s="25">
        <v>3.5</v>
      </c>
      <c r="F4915" s="23">
        <v>5</v>
      </c>
      <c r="G4915" s="152" cm="1">
        <f t="array" ref="G4915">SUM(E4915/F4915)</f>
        <v>0.7</v>
      </c>
      <c r="H4915" s="15"/>
    </row>
    <row r="4916" ht="13.65" customHeight="1">
      <c r="A4916" s="21">
        <v>111</v>
      </c>
      <c r="B4916" t="s" s="22">
        <v>476</v>
      </c>
      <c r="C4916" s="23">
        <v>1</v>
      </c>
      <c r="D4916" t="s" s="24">
        <v>401</v>
      </c>
      <c r="E4916" s="25">
        <v>2.7</v>
      </c>
      <c r="F4916" s="23">
        <v>30</v>
      </c>
      <c r="G4916" s="152" cm="1">
        <f t="array" ref="G4916">SUM(E4916/F4916)</f>
        <v>0.09</v>
      </c>
      <c r="H4916" s="15"/>
    </row>
    <row r="4917" ht="13.65" customHeight="1">
      <c r="A4917" s="21">
        <v>102</v>
      </c>
      <c r="B4917" t="s" s="22">
        <v>709</v>
      </c>
      <c r="C4917" s="23">
        <v>1</v>
      </c>
      <c r="D4917" t="s" s="24">
        <v>397</v>
      </c>
      <c r="E4917" s="25">
        <v>2.7</v>
      </c>
      <c r="F4917" s="23">
        <v>50</v>
      </c>
      <c r="G4917" s="152" cm="1">
        <f t="array" ref="G4917">SUM(E4917/F4917)</f>
        <v>0.054</v>
      </c>
      <c r="H4917" s="15"/>
    </row>
    <row r="4918" ht="13.65" customHeight="1">
      <c r="A4918" s="21">
        <v>70</v>
      </c>
      <c r="B4918" t="s" s="22">
        <v>738</v>
      </c>
      <c r="C4918" s="23">
        <v>1</v>
      </c>
      <c r="D4918" t="s" s="24">
        <v>375</v>
      </c>
      <c r="E4918" s="25">
        <v>22</v>
      </c>
      <c r="F4918" s="23">
        <v>2</v>
      </c>
      <c r="G4918" s="152" cm="1">
        <f t="array" ref="G4918">SUM(E4918/F4918)</f>
        <v>11</v>
      </c>
      <c r="H4918" s="15"/>
    </row>
    <row r="4919" ht="13.65" customHeight="1">
      <c r="A4919" s="21">
        <v>98</v>
      </c>
      <c r="B4919" t="s" s="22">
        <v>739</v>
      </c>
      <c r="C4919" t="s" s="24">
        <v>740</v>
      </c>
      <c r="D4919" t="s" s="24">
        <v>397</v>
      </c>
      <c r="E4919" s="25">
        <v>33</v>
      </c>
      <c r="F4919" s="23">
        <v>50</v>
      </c>
      <c r="G4919" s="152" cm="1">
        <f t="array" ref="G4919">SUM(E4919/F4919)</f>
        <v>0.66</v>
      </c>
      <c r="H4919" s="15"/>
    </row>
    <row r="4920" ht="13.65" customHeight="1">
      <c r="A4920" s="21">
        <v>103</v>
      </c>
      <c r="B4920" t="s" s="22">
        <v>114</v>
      </c>
      <c r="C4920" s="23">
        <v>144</v>
      </c>
      <c r="D4920" t="s" s="24">
        <v>104</v>
      </c>
      <c r="E4920" s="25">
        <v>18</v>
      </c>
      <c r="F4920" s="23">
        <v>144</v>
      </c>
      <c r="G4920" s="152" cm="1">
        <f t="array" ref="G4920">SUM(E4920/F4920)</f>
        <v>0.125</v>
      </c>
      <c r="H4920" s="15"/>
    </row>
    <row r="4921" ht="13.65" customHeight="1">
      <c r="A4921" s="21">
        <v>1</v>
      </c>
      <c r="B4921" t="s" s="22">
        <v>840</v>
      </c>
      <c r="C4921" t="s" s="24">
        <v>841</v>
      </c>
      <c r="D4921" t="s" s="24">
        <v>624</v>
      </c>
      <c r="E4921" s="25">
        <v>41</v>
      </c>
      <c r="F4921" s="23">
        <v>50</v>
      </c>
      <c r="G4921" s="152" cm="1">
        <f t="array" ref="G4921">SUM(E4921/F4921)</f>
        <v>0.82</v>
      </c>
      <c r="H4921" s="15"/>
    </row>
    <row r="4922" ht="13.65" customHeight="1">
      <c r="A4922" s="28"/>
      <c r="B4922" s="28"/>
      <c r="C4922" s="27"/>
      <c r="D4922" s="24"/>
      <c r="E4922" s="27"/>
      <c r="F4922" t="s" s="29">
        <v>118</v>
      </c>
      <c r="G4922" s="197" cm="1">
        <f t="array" ref="G4922">SUM(G4903:G4921)</f>
        <v>31.456789209305</v>
      </c>
      <c r="H4922" s="15"/>
    </row>
    <row r="4923" ht="13.65" customHeight="1">
      <c r="A4923" s="129"/>
      <c r="B4923" s="129"/>
      <c r="C4923" s="129"/>
      <c r="D4923" s="129"/>
      <c r="E4923" s="129"/>
      <c r="F4923" s="31"/>
      <c r="G4923" s="31"/>
      <c r="H4923" s="3"/>
    </row>
    <row r="4924" ht="11.7" customHeight="1">
      <c r="A4924" t="s" s="167">
        <v>136</v>
      </c>
      <c r="B4924" t="s" s="167">
        <v>281</v>
      </c>
      <c r="C4924" t="s" s="167">
        <v>282</v>
      </c>
      <c r="D4924" t="s" s="168">
        <v>283</v>
      </c>
      <c r="E4924" s="169"/>
      <c r="F4924" s="170"/>
      <c r="G4924" s="171"/>
      <c r="H4924" s="171"/>
    </row>
    <row r="4925" ht="13.65" customHeight="1">
      <c r="A4925" s="23">
        <v>30</v>
      </c>
      <c r="B4925" s="172" cm="1">
        <f t="array" ref="B4925">SUM(H256)</f>
        <v>2.47496540404041</v>
      </c>
      <c r="C4925" s="172" cm="1">
        <f t="array" ref="C4925">SUM(G4922)</f>
        <v>31.456789209305</v>
      </c>
      <c r="D4925" s="199" cm="1">
        <f t="array" ref="D4925">SUM(A4925*B4925+C4925)</f>
        <v>105.705751330517</v>
      </c>
      <c r="E4925" s="200"/>
      <c r="F4925" s="15"/>
      <c r="G4925" s="3"/>
      <c r="H4925" s="3"/>
    </row>
    <row r="4926" ht="13.65" customHeight="1">
      <c r="A4926" s="31"/>
      <c r="B4926" s="31"/>
      <c r="C4926" s="31"/>
      <c r="D4926" s="31"/>
      <c r="E4926" s="31"/>
      <c r="F4926" s="3"/>
      <c r="G4926" s="3"/>
      <c r="H4926" s="3"/>
    </row>
    <row r="4927" ht="13.65" customHeight="1">
      <c r="A4927" s="3"/>
      <c r="B4927" s="3"/>
      <c r="C4927" s="3"/>
      <c r="D4927" s="3"/>
      <c r="E4927" s="3"/>
      <c r="F4927" s="3"/>
      <c r="G4927" s="3"/>
      <c r="H4927" s="3"/>
    </row>
    <row r="4928" ht="13.65" customHeight="1">
      <c r="A4928" t="s" s="5">
        <v>842</v>
      </c>
      <c r="B4928" s="3"/>
      <c r="C4928" s="3"/>
      <c r="D4928" s="3"/>
      <c r="E4928" s="3"/>
      <c r="F4928" s="3"/>
      <c r="G4928" s="3"/>
      <c r="H4928" s="3"/>
    </row>
    <row r="4929" ht="13.65" customHeight="1">
      <c r="A4929" s="11"/>
      <c r="B4929" s="11"/>
      <c r="C4929" s="11"/>
      <c r="D4929" s="11"/>
      <c r="E4929" s="11"/>
      <c r="F4929" s="11"/>
      <c r="G4929" s="11"/>
      <c r="H4929" s="3"/>
    </row>
    <row r="4930" ht="13.65" customHeight="1">
      <c r="A4930" s="12"/>
      <c r="B4930" s="12"/>
      <c r="C4930" s="13"/>
      <c r="D4930" s="14"/>
      <c r="E4930" s="13"/>
      <c r="F4930" s="13"/>
      <c r="G4930" t="s" s="14">
        <v>252</v>
      </c>
      <c r="H4930" s="150"/>
    </row>
    <row r="4931" ht="13.65" customHeight="1">
      <c r="A4931" t="s" s="16">
        <v>93</v>
      </c>
      <c r="B4931" t="s" s="16">
        <v>94</v>
      </c>
      <c r="C4931" t="s" s="16">
        <v>95</v>
      </c>
      <c r="D4931" t="s" s="16">
        <v>96</v>
      </c>
      <c r="E4931" t="s" s="16">
        <v>97</v>
      </c>
      <c r="F4931" t="s" s="16">
        <v>98</v>
      </c>
      <c r="G4931" t="s" s="16">
        <v>99</v>
      </c>
      <c r="H4931" s="15"/>
    </row>
    <row r="4932" ht="13.65" customHeight="1">
      <c r="A4932" s="151"/>
      <c r="B4932" s="151"/>
      <c r="C4932" s="19"/>
      <c r="D4932" s="20"/>
      <c r="E4932" s="19"/>
      <c r="F4932" s="19"/>
      <c r="G4932" t="s" s="20">
        <v>100</v>
      </c>
      <c r="H4932" s="15"/>
    </row>
    <row r="4933" ht="13.65" customHeight="1">
      <c r="A4933" s="21">
        <v>72</v>
      </c>
      <c r="B4933" t="s" s="22">
        <v>101</v>
      </c>
      <c r="C4933" s="23">
        <v>50</v>
      </c>
      <c r="D4933" t="s" s="24">
        <v>608</v>
      </c>
      <c r="E4933" s="25">
        <v>1.93</v>
      </c>
      <c r="F4933" s="23">
        <v>6.25</v>
      </c>
      <c r="G4933" s="152" cm="1">
        <f t="array" ref="G4933">SUM(E4933/F4933)</f>
        <v>0.3088</v>
      </c>
      <c r="H4933" s="15"/>
    </row>
    <row r="4934" ht="13.65" customHeight="1">
      <c r="A4934" s="21">
        <v>123</v>
      </c>
      <c r="B4934" t="s" s="22">
        <v>103</v>
      </c>
      <c r="C4934" s="23">
        <v>40</v>
      </c>
      <c r="D4934" t="s" s="24">
        <v>274</v>
      </c>
      <c r="E4934" s="25">
        <v>3.2</v>
      </c>
      <c r="F4934" s="23">
        <v>10</v>
      </c>
      <c r="G4934" s="152" cm="1">
        <f t="array" ref="G4934">SUM(E4934/F4934)</f>
        <v>0.32</v>
      </c>
      <c r="H4934" s="15"/>
    </row>
    <row r="4935" ht="13.65" customHeight="1">
      <c r="A4935" s="21">
        <v>55</v>
      </c>
      <c r="B4935" t="s" s="22">
        <v>253</v>
      </c>
      <c r="C4935" t="s" s="24">
        <v>389</v>
      </c>
      <c r="D4935" t="s" s="24">
        <v>371</v>
      </c>
      <c r="E4935" s="25">
        <v>4.5</v>
      </c>
      <c r="F4935" s="23">
        <v>33</v>
      </c>
      <c r="G4935" s="152" cm="1">
        <f t="array" ref="G4935">SUM(E4935/F4935)</f>
        <v>0.136363636363636</v>
      </c>
      <c r="H4935" s="15"/>
    </row>
    <row r="4936" ht="13.65" customHeight="1">
      <c r="A4936" s="21">
        <v>86</v>
      </c>
      <c r="B4936" t="s" s="22">
        <v>107</v>
      </c>
      <c r="C4936" t="s" s="24">
        <v>108</v>
      </c>
      <c r="D4936" t="s" s="24">
        <v>608</v>
      </c>
      <c r="E4936" s="25">
        <v>0.32</v>
      </c>
      <c r="F4936" t="s" s="24">
        <v>825</v>
      </c>
      <c r="G4936" s="152" cm="1">
        <f t="array" ref="G4936">SUM(E4936*8)</f>
        <v>2.56</v>
      </c>
      <c r="H4936" s="15"/>
    </row>
    <row r="4937" ht="13.65" customHeight="1">
      <c r="A4937" s="21">
        <v>71</v>
      </c>
      <c r="B4937" t="s" s="22">
        <v>109</v>
      </c>
      <c r="C4937" s="23">
        <v>10</v>
      </c>
      <c r="D4937" t="s" s="24">
        <v>608</v>
      </c>
      <c r="E4937" s="25">
        <v>5.92</v>
      </c>
      <c r="F4937" s="23">
        <v>1.25</v>
      </c>
      <c r="G4937" s="152" cm="1">
        <f t="array" ref="G4937">SUM(E4937/F4937)</f>
        <v>4.736</v>
      </c>
      <c r="H4937" s="15"/>
    </row>
    <row r="4938" ht="13.65" customHeight="1">
      <c r="A4938" s="21">
        <v>87</v>
      </c>
      <c r="B4938" t="s" s="22">
        <v>110</v>
      </c>
      <c r="C4938" s="23">
        <v>50</v>
      </c>
      <c r="D4938" t="s" s="24">
        <v>608</v>
      </c>
      <c r="E4938" s="25">
        <v>9</v>
      </c>
      <c r="F4938" s="23">
        <v>6.25</v>
      </c>
      <c r="G4938" s="152" cm="1">
        <f t="array" ref="G4938">SUM(E4938/F4938)</f>
        <v>1.44</v>
      </c>
      <c r="H4938" s="15"/>
    </row>
    <row r="4939" ht="13.65" customHeight="1">
      <c r="A4939" s="21">
        <v>55</v>
      </c>
      <c r="B4939" t="s" s="22">
        <v>111</v>
      </c>
      <c r="C4939" t="s" s="24">
        <v>112</v>
      </c>
      <c r="D4939" t="s" s="24">
        <v>651</v>
      </c>
      <c r="E4939" s="25">
        <v>2.71</v>
      </c>
      <c r="F4939" s="23">
        <v>19</v>
      </c>
      <c r="G4939" s="152" cm="1">
        <f t="array" ref="G4939">SUM(E4939/F4939)</f>
        <v>0.142631578947368</v>
      </c>
      <c r="H4939" s="15"/>
    </row>
    <row r="4940" ht="13.65" customHeight="1">
      <c r="A4940" s="21">
        <v>24</v>
      </c>
      <c r="B4940" t="s" s="22">
        <v>531</v>
      </c>
      <c r="C4940" s="23">
        <v>10</v>
      </c>
      <c r="D4940" t="s" s="24">
        <v>256</v>
      </c>
      <c r="E4940" s="25">
        <v>9.6</v>
      </c>
      <c r="F4940" s="23">
        <v>3.33</v>
      </c>
      <c r="G4940" s="152" cm="1">
        <f t="array" ref="G4940">SUM(E4940/F4940)</f>
        <v>2.88288288288288</v>
      </c>
      <c r="H4940" s="15"/>
    </row>
    <row r="4941" ht="13.65" customHeight="1">
      <c r="A4941" s="21">
        <v>111</v>
      </c>
      <c r="B4941" t="s" s="22">
        <v>476</v>
      </c>
      <c r="C4941" s="23">
        <v>1</v>
      </c>
      <c r="D4941" t="s" s="24">
        <v>401</v>
      </c>
      <c r="E4941" s="25">
        <v>2.7</v>
      </c>
      <c r="F4941" s="23">
        <v>30</v>
      </c>
      <c r="G4941" s="152" cm="1">
        <f t="array" ref="G4941">SUM(E4941/F4941)</f>
        <v>0.09</v>
      </c>
      <c r="H4941" s="15"/>
    </row>
    <row r="4942" ht="13.65" customHeight="1">
      <c r="A4942" s="21">
        <v>102</v>
      </c>
      <c r="B4942" t="s" s="22">
        <v>709</v>
      </c>
      <c r="C4942" s="23">
        <v>1</v>
      </c>
      <c r="D4942" t="s" s="24">
        <v>397</v>
      </c>
      <c r="E4942" s="25">
        <v>2.7</v>
      </c>
      <c r="F4942" s="23">
        <v>50</v>
      </c>
      <c r="G4942" s="152" cm="1">
        <f t="array" ref="G4942">SUM(E4942/F4942)</f>
        <v>0.054</v>
      </c>
      <c r="H4942" s="15"/>
    </row>
    <row r="4943" ht="13.65" customHeight="1">
      <c r="A4943" s="21">
        <v>70</v>
      </c>
      <c r="B4943" t="s" s="22">
        <v>738</v>
      </c>
      <c r="C4943" s="23">
        <v>1</v>
      </c>
      <c r="D4943" t="s" s="24">
        <v>104</v>
      </c>
      <c r="E4943" s="25">
        <v>22</v>
      </c>
      <c r="F4943" s="23">
        <v>1</v>
      </c>
      <c r="G4943" s="152" cm="1">
        <f t="array" ref="G4943">SUM(E4943/F4943)</f>
        <v>22</v>
      </c>
      <c r="H4943" s="15"/>
    </row>
    <row r="4944" ht="13.65" customHeight="1">
      <c r="A4944" s="21">
        <v>1</v>
      </c>
      <c r="B4944" t="s" s="22">
        <v>840</v>
      </c>
      <c r="C4944" t="s" s="24">
        <v>841</v>
      </c>
      <c r="D4944" t="s" s="24">
        <v>624</v>
      </c>
      <c r="E4944" s="25">
        <v>41</v>
      </c>
      <c r="F4944" s="23">
        <v>50</v>
      </c>
      <c r="G4944" s="152" cm="1">
        <f t="array" ref="G4944">SUM(E4944/F4944)</f>
        <v>0.82</v>
      </c>
      <c r="H4944" s="15"/>
    </row>
    <row r="4945" ht="13.65" customHeight="1">
      <c r="A4945" s="21">
        <v>131</v>
      </c>
      <c r="B4945" t="s" s="22">
        <v>482</v>
      </c>
      <c r="C4945" s="27"/>
      <c r="D4945" s="24"/>
      <c r="E4945" s="27"/>
      <c r="F4945" s="27"/>
      <c r="G4945" s="152">
        <v>15</v>
      </c>
      <c r="H4945" s="15"/>
    </row>
    <row r="4946" ht="13.65" customHeight="1">
      <c r="A4946" s="28"/>
      <c r="B4946" s="28"/>
      <c r="C4946" s="27"/>
      <c r="D4946" s="24"/>
      <c r="E4946" s="27"/>
      <c r="F4946" t="s" s="29">
        <v>118</v>
      </c>
      <c r="G4946" s="197" cm="1">
        <f t="array" ref="G4946">SUM(G4933:G4945)</f>
        <v>50.4906780981939</v>
      </c>
      <c r="H4946" s="15"/>
    </row>
    <row r="4947" ht="13.65" customHeight="1">
      <c r="A4947" s="31"/>
      <c r="B4947" s="31"/>
      <c r="C4947" s="176"/>
      <c r="D4947" s="177"/>
      <c r="E4947" s="176"/>
      <c r="F4947" s="33"/>
      <c r="G4947" s="309"/>
      <c r="H4947" s="3"/>
    </row>
    <row r="4948" ht="13.65" customHeight="1">
      <c r="A4948" t="s" s="5">
        <v>813</v>
      </c>
      <c r="B4948" s="3"/>
      <c r="C4948" s="3"/>
      <c r="D4948" s="3"/>
      <c r="E4948" s="3"/>
      <c r="F4948" s="3"/>
      <c r="G4948" s="3"/>
      <c r="H4948" s="3"/>
    </row>
    <row r="4949" ht="13.65" customHeight="1">
      <c r="A4949" s="11"/>
      <c r="B4949" s="11"/>
      <c r="C4949" s="11"/>
      <c r="D4949" s="11"/>
      <c r="E4949" s="11"/>
      <c r="F4949" s="11"/>
      <c r="G4949" s="11"/>
      <c r="H4949" s="3"/>
    </row>
    <row r="4950" ht="11.7" customHeight="1">
      <c r="A4950" t="s" s="167">
        <v>136</v>
      </c>
      <c r="B4950" t="s" s="167">
        <v>281</v>
      </c>
      <c r="C4950" t="s" s="167">
        <v>282</v>
      </c>
      <c r="D4950" t="s" s="167">
        <v>118</v>
      </c>
      <c r="E4950" t="s" s="167">
        <v>814</v>
      </c>
      <c r="F4950" t="s" s="167">
        <v>605</v>
      </c>
      <c r="G4950" s="167"/>
      <c r="H4950" s="170"/>
    </row>
    <row r="4951" ht="13.65" customHeight="1">
      <c r="A4951" s="23">
        <v>30</v>
      </c>
      <c r="B4951" s="172" cm="1">
        <f t="array" ref="B4951">SUM(H256)</f>
        <v>2.47496540404041</v>
      </c>
      <c r="C4951" s="172" cm="1">
        <f t="array" ref="C4951">SUM(G4946)</f>
        <v>50.4906780981939</v>
      </c>
      <c r="D4951" s="308" cm="1">
        <f t="array" ref="D4951">SUM(A4951*B4951+C4951)</f>
        <v>124.739640219406</v>
      </c>
      <c r="E4951" s="198" cm="1">
        <f t="array" ref="E4951">SUM(D4951)*0.3</f>
        <v>37.4218920658218</v>
      </c>
      <c r="F4951" s="154" cm="1">
        <f t="array" ref="F4951">SUM(D4951:E4951)</f>
        <v>162.161532285228</v>
      </c>
      <c r="G4951" s="306"/>
      <c r="H4951" s="15"/>
    </row>
    <row r="4952" ht="13.65" customHeight="1">
      <c r="A4952" s="31"/>
      <c r="B4952" s="31"/>
      <c r="C4952" s="31"/>
      <c r="D4952" s="31"/>
      <c r="E4952" s="31"/>
      <c r="F4952" s="31"/>
      <c r="G4952" s="31"/>
      <c r="H4952" s="3"/>
    </row>
    <row r="4953" ht="13.65" customHeight="1">
      <c r="A4953" s="203"/>
      <c r="B4953" s="203"/>
      <c r="C4953" s="203"/>
      <c r="D4953" s="203"/>
      <c r="E4953" s="203"/>
      <c r="F4953" s="203"/>
      <c r="G4953" s="203"/>
      <c r="H4953" s="203"/>
    </row>
    <row r="4954" ht="13.65" customHeight="1">
      <c r="A4954" t="s" s="274">
        <v>185</v>
      </c>
      <c r="B4954" s="275"/>
      <c r="C4954" s="275"/>
      <c r="D4954" s="275"/>
      <c r="E4954" s="280"/>
      <c r="F4954" s="275"/>
      <c r="G4954" s="275"/>
      <c r="H4954" s="277"/>
    </row>
    <row r="4955" ht="13.65" customHeight="1">
      <c r="A4955" s="278"/>
      <c r="B4955" s="278"/>
      <c r="C4955" s="278"/>
      <c r="D4955" s="278"/>
      <c r="E4955" s="278"/>
      <c r="F4955" s="278"/>
      <c r="G4955" s="278"/>
      <c r="H4955" s="278"/>
    </row>
    <row r="4956" ht="13.65" customHeight="1">
      <c r="A4956" s="3"/>
      <c r="B4956" s="3"/>
      <c r="C4956" s="3"/>
      <c r="D4956" s="3"/>
      <c r="E4956" s="3"/>
      <c r="F4956" s="3"/>
      <c r="G4956" s="3"/>
      <c r="H4956" s="3"/>
    </row>
    <row r="4957" ht="13.65" customHeight="1">
      <c r="A4957" t="s" s="5">
        <v>843</v>
      </c>
      <c r="B4957" s="3"/>
      <c r="C4957" s="3"/>
      <c r="D4957" s="3"/>
      <c r="E4957" s="3"/>
      <c r="F4957" s="3"/>
      <c r="G4957" s="3"/>
      <c r="H4957" s="3"/>
    </row>
    <row r="4958" ht="13.65" customHeight="1">
      <c r="A4958" s="11"/>
      <c r="B4958" s="11"/>
      <c r="C4958" s="11"/>
      <c r="D4958" s="11"/>
      <c r="E4958" s="11"/>
      <c r="F4958" s="11"/>
      <c r="G4958" s="11"/>
      <c r="H4958" s="3"/>
    </row>
    <row r="4959" ht="13.65" customHeight="1">
      <c r="A4959" s="12"/>
      <c r="B4959" s="12"/>
      <c r="C4959" s="13"/>
      <c r="D4959" s="14"/>
      <c r="E4959" s="13"/>
      <c r="F4959" s="13"/>
      <c r="G4959" t="s" s="14">
        <v>252</v>
      </c>
      <c r="H4959" s="150"/>
    </row>
    <row r="4960" ht="13.65" customHeight="1">
      <c r="A4960" t="s" s="16">
        <v>93</v>
      </c>
      <c r="B4960" t="s" s="16">
        <v>94</v>
      </c>
      <c r="C4960" t="s" s="16">
        <v>95</v>
      </c>
      <c r="D4960" t="s" s="16">
        <v>96</v>
      </c>
      <c r="E4960" t="s" s="16">
        <v>97</v>
      </c>
      <c r="F4960" t="s" s="16">
        <v>98</v>
      </c>
      <c r="G4960" t="s" s="16">
        <v>99</v>
      </c>
      <c r="H4960" s="15"/>
    </row>
    <row r="4961" ht="13.65" customHeight="1">
      <c r="A4961" s="151"/>
      <c r="B4961" s="151"/>
      <c r="C4961" s="19"/>
      <c r="D4961" s="20"/>
      <c r="E4961" s="19"/>
      <c r="F4961" s="19"/>
      <c r="G4961" t="s" s="20">
        <v>100</v>
      </c>
      <c r="H4961" s="15"/>
    </row>
    <row r="4962" ht="13.65" customHeight="1">
      <c r="A4962" s="21">
        <v>72</v>
      </c>
      <c r="B4962" t="s" s="22">
        <v>101</v>
      </c>
      <c r="C4962" s="23">
        <v>50</v>
      </c>
      <c r="D4962" t="s" s="24">
        <v>608</v>
      </c>
      <c r="E4962" s="25">
        <v>1.93</v>
      </c>
      <c r="F4962" s="23">
        <v>6.25</v>
      </c>
      <c r="G4962" s="152" cm="1">
        <f t="array" ref="G4962">SUM(E4962/F4962)</f>
        <v>0.3088</v>
      </c>
      <c r="H4962" s="15"/>
    </row>
    <row r="4963" ht="13.65" customHeight="1">
      <c r="A4963" s="21">
        <v>123</v>
      </c>
      <c r="B4963" t="s" s="22">
        <v>103</v>
      </c>
      <c r="C4963" s="23">
        <v>40</v>
      </c>
      <c r="D4963" t="s" s="24">
        <v>274</v>
      </c>
      <c r="E4963" s="25">
        <v>3.2</v>
      </c>
      <c r="F4963" s="23">
        <v>10</v>
      </c>
      <c r="G4963" s="152" cm="1">
        <f t="array" ref="G4963">SUM(E4963/F4963)</f>
        <v>0.32</v>
      </c>
      <c r="H4963" s="15"/>
    </row>
    <row r="4964" ht="13.65" customHeight="1">
      <c r="A4964" s="21">
        <v>57</v>
      </c>
      <c r="B4964" t="s" s="22">
        <v>253</v>
      </c>
      <c r="C4964" t="s" s="24">
        <v>389</v>
      </c>
      <c r="D4964" t="s" s="24">
        <v>371</v>
      </c>
      <c r="E4964" s="25">
        <v>4.5</v>
      </c>
      <c r="F4964" s="23">
        <v>33</v>
      </c>
      <c r="G4964" s="152" cm="1">
        <f t="array" ref="G4964">SUM(E4964/F4964)</f>
        <v>0.136363636363636</v>
      </c>
      <c r="H4964" s="15"/>
    </row>
    <row r="4965" ht="13.65" customHeight="1">
      <c r="A4965" s="21">
        <v>86</v>
      </c>
      <c r="B4965" t="s" s="22">
        <v>107</v>
      </c>
      <c r="C4965" t="s" s="24">
        <v>108</v>
      </c>
      <c r="D4965" t="s" s="24">
        <v>608</v>
      </c>
      <c r="E4965" s="25">
        <v>0.32</v>
      </c>
      <c r="F4965" t="s" s="24">
        <v>825</v>
      </c>
      <c r="G4965" s="152" cm="1">
        <f t="array" ref="G4965">SUM(E4965*8)</f>
        <v>2.56</v>
      </c>
      <c r="H4965" s="15"/>
    </row>
    <row r="4966" ht="13.65" customHeight="1">
      <c r="A4966" s="21">
        <v>71</v>
      </c>
      <c r="B4966" t="s" s="22">
        <v>109</v>
      </c>
      <c r="C4966" s="23">
        <v>10</v>
      </c>
      <c r="D4966" t="s" s="24">
        <v>608</v>
      </c>
      <c r="E4966" s="25">
        <v>5.92</v>
      </c>
      <c r="F4966" s="23">
        <v>1.25</v>
      </c>
      <c r="G4966" s="152" cm="1">
        <f t="array" ref="G4966">SUM(E4966/F4966)</f>
        <v>4.736</v>
      </c>
      <c r="H4966" s="15"/>
    </row>
    <row r="4967" ht="13.65" customHeight="1">
      <c r="A4967" s="21">
        <v>87</v>
      </c>
      <c r="B4967" t="s" s="22">
        <v>110</v>
      </c>
      <c r="C4967" s="23">
        <v>50</v>
      </c>
      <c r="D4967" t="s" s="24">
        <v>608</v>
      </c>
      <c r="E4967" s="25">
        <v>9</v>
      </c>
      <c r="F4967" s="23">
        <v>6.25</v>
      </c>
      <c r="G4967" s="152" cm="1">
        <f t="array" ref="G4967">SUM(E4967/F4967)</f>
        <v>1.44</v>
      </c>
      <c r="H4967" s="15"/>
    </row>
    <row r="4968" ht="13.65" customHeight="1">
      <c r="A4968" s="21">
        <v>55</v>
      </c>
      <c r="B4968" t="s" s="22">
        <v>111</v>
      </c>
      <c r="C4968" t="s" s="24">
        <v>112</v>
      </c>
      <c r="D4968" t="s" s="24">
        <v>651</v>
      </c>
      <c r="E4968" s="25">
        <v>2.71</v>
      </c>
      <c r="F4968" s="23">
        <v>19</v>
      </c>
      <c r="G4968" s="152" cm="1">
        <f t="array" ref="G4968">SUM(E4968/F4968)</f>
        <v>0.142631578947368</v>
      </c>
      <c r="H4968" s="15"/>
    </row>
    <row r="4969" ht="13.65" customHeight="1">
      <c r="A4969" s="21">
        <v>24</v>
      </c>
      <c r="B4969" t="s" s="22">
        <v>531</v>
      </c>
      <c r="C4969" s="23">
        <v>10</v>
      </c>
      <c r="D4969" t="s" s="24">
        <v>256</v>
      </c>
      <c r="E4969" s="25">
        <v>9.6</v>
      </c>
      <c r="F4969" s="23">
        <v>3.33</v>
      </c>
      <c r="G4969" s="152" cm="1">
        <f t="array" ref="G4969">SUM(E4969/F4969)</f>
        <v>2.88288288288288</v>
      </c>
      <c r="H4969" s="15"/>
    </row>
    <row r="4970" ht="13.65" customHeight="1">
      <c r="A4970" s="21">
        <v>19</v>
      </c>
      <c r="B4970" t="s" s="22">
        <v>445</v>
      </c>
      <c r="C4970" s="23">
        <v>6</v>
      </c>
      <c r="D4970" t="s" s="24">
        <v>694</v>
      </c>
      <c r="E4970" s="25">
        <v>5.2</v>
      </c>
      <c r="F4970" s="23">
        <v>10</v>
      </c>
      <c r="G4970" s="152" cm="1">
        <f t="array" ref="G4970">SUM(E4970/F4970)</f>
        <v>0.52</v>
      </c>
      <c r="H4970" s="15"/>
    </row>
    <row r="4971" ht="13.65" customHeight="1">
      <c r="A4971" s="21">
        <v>27</v>
      </c>
      <c r="B4971" t="s" s="22">
        <v>594</v>
      </c>
      <c r="C4971" s="23">
        <v>18</v>
      </c>
      <c r="D4971" t="s" s="24">
        <v>104</v>
      </c>
      <c r="E4971" s="25">
        <v>6.5</v>
      </c>
      <c r="F4971" s="23">
        <v>18</v>
      </c>
      <c r="G4971" s="152" cm="1">
        <f t="array" ref="G4971">SUM(E4971/F4971)</f>
        <v>0.361111111111111</v>
      </c>
      <c r="H4971" s="15"/>
    </row>
    <row r="4972" ht="13.65" customHeight="1">
      <c r="A4972" s="21">
        <v>7</v>
      </c>
      <c r="B4972" t="s" s="22">
        <v>477</v>
      </c>
      <c r="C4972" t="s" s="24">
        <v>478</v>
      </c>
      <c r="D4972" t="s" s="24">
        <v>479</v>
      </c>
      <c r="E4972" s="25">
        <v>14</v>
      </c>
      <c r="F4972" s="23">
        <v>10</v>
      </c>
      <c r="G4972" s="152" cm="1">
        <f t="array" ref="G4972">SUM(E4972/F4972)</f>
        <v>1.4</v>
      </c>
      <c r="H4972" s="15"/>
    </row>
    <row r="4973" ht="13.65" customHeight="1">
      <c r="A4973" s="21">
        <v>68</v>
      </c>
      <c r="B4973" t="s" s="22">
        <v>480</v>
      </c>
      <c r="C4973" t="s" s="24">
        <v>481</v>
      </c>
      <c r="D4973" t="s" s="24">
        <v>597</v>
      </c>
      <c r="E4973" s="25">
        <v>16</v>
      </c>
      <c r="F4973" s="23">
        <v>5</v>
      </c>
      <c r="G4973" s="152" cm="1">
        <f t="array" ref="G4973">SUM(E4973/F4973)</f>
        <v>3.2</v>
      </c>
      <c r="H4973" s="15"/>
    </row>
    <row r="4974" ht="13.65" customHeight="1">
      <c r="A4974" s="21">
        <v>69</v>
      </c>
      <c r="B4974" t="s" s="22">
        <v>598</v>
      </c>
      <c r="C4974" t="s" s="24">
        <v>481</v>
      </c>
      <c r="D4974" t="s" s="24">
        <v>597</v>
      </c>
      <c r="E4974" s="25">
        <v>3.5</v>
      </c>
      <c r="F4974" s="23">
        <v>5</v>
      </c>
      <c r="G4974" s="152" cm="1">
        <f t="array" ref="G4974">SUM(E4974/F4974)</f>
        <v>0.7</v>
      </c>
      <c r="H4974" s="15"/>
    </row>
    <row r="4975" ht="13.65" customHeight="1">
      <c r="A4975" s="21">
        <v>48</v>
      </c>
      <c r="B4975" t="s" s="22">
        <v>710</v>
      </c>
      <c r="C4975" s="23">
        <v>1</v>
      </c>
      <c r="D4975" t="s" s="24">
        <v>375</v>
      </c>
      <c r="E4975" s="25">
        <v>1</v>
      </c>
      <c r="F4975" s="23">
        <v>2</v>
      </c>
      <c r="G4975" s="152" cm="1">
        <f t="array" ref="G4975">SUM(E4975/F4975)</f>
        <v>0.5</v>
      </c>
      <c r="H4975" s="15"/>
    </row>
    <row r="4976" ht="13.65" customHeight="1">
      <c r="A4976" s="21">
        <v>124</v>
      </c>
      <c r="B4976" t="s" s="22">
        <v>372</v>
      </c>
      <c r="C4976" s="23">
        <v>1</v>
      </c>
      <c r="D4976" t="s" s="24">
        <v>373</v>
      </c>
      <c r="E4976" s="25">
        <v>2.2</v>
      </c>
      <c r="F4976" s="23">
        <v>15</v>
      </c>
      <c r="G4976" s="152" cm="1">
        <f t="array" ref="G4976">SUM(E4976/F4976)</f>
        <v>0.146666666666667</v>
      </c>
      <c r="H4976" s="15"/>
    </row>
    <row r="4977" ht="13.65" customHeight="1">
      <c r="A4977" s="21">
        <v>101</v>
      </c>
      <c r="B4977" t="s" s="22">
        <v>407</v>
      </c>
      <c r="C4977" t="s" s="24">
        <v>380</v>
      </c>
      <c r="D4977" t="s" s="24">
        <v>537</v>
      </c>
      <c r="E4977" s="25">
        <v>7.5</v>
      </c>
      <c r="F4977" s="23">
        <v>25</v>
      </c>
      <c r="G4977" s="152" cm="1">
        <f t="array" ref="G4977">SUM(E4977/F4977)</f>
        <v>0.3</v>
      </c>
      <c r="H4977" s="15"/>
    </row>
    <row r="4978" ht="13.65" customHeight="1">
      <c r="A4978" s="21">
        <v>111</v>
      </c>
      <c r="B4978" t="s" s="22">
        <v>476</v>
      </c>
      <c r="C4978" s="23">
        <v>1</v>
      </c>
      <c r="D4978" t="s" s="24">
        <v>401</v>
      </c>
      <c r="E4978" s="25">
        <v>2.7</v>
      </c>
      <c r="F4978" s="23">
        <v>30</v>
      </c>
      <c r="G4978" s="152" cm="1">
        <f t="array" ref="G4978">SUM(E4978/F4978)</f>
        <v>0.09</v>
      </c>
      <c r="H4978" s="15"/>
    </row>
    <row r="4979" ht="13.65" customHeight="1">
      <c r="A4979" s="21">
        <v>102</v>
      </c>
      <c r="B4979" t="s" s="22">
        <v>709</v>
      </c>
      <c r="C4979" s="23">
        <v>1</v>
      </c>
      <c r="D4979" t="s" s="24">
        <v>397</v>
      </c>
      <c r="E4979" s="25">
        <v>2.7</v>
      </c>
      <c r="F4979" s="23">
        <v>50</v>
      </c>
      <c r="G4979" s="152" cm="1">
        <f t="array" ref="G4979">SUM(E4979/F4979)</f>
        <v>0.054</v>
      </c>
      <c r="H4979" s="15"/>
    </row>
    <row r="4980" ht="13.65" customHeight="1">
      <c r="A4980" s="21">
        <v>70</v>
      </c>
      <c r="B4980" t="s" s="22">
        <v>738</v>
      </c>
      <c r="C4980" s="23">
        <v>1</v>
      </c>
      <c r="D4980" t="s" s="24">
        <v>375</v>
      </c>
      <c r="E4980" s="25">
        <v>22</v>
      </c>
      <c r="F4980" s="23">
        <v>2</v>
      </c>
      <c r="G4980" s="152" cm="1">
        <f t="array" ref="G4980">SUM(E4980/F4980)</f>
        <v>11</v>
      </c>
      <c r="H4980" s="15"/>
    </row>
    <row r="4981" ht="13.65" customHeight="1">
      <c r="A4981" s="21">
        <v>98</v>
      </c>
      <c r="B4981" t="s" s="22">
        <v>739</v>
      </c>
      <c r="C4981" t="s" s="24">
        <v>740</v>
      </c>
      <c r="D4981" t="s" s="24">
        <v>397</v>
      </c>
      <c r="E4981" s="25">
        <v>33</v>
      </c>
      <c r="F4981" s="23">
        <v>50</v>
      </c>
      <c r="G4981" s="152" cm="1">
        <f t="array" ref="G4981">SUM(E4981/F4981)</f>
        <v>0.66</v>
      </c>
      <c r="H4981" s="15"/>
    </row>
    <row r="4982" ht="13.65" customHeight="1">
      <c r="A4982" s="21">
        <v>28</v>
      </c>
      <c r="B4982" t="s" s="22">
        <v>475</v>
      </c>
      <c r="C4982" s="23">
        <v>6</v>
      </c>
      <c r="D4982" t="s" s="24">
        <v>375</v>
      </c>
      <c r="E4982" s="25">
        <v>6</v>
      </c>
      <c r="F4982" s="23">
        <v>12</v>
      </c>
      <c r="G4982" s="152" cm="1">
        <f t="array" ref="G4982">SUM(E4982/F4982)</f>
        <v>0.5</v>
      </c>
      <c r="H4982" s="15"/>
    </row>
    <row r="4983" ht="13.65" customHeight="1">
      <c r="A4983" s="21">
        <v>47</v>
      </c>
      <c r="B4983" t="s" s="22">
        <v>829</v>
      </c>
      <c r="C4983" s="23">
        <v>1</v>
      </c>
      <c r="D4983" t="s" s="24">
        <v>375</v>
      </c>
      <c r="E4983" s="25">
        <v>0.61</v>
      </c>
      <c r="F4983" s="23">
        <v>2</v>
      </c>
      <c r="G4983" s="152" cm="1">
        <f t="array" ref="G4983">SUM(E4983/F4983)</f>
        <v>0.305</v>
      </c>
      <c r="H4983" s="15"/>
    </row>
    <row r="4984" ht="13.65" customHeight="1">
      <c r="A4984" s="21">
        <v>131</v>
      </c>
      <c r="B4984" t="s" s="22">
        <v>482</v>
      </c>
      <c r="C4984" s="27"/>
      <c r="D4984" s="24"/>
      <c r="E4984" s="27"/>
      <c r="F4984" s="27"/>
      <c r="G4984" s="152">
        <v>45</v>
      </c>
      <c r="H4984" s="15"/>
    </row>
    <row r="4985" ht="13.65" customHeight="1">
      <c r="A4985" s="28"/>
      <c r="B4985" s="28"/>
      <c r="C4985" s="27"/>
      <c r="D4985" s="24"/>
      <c r="E4985" s="27"/>
      <c r="F4985" t="s" s="29">
        <v>118</v>
      </c>
      <c r="G4985" s="197" cm="1">
        <f t="array" ref="G4985">SUM(G4962:G4984)</f>
        <v>77.2634558759717</v>
      </c>
      <c r="H4985" s="15"/>
    </row>
    <row r="4986" ht="13.65" customHeight="1">
      <c r="A4986" s="129"/>
      <c r="B4986" s="129"/>
      <c r="C4986" s="129"/>
      <c r="D4986" s="129"/>
      <c r="E4986" s="129"/>
      <c r="F4986" s="31"/>
      <c r="G4986" s="31"/>
      <c r="H4986" s="3"/>
    </row>
    <row r="4987" ht="11.7" customHeight="1">
      <c r="A4987" t="s" s="167">
        <v>136</v>
      </c>
      <c r="B4987" t="s" s="167">
        <v>281</v>
      </c>
      <c r="C4987" t="s" s="167">
        <v>282</v>
      </c>
      <c r="D4987" t="s" s="168">
        <v>283</v>
      </c>
      <c r="E4987" s="169"/>
      <c r="F4987" s="170"/>
      <c r="G4987" s="171"/>
      <c r="H4987" s="171"/>
    </row>
    <row r="4988" ht="13.65" customHeight="1">
      <c r="A4988" s="23">
        <v>60</v>
      </c>
      <c r="B4988" s="172" cm="1">
        <f t="array" ref="B4988">SUM(H256)</f>
        <v>2.47496540404041</v>
      </c>
      <c r="C4988" s="172" cm="1">
        <f t="array" ref="C4988">SUM(G4985)</f>
        <v>77.2634558759717</v>
      </c>
      <c r="D4988" s="199" cm="1">
        <f t="array" ref="D4988">SUM(A4988*B4988+C4988)</f>
        <v>225.761380118396</v>
      </c>
      <c r="E4988" s="200"/>
      <c r="F4988" s="15"/>
      <c r="G4988" s="3"/>
      <c r="H4988" s="3"/>
    </row>
    <row r="4989" ht="13.65" customHeight="1">
      <c r="A4989" s="31"/>
      <c r="B4989" s="31"/>
      <c r="C4989" s="31"/>
      <c r="D4989" s="31"/>
      <c r="E4989" s="31"/>
      <c r="F4989" s="3"/>
      <c r="G4989" s="3"/>
      <c r="H4989" s="3"/>
    </row>
    <row r="4990" ht="13.65" customHeight="1">
      <c r="A4990" s="203"/>
      <c r="B4990" s="203"/>
      <c r="C4990" s="203"/>
      <c r="D4990" s="203"/>
      <c r="E4990" s="203"/>
      <c r="F4990" s="203"/>
      <c r="G4990" s="203"/>
      <c r="H4990" s="203"/>
    </row>
    <row r="4991" ht="13.65" customHeight="1">
      <c r="A4991" t="s" s="274">
        <v>284</v>
      </c>
      <c r="B4991" s="275"/>
      <c r="C4991" s="275"/>
      <c r="D4991" s="275"/>
      <c r="E4991" s="280"/>
      <c r="F4991" s="275"/>
      <c r="G4991" s="275"/>
      <c r="H4991" s="277"/>
    </row>
    <row r="4992" ht="13.65" customHeight="1">
      <c r="A4992" s="278"/>
      <c r="B4992" s="278"/>
      <c r="C4992" s="278"/>
      <c r="D4992" s="278"/>
      <c r="E4992" s="278"/>
      <c r="F4992" s="278"/>
      <c r="G4992" s="278"/>
      <c r="H4992" s="278"/>
    </row>
    <row r="4993" ht="13.65" customHeight="1">
      <c r="A4993" s="3"/>
      <c r="B4993" s="3"/>
      <c r="C4993" s="3"/>
      <c r="D4993" s="3"/>
      <c r="E4993" s="3"/>
      <c r="F4993" s="3"/>
      <c r="G4993" s="3"/>
      <c r="H4993" s="3"/>
    </row>
    <row r="4994" ht="13.65" customHeight="1">
      <c r="A4994" t="s" s="5">
        <v>844</v>
      </c>
      <c r="B4994" s="3"/>
      <c r="C4994" s="3"/>
      <c r="D4994" s="3"/>
      <c r="E4994" s="3"/>
      <c r="F4994" s="3"/>
      <c r="G4994" s="3"/>
      <c r="H4994" s="3"/>
    </row>
    <row r="4995" ht="13.65" customHeight="1">
      <c r="A4995" s="11"/>
      <c r="B4995" s="11"/>
      <c r="C4995" s="11"/>
      <c r="D4995" s="11"/>
      <c r="E4995" s="11"/>
      <c r="F4995" s="11"/>
      <c r="G4995" s="11"/>
      <c r="H4995" s="3"/>
    </row>
    <row r="4996" ht="13.65" customHeight="1">
      <c r="A4996" s="12"/>
      <c r="B4996" s="12"/>
      <c r="C4996" s="13"/>
      <c r="D4996" s="14"/>
      <c r="E4996" s="13"/>
      <c r="F4996" s="13"/>
      <c r="G4996" t="s" s="14">
        <v>252</v>
      </c>
      <c r="H4996" s="150"/>
    </row>
    <row r="4997" ht="13.65" customHeight="1">
      <c r="A4997" t="s" s="16">
        <v>93</v>
      </c>
      <c r="B4997" t="s" s="16">
        <v>94</v>
      </c>
      <c r="C4997" t="s" s="16">
        <v>95</v>
      </c>
      <c r="D4997" t="s" s="16">
        <v>96</v>
      </c>
      <c r="E4997" t="s" s="16">
        <v>97</v>
      </c>
      <c r="F4997" t="s" s="16">
        <v>98</v>
      </c>
      <c r="G4997" t="s" s="16">
        <v>99</v>
      </c>
      <c r="H4997" s="15"/>
    </row>
    <row r="4998" ht="13.65" customHeight="1">
      <c r="A4998" s="151"/>
      <c r="B4998" s="151"/>
      <c r="C4998" s="19"/>
      <c r="D4998" s="20"/>
      <c r="E4998" s="19"/>
      <c r="F4998" s="19"/>
      <c r="G4998" t="s" s="20">
        <v>100</v>
      </c>
      <c r="H4998" s="15"/>
    </row>
    <row r="4999" ht="13.65" customHeight="1">
      <c r="A4999" s="21">
        <v>72</v>
      </c>
      <c r="B4999" t="s" s="22">
        <v>101</v>
      </c>
      <c r="C4999" s="23">
        <v>50</v>
      </c>
      <c r="D4999" t="s" s="24">
        <v>608</v>
      </c>
      <c r="E4999" s="25">
        <v>1.93</v>
      </c>
      <c r="F4999" s="23">
        <v>6.25</v>
      </c>
      <c r="G4999" s="152" cm="1">
        <f t="array" ref="G4999">SUM(E4999/F4999)</f>
        <v>0.3088</v>
      </c>
      <c r="H4999" s="15"/>
    </row>
    <row r="5000" ht="13.65" customHeight="1">
      <c r="A5000" s="21">
        <v>123</v>
      </c>
      <c r="B5000" t="s" s="22">
        <v>103</v>
      </c>
      <c r="C5000" s="23">
        <v>40</v>
      </c>
      <c r="D5000" t="s" s="24">
        <v>274</v>
      </c>
      <c r="E5000" s="25">
        <v>3.2</v>
      </c>
      <c r="F5000" s="23">
        <v>10</v>
      </c>
      <c r="G5000" s="152" cm="1">
        <f t="array" ref="G5000">SUM(E5000/F5000)</f>
        <v>0.32</v>
      </c>
      <c r="H5000" s="15"/>
    </row>
    <row r="5001" ht="13.65" customHeight="1">
      <c r="A5001" s="21">
        <v>57</v>
      </c>
      <c r="B5001" t="s" s="22">
        <v>253</v>
      </c>
      <c r="C5001" t="s" s="24">
        <v>389</v>
      </c>
      <c r="D5001" t="s" s="24">
        <v>371</v>
      </c>
      <c r="E5001" s="25">
        <v>4.5</v>
      </c>
      <c r="F5001" s="23">
        <v>33</v>
      </c>
      <c r="G5001" s="152" cm="1">
        <f t="array" ref="G5001">SUM(E5001/F5001)</f>
        <v>0.136363636363636</v>
      </c>
      <c r="H5001" s="15"/>
    </row>
    <row r="5002" ht="13.65" customHeight="1">
      <c r="A5002" s="21">
        <v>86</v>
      </c>
      <c r="B5002" t="s" s="22">
        <v>107</v>
      </c>
      <c r="C5002" t="s" s="24">
        <v>108</v>
      </c>
      <c r="D5002" t="s" s="24">
        <v>608</v>
      </c>
      <c r="E5002" s="25">
        <v>0.32</v>
      </c>
      <c r="F5002" t="s" s="24">
        <v>825</v>
      </c>
      <c r="G5002" s="152" cm="1">
        <f t="array" ref="G5002">SUM(E5002*8)</f>
        <v>2.56</v>
      </c>
      <c r="H5002" s="15"/>
    </row>
    <row r="5003" ht="13.65" customHeight="1">
      <c r="A5003" s="21">
        <v>71</v>
      </c>
      <c r="B5003" t="s" s="22">
        <v>109</v>
      </c>
      <c r="C5003" s="23">
        <v>10</v>
      </c>
      <c r="D5003" t="s" s="24">
        <v>608</v>
      </c>
      <c r="E5003" s="25">
        <v>5.92</v>
      </c>
      <c r="F5003" s="23">
        <v>1.25</v>
      </c>
      <c r="G5003" s="152" cm="1">
        <f t="array" ref="G5003">SUM(E5003/F5003)</f>
        <v>4.736</v>
      </c>
      <c r="H5003" s="15"/>
    </row>
    <row r="5004" ht="13.65" customHeight="1">
      <c r="A5004" s="21">
        <v>87</v>
      </c>
      <c r="B5004" t="s" s="22">
        <v>110</v>
      </c>
      <c r="C5004" s="23">
        <v>50</v>
      </c>
      <c r="D5004" t="s" s="24">
        <v>608</v>
      </c>
      <c r="E5004" s="25">
        <v>9</v>
      </c>
      <c r="F5004" s="23">
        <v>6.25</v>
      </c>
      <c r="G5004" s="152" cm="1">
        <f t="array" ref="G5004">SUM(E5004/F5004)</f>
        <v>1.44</v>
      </c>
      <c r="H5004" s="15"/>
    </row>
    <row r="5005" ht="13.65" customHeight="1">
      <c r="A5005" s="21">
        <v>55</v>
      </c>
      <c r="B5005" t="s" s="22">
        <v>111</v>
      </c>
      <c r="C5005" t="s" s="24">
        <v>112</v>
      </c>
      <c r="D5005" t="s" s="24">
        <v>651</v>
      </c>
      <c r="E5005" s="25">
        <v>2.71</v>
      </c>
      <c r="F5005" s="23">
        <v>19</v>
      </c>
      <c r="G5005" s="152" cm="1">
        <f t="array" ref="G5005">SUM(E5005/F5005)</f>
        <v>0.142631578947368</v>
      </c>
      <c r="H5005" s="15"/>
    </row>
    <row r="5006" ht="13.65" customHeight="1">
      <c r="A5006" s="21">
        <v>24</v>
      </c>
      <c r="B5006" t="s" s="22">
        <v>531</v>
      </c>
      <c r="C5006" s="23">
        <v>10</v>
      </c>
      <c r="D5006" t="s" s="24">
        <v>256</v>
      </c>
      <c r="E5006" s="25">
        <v>9.6</v>
      </c>
      <c r="F5006" s="23">
        <v>3.33</v>
      </c>
      <c r="G5006" s="152" cm="1">
        <f t="array" ref="G5006">SUM(E5006/F5006)</f>
        <v>2.88288288288288</v>
      </c>
      <c r="H5006" s="15"/>
    </row>
    <row r="5007" ht="13.65" customHeight="1">
      <c r="A5007" s="21">
        <v>70</v>
      </c>
      <c r="B5007" t="s" s="22">
        <v>738</v>
      </c>
      <c r="C5007" s="23">
        <v>1</v>
      </c>
      <c r="D5007" t="s" s="24">
        <v>375</v>
      </c>
      <c r="E5007" s="25">
        <v>22</v>
      </c>
      <c r="F5007" s="23">
        <v>2</v>
      </c>
      <c r="G5007" s="152" cm="1">
        <f t="array" ref="G5007">SUM(E5007/F5007)</f>
        <v>11</v>
      </c>
      <c r="H5007" s="15"/>
    </row>
    <row r="5008" ht="13.65" customHeight="1">
      <c r="A5008" s="21">
        <v>98</v>
      </c>
      <c r="B5008" t="s" s="22">
        <v>739</v>
      </c>
      <c r="C5008" t="s" s="24">
        <v>740</v>
      </c>
      <c r="D5008" t="s" s="24">
        <v>397</v>
      </c>
      <c r="E5008" s="25">
        <v>33</v>
      </c>
      <c r="F5008" s="23">
        <v>50</v>
      </c>
      <c r="G5008" s="152" cm="1">
        <f t="array" ref="G5008">SUM(E5008/F5008)</f>
        <v>0.66</v>
      </c>
      <c r="H5008" s="15"/>
    </row>
    <row r="5009" ht="13.65" customHeight="1">
      <c r="A5009" s="21">
        <v>27</v>
      </c>
      <c r="B5009" t="s" s="22">
        <v>594</v>
      </c>
      <c r="C5009" s="23">
        <v>18</v>
      </c>
      <c r="D5009" t="s" s="24">
        <v>104</v>
      </c>
      <c r="E5009" s="25">
        <v>6.5</v>
      </c>
      <c r="F5009" s="23">
        <v>18</v>
      </c>
      <c r="G5009" s="152" cm="1">
        <f t="array" ref="G5009">SUM(E5009/F5009)</f>
        <v>0.361111111111111</v>
      </c>
      <c r="H5009" s="15"/>
    </row>
    <row r="5010" ht="13.65" customHeight="1">
      <c r="A5010" s="21">
        <v>7</v>
      </c>
      <c r="B5010" t="s" s="22">
        <v>477</v>
      </c>
      <c r="C5010" t="s" s="24">
        <v>478</v>
      </c>
      <c r="D5010" t="s" s="24">
        <v>479</v>
      </c>
      <c r="E5010" s="25">
        <v>14</v>
      </c>
      <c r="F5010" s="23">
        <v>10</v>
      </c>
      <c r="G5010" s="152" cm="1">
        <f t="array" ref="G5010">SUM(E5010/F5010)</f>
        <v>1.4</v>
      </c>
      <c r="H5010" s="15"/>
    </row>
    <row r="5011" ht="13.65" customHeight="1">
      <c r="A5011" s="21">
        <v>68</v>
      </c>
      <c r="B5011" t="s" s="22">
        <v>480</v>
      </c>
      <c r="C5011" t="s" s="24">
        <v>481</v>
      </c>
      <c r="D5011" t="s" s="24">
        <v>597</v>
      </c>
      <c r="E5011" s="25">
        <v>16</v>
      </c>
      <c r="F5011" s="23">
        <v>5</v>
      </c>
      <c r="G5011" s="152" cm="1">
        <f t="array" ref="G5011">SUM(E5011/F5011)</f>
        <v>3.2</v>
      </c>
      <c r="H5011" s="15"/>
    </row>
    <row r="5012" ht="13.65" customHeight="1">
      <c r="A5012" s="21">
        <v>69</v>
      </c>
      <c r="B5012" t="s" s="22">
        <v>598</v>
      </c>
      <c r="C5012" t="s" s="24">
        <v>481</v>
      </c>
      <c r="D5012" t="s" s="24">
        <v>597</v>
      </c>
      <c r="E5012" s="25">
        <v>3.5</v>
      </c>
      <c r="F5012" s="23">
        <v>5</v>
      </c>
      <c r="G5012" s="152" cm="1">
        <f t="array" ref="G5012">SUM(E5012/F5012)</f>
        <v>0.7</v>
      </c>
      <c r="H5012" s="15"/>
    </row>
    <row r="5013" ht="13.65" customHeight="1">
      <c r="A5013" s="21">
        <v>102</v>
      </c>
      <c r="B5013" t="s" s="22">
        <v>709</v>
      </c>
      <c r="C5013" s="23">
        <v>1</v>
      </c>
      <c r="D5013" t="s" s="24">
        <v>397</v>
      </c>
      <c r="E5013" s="25">
        <v>2.7</v>
      </c>
      <c r="F5013" s="23">
        <v>50</v>
      </c>
      <c r="G5013" s="152" cm="1">
        <f t="array" ref="G5013">SUM(E5013/F5013)</f>
        <v>0.054</v>
      </c>
      <c r="H5013" s="15"/>
    </row>
    <row r="5014" ht="13.65" customHeight="1">
      <c r="A5014" s="21">
        <v>131</v>
      </c>
      <c r="B5014" t="s" s="22">
        <v>482</v>
      </c>
      <c r="C5014" s="27"/>
      <c r="D5014" s="24"/>
      <c r="E5014" s="27"/>
      <c r="F5014" s="27"/>
      <c r="G5014" s="152">
        <v>60</v>
      </c>
      <c r="H5014" s="15"/>
    </row>
    <row r="5015" ht="13.65" customHeight="1">
      <c r="A5015" s="28"/>
      <c r="B5015" s="28"/>
      <c r="C5015" s="27"/>
      <c r="D5015" s="24"/>
      <c r="E5015" s="27"/>
      <c r="F5015" t="s" s="29">
        <v>118</v>
      </c>
      <c r="G5015" s="197" cm="1">
        <f t="array" ref="G5015">SUM(G4999:G5014)</f>
        <v>89.90178920930499</v>
      </c>
      <c r="H5015" s="15"/>
    </row>
    <row r="5016" ht="13.65" customHeight="1">
      <c r="A5016" s="129"/>
      <c r="B5016" s="129"/>
      <c r="C5016" s="129"/>
      <c r="D5016" s="129"/>
      <c r="E5016" s="129"/>
      <c r="F5016" s="31"/>
      <c r="G5016" s="31"/>
      <c r="H5016" s="3"/>
    </row>
    <row r="5017" ht="11.7" customHeight="1">
      <c r="A5017" t="s" s="167">
        <v>136</v>
      </c>
      <c r="B5017" t="s" s="167">
        <v>281</v>
      </c>
      <c r="C5017" t="s" s="167">
        <v>282</v>
      </c>
      <c r="D5017" t="s" s="168">
        <v>283</v>
      </c>
      <c r="E5017" s="169"/>
      <c r="F5017" s="170"/>
      <c r="G5017" s="171"/>
      <c r="H5017" s="171"/>
    </row>
    <row r="5018" ht="13.65" customHeight="1">
      <c r="A5018" s="23">
        <v>70</v>
      </c>
      <c r="B5018" s="172" cm="1">
        <f t="array" ref="B5018">SUM(H256)</f>
        <v>2.47496540404041</v>
      </c>
      <c r="C5018" s="172" cm="1">
        <f t="array" ref="C5018">SUM(G5015)</f>
        <v>89.90178920930499</v>
      </c>
      <c r="D5018" s="199" cm="1">
        <f t="array" ref="D5018">SUM(A5018*B5018+C5018)</f>
        <v>263.149367492134</v>
      </c>
      <c r="E5018" s="200"/>
      <c r="F5018" s="15"/>
      <c r="G5018" s="3"/>
      <c r="H5018" s="3"/>
    </row>
    <row r="5019" ht="13.65" customHeight="1">
      <c r="A5019" s="31"/>
      <c r="B5019" s="31"/>
      <c r="C5019" s="31"/>
      <c r="D5019" s="31"/>
      <c r="E5019" s="31"/>
      <c r="F5019" s="3"/>
      <c r="G5019" s="3"/>
      <c r="H5019" s="3"/>
    </row>
    <row r="5020" ht="13.65" customHeight="1">
      <c r="A5020" s="3"/>
      <c r="B5020" s="3"/>
      <c r="C5020" s="3"/>
      <c r="D5020" s="3"/>
      <c r="E5020" s="3"/>
      <c r="F5020" s="3"/>
      <c r="G5020" s="3"/>
      <c r="H5020" s="3"/>
    </row>
    <row r="5021" ht="13.65" customHeight="1">
      <c r="A5021" t="s" s="5">
        <v>845</v>
      </c>
      <c r="B5021" s="3"/>
      <c r="C5021" s="3"/>
      <c r="D5021" s="3"/>
      <c r="E5021" s="3"/>
      <c r="F5021" s="3"/>
      <c r="G5021" s="3"/>
      <c r="H5021" s="3"/>
    </row>
    <row r="5022" ht="13.65" customHeight="1">
      <c r="A5022" s="11"/>
      <c r="B5022" s="11"/>
      <c r="C5022" s="11"/>
      <c r="D5022" s="11"/>
      <c r="E5022" s="11"/>
      <c r="F5022" s="11"/>
      <c r="G5022" s="11"/>
      <c r="H5022" s="3"/>
    </row>
    <row r="5023" ht="13.65" customHeight="1">
      <c r="A5023" s="12"/>
      <c r="B5023" s="12"/>
      <c r="C5023" s="13"/>
      <c r="D5023" s="14"/>
      <c r="E5023" s="13"/>
      <c r="F5023" s="13"/>
      <c r="G5023" t="s" s="14">
        <v>252</v>
      </c>
      <c r="H5023" s="150"/>
    </row>
    <row r="5024" ht="13.65" customHeight="1">
      <c r="A5024" t="s" s="16">
        <v>93</v>
      </c>
      <c r="B5024" t="s" s="16">
        <v>94</v>
      </c>
      <c r="C5024" t="s" s="16">
        <v>95</v>
      </c>
      <c r="D5024" t="s" s="16">
        <v>96</v>
      </c>
      <c r="E5024" t="s" s="16">
        <v>97</v>
      </c>
      <c r="F5024" t="s" s="16">
        <v>98</v>
      </c>
      <c r="G5024" t="s" s="16">
        <v>99</v>
      </c>
      <c r="H5024" s="15"/>
    </row>
    <row r="5025" ht="13.65" customHeight="1">
      <c r="A5025" s="151"/>
      <c r="B5025" s="151"/>
      <c r="C5025" s="19"/>
      <c r="D5025" s="20"/>
      <c r="E5025" s="19"/>
      <c r="F5025" s="19"/>
      <c r="G5025" t="s" s="20">
        <v>100</v>
      </c>
      <c r="H5025" s="15"/>
    </row>
    <row r="5026" ht="13.65" customHeight="1">
      <c r="A5026" s="21">
        <v>72</v>
      </c>
      <c r="B5026" t="s" s="22">
        <v>101</v>
      </c>
      <c r="C5026" s="23">
        <v>50</v>
      </c>
      <c r="D5026" t="s" s="24">
        <v>608</v>
      </c>
      <c r="E5026" s="25">
        <v>1.93</v>
      </c>
      <c r="F5026" s="23">
        <v>6.25</v>
      </c>
      <c r="G5026" s="152" cm="1">
        <f t="array" ref="G5026">SUM(E5026/F5026)</f>
        <v>0.3088</v>
      </c>
      <c r="H5026" s="15"/>
    </row>
    <row r="5027" ht="13.65" customHeight="1">
      <c r="A5027" s="21">
        <v>123</v>
      </c>
      <c r="B5027" t="s" s="22">
        <v>103</v>
      </c>
      <c r="C5027" s="23">
        <v>40</v>
      </c>
      <c r="D5027" t="s" s="24">
        <v>274</v>
      </c>
      <c r="E5027" s="25">
        <v>3.2</v>
      </c>
      <c r="F5027" s="23">
        <v>10</v>
      </c>
      <c r="G5027" s="152" cm="1">
        <f t="array" ref="G5027">SUM(E5027/F5027)</f>
        <v>0.32</v>
      </c>
      <c r="H5027" s="15"/>
    </row>
    <row r="5028" ht="13.65" customHeight="1">
      <c r="A5028" s="21">
        <v>57</v>
      </c>
      <c r="B5028" t="s" s="22">
        <v>253</v>
      </c>
      <c r="C5028" t="s" s="24">
        <v>389</v>
      </c>
      <c r="D5028" t="s" s="24">
        <v>371</v>
      </c>
      <c r="E5028" s="25">
        <v>4.5</v>
      </c>
      <c r="F5028" s="23">
        <v>33</v>
      </c>
      <c r="G5028" s="152" cm="1">
        <f t="array" ref="G5028">SUM(E5028/F5028)</f>
        <v>0.136363636363636</v>
      </c>
      <c r="H5028" s="15"/>
    </row>
    <row r="5029" ht="13.65" customHeight="1">
      <c r="A5029" s="21">
        <v>86</v>
      </c>
      <c r="B5029" t="s" s="22">
        <v>107</v>
      </c>
      <c r="C5029" t="s" s="24">
        <v>108</v>
      </c>
      <c r="D5029" t="s" s="24">
        <v>608</v>
      </c>
      <c r="E5029" s="25">
        <v>0.32</v>
      </c>
      <c r="F5029" t="s" s="24">
        <v>825</v>
      </c>
      <c r="G5029" s="152" cm="1">
        <f t="array" ref="G5029">SUM(E5029*8)</f>
        <v>2.56</v>
      </c>
      <c r="H5029" s="15"/>
    </row>
    <row r="5030" ht="13.65" customHeight="1">
      <c r="A5030" s="21">
        <v>71</v>
      </c>
      <c r="B5030" t="s" s="22">
        <v>109</v>
      </c>
      <c r="C5030" s="23">
        <v>10</v>
      </c>
      <c r="D5030" t="s" s="24">
        <v>608</v>
      </c>
      <c r="E5030" s="25">
        <v>5.92</v>
      </c>
      <c r="F5030" s="23">
        <v>1.25</v>
      </c>
      <c r="G5030" s="152" cm="1">
        <f t="array" ref="G5030">SUM(E5030/F5030)</f>
        <v>4.736</v>
      </c>
      <c r="H5030" s="15"/>
    </row>
    <row r="5031" ht="13.65" customHeight="1">
      <c r="A5031" s="21">
        <v>87</v>
      </c>
      <c r="B5031" t="s" s="22">
        <v>110</v>
      </c>
      <c r="C5031" s="23">
        <v>50</v>
      </c>
      <c r="D5031" t="s" s="24">
        <v>608</v>
      </c>
      <c r="E5031" s="25">
        <v>9</v>
      </c>
      <c r="F5031" s="23">
        <v>6.25</v>
      </c>
      <c r="G5031" s="152" cm="1">
        <f t="array" ref="G5031">SUM(E5031/F5031)</f>
        <v>1.44</v>
      </c>
      <c r="H5031" s="15"/>
    </row>
    <row r="5032" ht="13.65" customHeight="1">
      <c r="A5032" s="21">
        <v>55</v>
      </c>
      <c r="B5032" t="s" s="22">
        <v>111</v>
      </c>
      <c r="C5032" t="s" s="24">
        <v>112</v>
      </c>
      <c r="D5032" t="s" s="24">
        <v>651</v>
      </c>
      <c r="E5032" s="25">
        <v>2.71</v>
      </c>
      <c r="F5032" s="23">
        <v>19</v>
      </c>
      <c r="G5032" s="152" cm="1">
        <f t="array" ref="G5032">SUM(E5032/F5032)</f>
        <v>0.142631578947368</v>
      </c>
      <c r="H5032" s="15"/>
    </row>
    <row r="5033" ht="13.65" customHeight="1">
      <c r="A5033" s="21">
        <v>24</v>
      </c>
      <c r="B5033" t="s" s="22">
        <v>531</v>
      </c>
      <c r="C5033" s="23">
        <v>10</v>
      </c>
      <c r="D5033" t="s" s="24">
        <v>256</v>
      </c>
      <c r="E5033" s="25">
        <v>9.6</v>
      </c>
      <c r="F5033" s="23">
        <v>3.33</v>
      </c>
      <c r="G5033" s="152" cm="1">
        <f t="array" ref="G5033">SUM(E5033/F5033)</f>
        <v>2.88288288288288</v>
      </c>
      <c r="H5033" s="15"/>
    </row>
    <row r="5034" ht="13.65" customHeight="1">
      <c r="A5034" s="21">
        <v>27</v>
      </c>
      <c r="B5034" t="s" s="22">
        <v>594</v>
      </c>
      <c r="C5034" s="23">
        <v>18</v>
      </c>
      <c r="D5034" t="s" s="24">
        <v>104</v>
      </c>
      <c r="E5034" s="25">
        <v>6.5</v>
      </c>
      <c r="F5034" s="23">
        <v>18</v>
      </c>
      <c r="G5034" s="152" cm="1">
        <f t="array" ref="G5034">SUM(E5034/F5034)</f>
        <v>0.361111111111111</v>
      </c>
      <c r="H5034" s="15"/>
    </row>
    <row r="5035" ht="13.65" customHeight="1">
      <c r="A5035" s="21">
        <v>7</v>
      </c>
      <c r="B5035" t="s" s="22">
        <v>477</v>
      </c>
      <c r="C5035" t="s" s="24">
        <v>478</v>
      </c>
      <c r="D5035" t="s" s="24">
        <v>479</v>
      </c>
      <c r="E5035" s="25">
        <v>14</v>
      </c>
      <c r="F5035" s="23">
        <v>10</v>
      </c>
      <c r="G5035" s="152" cm="1">
        <f t="array" ref="G5035">SUM(E5035/F5035)</f>
        <v>1.4</v>
      </c>
      <c r="H5035" s="15"/>
    </row>
    <row r="5036" ht="13.65" customHeight="1">
      <c r="A5036" s="21">
        <v>68</v>
      </c>
      <c r="B5036" t="s" s="22">
        <v>480</v>
      </c>
      <c r="C5036" t="s" s="24">
        <v>481</v>
      </c>
      <c r="D5036" t="s" s="24">
        <v>597</v>
      </c>
      <c r="E5036" s="25">
        <v>16</v>
      </c>
      <c r="F5036" s="23">
        <v>5</v>
      </c>
      <c r="G5036" s="152" cm="1">
        <f t="array" ref="G5036">SUM(E5036/F5036)</f>
        <v>3.2</v>
      </c>
      <c r="H5036" s="15"/>
    </row>
    <row r="5037" ht="13.65" customHeight="1">
      <c r="A5037" s="21">
        <v>69</v>
      </c>
      <c r="B5037" t="s" s="22">
        <v>598</v>
      </c>
      <c r="C5037" t="s" s="24">
        <v>481</v>
      </c>
      <c r="D5037" t="s" s="24">
        <v>597</v>
      </c>
      <c r="E5037" s="25">
        <v>3.5</v>
      </c>
      <c r="F5037" s="23">
        <v>5</v>
      </c>
      <c r="G5037" s="152" cm="1">
        <f t="array" ref="G5037">SUM(E5037/F5037)</f>
        <v>0.7</v>
      </c>
      <c r="H5037" s="15"/>
    </row>
    <row r="5038" ht="13.65" customHeight="1">
      <c r="A5038" s="21">
        <v>101</v>
      </c>
      <c r="B5038" t="s" s="22">
        <v>407</v>
      </c>
      <c r="C5038" t="s" s="24">
        <v>380</v>
      </c>
      <c r="D5038" t="s" s="24">
        <v>537</v>
      </c>
      <c r="E5038" s="25">
        <v>7.5</v>
      </c>
      <c r="F5038" s="23">
        <v>25</v>
      </c>
      <c r="G5038" s="152" cm="1">
        <f t="array" ref="G5038">SUM(E5038/F5038)</f>
        <v>0.3</v>
      </c>
      <c r="H5038" s="15"/>
    </row>
    <row r="5039" ht="13.65" customHeight="1">
      <c r="A5039" s="21">
        <v>102</v>
      </c>
      <c r="B5039" t="s" s="22">
        <v>709</v>
      </c>
      <c r="C5039" s="23">
        <v>1</v>
      </c>
      <c r="D5039" t="s" s="24">
        <v>397</v>
      </c>
      <c r="E5039" s="25">
        <v>2.7</v>
      </c>
      <c r="F5039" s="23">
        <v>50</v>
      </c>
      <c r="G5039" s="152" cm="1">
        <f t="array" ref="G5039">SUM(E5039/F5039)</f>
        <v>0.054</v>
      </c>
      <c r="H5039" s="15"/>
    </row>
    <row r="5040" ht="13.65" customHeight="1">
      <c r="A5040" s="21">
        <v>70</v>
      </c>
      <c r="B5040" t="s" s="22">
        <v>738</v>
      </c>
      <c r="C5040" s="23">
        <v>1</v>
      </c>
      <c r="D5040" t="s" s="24">
        <v>104</v>
      </c>
      <c r="E5040" s="25">
        <v>22</v>
      </c>
      <c r="F5040" s="23">
        <v>1</v>
      </c>
      <c r="G5040" s="152" cm="1">
        <f t="array" ref="G5040">SUM(E5040/F5040)</f>
        <v>22</v>
      </c>
      <c r="H5040" s="15"/>
    </row>
    <row r="5041" ht="13.65" customHeight="1">
      <c r="A5041" s="21">
        <v>98</v>
      </c>
      <c r="B5041" t="s" s="22">
        <v>739</v>
      </c>
      <c r="C5041" t="s" s="24">
        <v>740</v>
      </c>
      <c r="D5041" t="s" s="24">
        <v>397</v>
      </c>
      <c r="E5041" s="25">
        <v>33</v>
      </c>
      <c r="F5041" s="23">
        <v>50</v>
      </c>
      <c r="G5041" s="152" cm="1">
        <f t="array" ref="G5041">SUM(E5041/F5041)</f>
        <v>0.66</v>
      </c>
      <c r="H5041" s="15"/>
    </row>
    <row r="5042" ht="13.65" customHeight="1">
      <c r="A5042" s="21">
        <v>1</v>
      </c>
      <c r="B5042" t="s" s="22">
        <v>840</v>
      </c>
      <c r="C5042" t="s" s="24">
        <v>841</v>
      </c>
      <c r="D5042" t="s" s="24">
        <v>624</v>
      </c>
      <c r="E5042" s="25">
        <v>41</v>
      </c>
      <c r="F5042" s="23">
        <v>50</v>
      </c>
      <c r="G5042" s="152" cm="1">
        <f t="array" ref="G5042">SUM(E5042/F5042)</f>
        <v>0.82</v>
      </c>
      <c r="H5042" s="15"/>
    </row>
    <row r="5043" ht="13.65" customHeight="1">
      <c r="A5043" s="28"/>
      <c r="B5043" s="28"/>
      <c r="C5043" s="27"/>
      <c r="D5043" s="24"/>
      <c r="E5043" s="27"/>
      <c r="F5043" t="s" s="29">
        <v>118</v>
      </c>
      <c r="G5043" s="197" cm="1">
        <f t="array" ref="G5043">SUM(G5026:G5042)</f>
        <v>42.021789209305</v>
      </c>
      <c r="H5043" s="15"/>
    </row>
    <row r="5044" ht="13.65" customHeight="1">
      <c r="A5044" s="129"/>
      <c r="B5044" s="129"/>
      <c r="C5044" s="129"/>
      <c r="D5044" s="129"/>
      <c r="E5044" s="129"/>
      <c r="F5044" s="31"/>
      <c r="G5044" s="31"/>
      <c r="H5044" s="3"/>
    </row>
    <row r="5045" ht="11.7" customHeight="1">
      <c r="A5045" t="s" s="167">
        <v>136</v>
      </c>
      <c r="B5045" t="s" s="167">
        <v>281</v>
      </c>
      <c r="C5045" t="s" s="167">
        <v>282</v>
      </c>
      <c r="D5045" t="s" s="168">
        <v>283</v>
      </c>
      <c r="E5045" s="169"/>
      <c r="F5045" s="170"/>
      <c r="G5045" s="171"/>
      <c r="H5045" s="171"/>
    </row>
    <row r="5046" ht="13.65" customHeight="1">
      <c r="A5046" s="23">
        <v>30</v>
      </c>
      <c r="B5046" s="172" cm="1">
        <f t="array" ref="B5046">SUM(H256)</f>
        <v>2.47496540404041</v>
      </c>
      <c r="C5046" s="172" cm="1">
        <f t="array" ref="C5046">SUM(G5043)</f>
        <v>42.021789209305</v>
      </c>
      <c r="D5046" s="199" cm="1">
        <f t="array" ref="D5046">SUM(A5046*B5046+C5046)</f>
        <v>116.270751330517</v>
      </c>
      <c r="E5046" s="200"/>
      <c r="F5046" s="15"/>
      <c r="G5046" s="3"/>
      <c r="H5046" s="3"/>
    </row>
    <row r="5047" ht="13.65" customHeight="1">
      <c r="A5047" s="31"/>
      <c r="B5047" s="31"/>
      <c r="C5047" s="31"/>
      <c r="D5047" s="31"/>
      <c r="E5047" s="31"/>
      <c r="F5047" s="3"/>
      <c r="G5047" s="3"/>
      <c r="H5047" s="3"/>
    </row>
    <row r="5048" ht="13.65" customHeight="1">
      <c r="A5048" s="203"/>
      <c r="B5048" s="203"/>
      <c r="C5048" s="203"/>
      <c r="D5048" s="203"/>
      <c r="E5048" s="203"/>
      <c r="F5048" s="203"/>
      <c r="G5048" s="203"/>
      <c r="H5048" s="203"/>
    </row>
    <row r="5049" ht="13.65" customHeight="1">
      <c r="A5049" t="s" s="274">
        <v>284</v>
      </c>
      <c r="B5049" s="275"/>
      <c r="C5049" s="275"/>
      <c r="D5049" s="275"/>
      <c r="E5049" s="280"/>
      <c r="F5049" s="275"/>
      <c r="G5049" s="275"/>
      <c r="H5049" s="277"/>
    </row>
    <row r="5050" ht="13.65" customHeight="1">
      <c r="A5050" s="278"/>
      <c r="B5050" s="278"/>
      <c r="C5050" s="278"/>
      <c r="D5050" s="278"/>
      <c r="E5050" s="278"/>
      <c r="F5050" s="278"/>
      <c r="G5050" s="278"/>
      <c r="H5050" s="278"/>
    </row>
    <row r="5051" ht="13.65" customHeight="1">
      <c r="A5051" s="3"/>
      <c r="B5051" s="3"/>
      <c r="C5051" s="3"/>
      <c r="D5051" s="3"/>
      <c r="E5051" s="3"/>
      <c r="F5051" s="3"/>
      <c r="G5051" s="3"/>
      <c r="H5051" s="3"/>
    </row>
    <row r="5052" ht="13.65" customHeight="1">
      <c r="A5052" t="s" s="5">
        <v>846</v>
      </c>
      <c r="B5052" s="3"/>
      <c r="C5052" s="3"/>
      <c r="D5052" s="3"/>
      <c r="E5052" s="3"/>
      <c r="F5052" s="3"/>
      <c r="G5052" s="3"/>
      <c r="H5052" s="3"/>
    </row>
    <row r="5053" ht="13.65" customHeight="1">
      <c r="A5053" s="11"/>
      <c r="B5053" s="11"/>
      <c r="C5053" s="11"/>
      <c r="D5053" s="11"/>
      <c r="E5053" s="11"/>
      <c r="F5053" s="11"/>
      <c r="G5053" s="11"/>
      <c r="H5053" s="3"/>
    </row>
    <row r="5054" ht="13.65" customHeight="1">
      <c r="A5054" s="12"/>
      <c r="B5054" s="12"/>
      <c r="C5054" s="13"/>
      <c r="D5054" s="14"/>
      <c r="E5054" s="13"/>
      <c r="F5054" s="13"/>
      <c r="G5054" t="s" s="14">
        <v>252</v>
      </c>
      <c r="H5054" s="150"/>
    </row>
    <row r="5055" ht="13.65" customHeight="1">
      <c r="A5055" t="s" s="16">
        <v>93</v>
      </c>
      <c r="B5055" t="s" s="16">
        <v>94</v>
      </c>
      <c r="C5055" t="s" s="16">
        <v>95</v>
      </c>
      <c r="D5055" t="s" s="16">
        <v>96</v>
      </c>
      <c r="E5055" t="s" s="16">
        <v>97</v>
      </c>
      <c r="F5055" t="s" s="16">
        <v>98</v>
      </c>
      <c r="G5055" t="s" s="16">
        <v>99</v>
      </c>
      <c r="H5055" s="15"/>
    </row>
    <row r="5056" ht="13.65" customHeight="1">
      <c r="A5056" s="151"/>
      <c r="B5056" s="151"/>
      <c r="C5056" s="19"/>
      <c r="D5056" s="20"/>
      <c r="E5056" s="19"/>
      <c r="F5056" s="19"/>
      <c r="G5056" t="s" s="20">
        <v>100</v>
      </c>
      <c r="H5056" s="15"/>
    </row>
    <row r="5057" ht="13.65" customHeight="1">
      <c r="A5057" s="21">
        <v>72</v>
      </c>
      <c r="B5057" t="s" s="22">
        <v>101</v>
      </c>
      <c r="C5057" s="23">
        <v>50</v>
      </c>
      <c r="D5057" t="s" s="24">
        <v>102</v>
      </c>
      <c r="E5057" s="25">
        <v>1.93</v>
      </c>
      <c r="F5057" s="23">
        <v>25</v>
      </c>
      <c r="G5057" s="152" cm="1">
        <f t="array" ref="G5057">SUM(E5057/F5057)</f>
        <v>0.0772</v>
      </c>
      <c r="H5057" s="15"/>
    </row>
    <row r="5058" ht="13.65" customHeight="1">
      <c r="A5058" s="21">
        <v>123</v>
      </c>
      <c r="B5058" t="s" s="22">
        <v>103</v>
      </c>
      <c r="C5058" s="23">
        <v>40</v>
      </c>
      <c r="D5058" t="s" s="24">
        <v>104</v>
      </c>
      <c r="E5058" s="25">
        <v>3.2</v>
      </c>
      <c r="F5058" s="23">
        <v>40</v>
      </c>
      <c r="G5058" s="152" cm="1">
        <f t="array" ref="G5058">SUM(E5058/F5058)</f>
        <v>0.08</v>
      </c>
      <c r="H5058" s="15"/>
    </row>
    <row r="5059" ht="13.65" customHeight="1">
      <c r="A5059" s="21">
        <v>86</v>
      </c>
      <c r="B5059" t="s" s="22">
        <v>107</v>
      </c>
      <c r="C5059" t="s" s="24">
        <v>108</v>
      </c>
      <c r="D5059" t="s" s="24">
        <v>102</v>
      </c>
      <c r="E5059" s="25">
        <v>0.32</v>
      </c>
      <c r="F5059" t="s" s="24">
        <v>387</v>
      </c>
      <c r="G5059" s="152" cm="1">
        <f t="array" ref="G5059">SUM(E5059*2)</f>
        <v>0.64</v>
      </c>
      <c r="H5059" s="15"/>
    </row>
    <row r="5060" ht="13.65" customHeight="1">
      <c r="A5060" s="21">
        <v>71</v>
      </c>
      <c r="B5060" t="s" s="22">
        <v>109</v>
      </c>
      <c r="C5060" s="23">
        <v>10</v>
      </c>
      <c r="D5060" t="s" s="24">
        <v>102</v>
      </c>
      <c r="E5060" s="25">
        <v>5.92</v>
      </c>
      <c r="F5060" s="23">
        <v>5</v>
      </c>
      <c r="G5060" s="152" cm="1">
        <f t="array" ref="G5060">SUM(E5060/F5060)</f>
        <v>1.184</v>
      </c>
      <c r="H5060" s="15"/>
    </row>
    <row r="5061" ht="13.65" customHeight="1">
      <c r="A5061" s="21">
        <v>87</v>
      </c>
      <c r="B5061" t="s" s="22">
        <v>110</v>
      </c>
      <c r="C5061" s="23">
        <v>50</v>
      </c>
      <c r="D5061" t="s" s="24">
        <v>102</v>
      </c>
      <c r="E5061" s="25">
        <v>9</v>
      </c>
      <c r="F5061" s="23">
        <v>25</v>
      </c>
      <c r="G5061" s="152" cm="1">
        <f t="array" ref="G5061">SUM(E5061/F5061)</f>
        <v>0.36</v>
      </c>
      <c r="H5061" s="15"/>
    </row>
    <row r="5062" ht="13.65" customHeight="1">
      <c r="A5062" s="21">
        <v>55</v>
      </c>
      <c r="B5062" t="s" s="22">
        <v>111</v>
      </c>
      <c r="C5062" t="s" s="24">
        <v>112</v>
      </c>
      <c r="D5062" t="s" s="24">
        <v>113</v>
      </c>
      <c r="E5062" s="25">
        <v>2.71</v>
      </c>
      <c r="F5062" s="23">
        <v>75</v>
      </c>
      <c r="G5062" s="152" cm="1">
        <f t="array" ref="G5062">SUM(E5062/F5062)</f>
        <v>0.0361333333333333</v>
      </c>
      <c r="H5062" s="15"/>
    </row>
    <row r="5063" ht="13.65" customHeight="1">
      <c r="A5063" s="21">
        <v>24</v>
      </c>
      <c r="B5063" t="s" s="22">
        <v>531</v>
      </c>
      <c r="C5063" s="23">
        <v>10</v>
      </c>
      <c r="D5063" t="s" s="24">
        <v>104</v>
      </c>
      <c r="E5063" s="25">
        <v>9.6</v>
      </c>
      <c r="F5063" s="23">
        <v>10</v>
      </c>
      <c r="G5063" s="152" cm="1">
        <f t="array" ref="G5063">SUM(E5063/F5063)</f>
        <v>0.96</v>
      </c>
      <c r="H5063" s="15"/>
    </row>
    <row r="5064" ht="13.65" customHeight="1">
      <c r="A5064" s="21">
        <v>101</v>
      </c>
      <c r="B5064" t="s" s="22">
        <v>407</v>
      </c>
      <c r="C5064" t="s" s="24">
        <v>380</v>
      </c>
      <c r="D5064" t="s" s="24">
        <v>537</v>
      </c>
      <c r="E5064" s="25">
        <v>7.5</v>
      </c>
      <c r="F5064" s="23">
        <v>25</v>
      </c>
      <c r="G5064" s="152" cm="1">
        <f t="array" ref="G5064">SUM(E5064/F5064)</f>
        <v>0.3</v>
      </c>
      <c r="H5064" s="15"/>
    </row>
    <row r="5065" ht="13.65" customHeight="1">
      <c r="A5065" s="21">
        <v>111</v>
      </c>
      <c r="B5065" t="s" s="22">
        <v>476</v>
      </c>
      <c r="C5065" s="23">
        <v>1</v>
      </c>
      <c r="D5065" t="s" s="24">
        <v>401</v>
      </c>
      <c r="E5065" s="25">
        <v>2.7</v>
      </c>
      <c r="F5065" s="23">
        <v>30</v>
      </c>
      <c r="G5065" s="152" cm="1">
        <f t="array" ref="G5065">SUM(E5065/F5065)</f>
        <v>0.09</v>
      </c>
      <c r="H5065" s="15"/>
    </row>
    <row r="5066" ht="13.65" customHeight="1">
      <c r="A5066" s="21">
        <v>49</v>
      </c>
      <c r="B5066" t="s" s="22">
        <v>596</v>
      </c>
      <c r="C5066" s="23">
        <v>120</v>
      </c>
      <c r="D5066" t="s" s="24">
        <v>256</v>
      </c>
      <c r="E5066" s="25">
        <v>132</v>
      </c>
      <c r="F5066" s="23">
        <v>40</v>
      </c>
      <c r="G5066" s="152" cm="1">
        <f t="array" ref="G5066">SUM(E5066/F5066)</f>
        <v>3.3</v>
      </c>
      <c r="H5066" s="15"/>
    </row>
    <row r="5067" ht="13.65" customHeight="1">
      <c r="A5067" s="21">
        <v>48</v>
      </c>
      <c r="B5067" t="s" s="22">
        <v>601</v>
      </c>
      <c r="C5067" s="23">
        <v>1</v>
      </c>
      <c r="D5067" t="s" s="24">
        <v>375</v>
      </c>
      <c r="E5067" s="25">
        <v>1</v>
      </c>
      <c r="F5067" s="23">
        <v>2</v>
      </c>
      <c r="G5067" s="152" cm="1">
        <f t="array" ref="G5067">SUM(E5067/F5067)</f>
        <v>0.5</v>
      </c>
      <c r="H5067" s="15"/>
    </row>
    <row r="5068" ht="13.65" customHeight="1">
      <c r="A5068" s="21">
        <v>102</v>
      </c>
      <c r="B5068" t="s" s="22">
        <v>709</v>
      </c>
      <c r="C5068" s="23">
        <v>1</v>
      </c>
      <c r="D5068" t="s" s="24">
        <v>397</v>
      </c>
      <c r="E5068" s="25">
        <v>2.7</v>
      </c>
      <c r="F5068" s="23">
        <v>50</v>
      </c>
      <c r="G5068" s="152" cm="1">
        <f t="array" ref="G5068">SUM(E5068/F5068)</f>
        <v>0.054</v>
      </c>
      <c r="H5068" s="15"/>
    </row>
    <row r="5069" ht="13.65" customHeight="1">
      <c r="A5069" s="21">
        <v>131</v>
      </c>
      <c r="B5069" t="s" s="22">
        <v>482</v>
      </c>
      <c r="C5069" s="27"/>
      <c r="D5069" s="24"/>
      <c r="E5069" s="27"/>
      <c r="F5069" s="27"/>
      <c r="G5069" s="152">
        <v>45</v>
      </c>
      <c r="H5069" s="15"/>
    </row>
    <row r="5070" ht="13.65" customHeight="1">
      <c r="A5070" s="28"/>
      <c r="B5070" s="28"/>
      <c r="C5070" s="27"/>
      <c r="D5070" s="24"/>
      <c r="E5070" s="27"/>
      <c r="F5070" t="s" s="29">
        <v>118</v>
      </c>
      <c r="G5070" s="197" cm="1">
        <f t="array" ref="G5070">SUM(G5057:G5069)</f>
        <v>52.5813333333333</v>
      </c>
      <c r="H5070" s="15"/>
    </row>
    <row r="5071" ht="13.65" customHeight="1">
      <c r="A5071" s="129"/>
      <c r="B5071" s="129"/>
      <c r="C5071" s="129"/>
      <c r="D5071" s="129"/>
      <c r="E5071" s="129"/>
      <c r="F5071" s="31"/>
      <c r="G5071" s="31"/>
      <c r="H5071" s="3"/>
    </row>
    <row r="5072" ht="11.7" customHeight="1">
      <c r="A5072" t="s" s="167">
        <v>136</v>
      </c>
      <c r="B5072" t="s" s="167">
        <v>281</v>
      </c>
      <c r="C5072" t="s" s="167">
        <v>282</v>
      </c>
      <c r="D5072" t="s" s="168">
        <v>283</v>
      </c>
      <c r="E5072" s="169"/>
      <c r="F5072" s="170"/>
      <c r="G5072" s="171"/>
      <c r="H5072" s="171"/>
    </row>
    <row r="5073" ht="13.65" customHeight="1">
      <c r="A5073" s="23">
        <v>45</v>
      </c>
      <c r="B5073" s="172" cm="1">
        <f t="array" ref="B5073">SUM(H256)</f>
        <v>2.47496540404041</v>
      </c>
      <c r="C5073" s="172" cm="1">
        <f t="array" ref="C5073">SUM(G5070)</f>
        <v>52.5813333333333</v>
      </c>
      <c r="D5073" s="199" cm="1">
        <f t="array" ref="D5073">SUM(A5073*B5073)+(C5073)</f>
        <v>163.954776515152</v>
      </c>
      <c r="E5073" s="200"/>
      <c r="F5073" s="15"/>
      <c r="G5073" s="3"/>
      <c r="H5073" s="3"/>
    </row>
    <row r="5074" ht="13.65" customHeight="1">
      <c r="A5074" s="31"/>
      <c r="B5074" s="31"/>
      <c r="C5074" s="31"/>
      <c r="D5074" s="31"/>
      <c r="E5074" s="31"/>
      <c r="F5074" s="3"/>
      <c r="G5074" s="3"/>
      <c r="H5074" s="3"/>
    </row>
    <row r="5075" ht="13.65" customHeight="1">
      <c r="A5075" s="3"/>
      <c r="B5075" s="3"/>
      <c r="C5075" s="3"/>
      <c r="D5075" s="3"/>
      <c r="E5075" s="3"/>
      <c r="F5075" s="3"/>
      <c r="G5075" s="3"/>
      <c r="H5075" s="3"/>
    </row>
    <row r="5076" ht="13.65" customHeight="1">
      <c r="A5076" t="s" s="5">
        <v>847</v>
      </c>
      <c r="B5076" s="3"/>
      <c r="C5076" s="3"/>
      <c r="D5076" s="3"/>
      <c r="E5076" s="3"/>
      <c r="F5076" s="3"/>
      <c r="G5076" s="3"/>
      <c r="H5076" s="3"/>
    </row>
    <row r="5077" ht="13.65" customHeight="1">
      <c r="A5077" s="11"/>
      <c r="B5077" s="11"/>
      <c r="C5077" s="11"/>
      <c r="D5077" s="11"/>
      <c r="E5077" s="11"/>
      <c r="F5077" s="11"/>
      <c r="G5077" s="11"/>
      <c r="H5077" s="3"/>
    </row>
    <row r="5078" ht="13.65" customHeight="1">
      <c r="A5078" s="12"/>
      <c r="B5078" s="12"/>
      <c r="C5078" s="13"/>
      <c r="D5078" s="14"/>
      <c r="E5078" s="13"/>
      <c r="F5078" s="13"/>
      <c r="G5078" t="s" s="14">
        <v>252</v>
      </c>
      <c r="H5078" s="150"/>
    </row>
    <row r="5079" ht="13.65" customHeight="1">
      <c r="A5079" t="s" s="16">
        <v>93</v>
      </c>
      <c r="B5079" t="s" s="16">
        <v>94</v>
      </c>
      <c r="C5079" t="s" s="16">
        <v>95</v>
      </c>
      <c r="D5079" t="s" s="16">
        <v>96</v>
      </c>
      <c r="E5079" t="s" s="16">
        <v>97</v>
      </c>
      <c r="F5079" t="s" s="16">
        <v>98</v>
      </c>
      <c r="G5079" t="s" s="16">
        <v>99</v>
      </c>
      <c r="H5079" s="15"/>
    </row>
    <row r="5080" ht="13.65" customHeight="1">
      <c r="A5080" s="151"/>
      <c r="B5080" s="151"/>
      <c r="C5080" s="19"/>
      <c r="D5080" s="20"/>
      <c r="E5080" s="19"/>
      <c r="F5080" s="19"/>
      <c r="G5080" t="s" s="20">
        <v>100</v>
      </c>
      <c r="H5080" s="15"/>
    </row>
    <row r="5081" ht="13.65" customHeight="1">
      <c r="A5081" s="21">
        <v>72</v>
      </c>
      <c r="B5081" t="s" s="22">
        <v>101</v>
      </c>
      <c r="C5081" s="23">
        <v>50</v>
      </c>
      <c r="D5081" t="s" s="24">
        <v>102</v>
      </c>
      <c r="E5081" s="25">
        <v>1.93</v>
      </c>
      <c r="F5081" s="23">
        <v>25</v>
      </c>
      <c r="G5081" s="152" cm="1">
        <f t="array" ref="G5081">SUM(E5081/F5081)</f>
        <v>0.0772</v>
      </c>
      <c r="H5081" s="15"/>
    </row>
    <row r="5082" ht="13.65" customHeight="1">
      <c r="A5082" s="21">
        <v>123</v>
      </c>
      <c r="B5082" t="s" s="22">
        <v>103</v>
      </c>
      <c r="C5082" s="23">
        <v>40</v>
      </c>
      <c r="D5082" t="s" s="24">
        <v>104</v>
      </c>
      <c r="E5082" s="25">
        <v>3.2</v>
      </c>
      <c r="F5082" s="23">
        <v>40</v>
      </c>
      <c r="G5082" s="152" cm="1">
        <f t="array" ref="G5082">SUM(E5082/F5082)</f>
        <v>0.08</v>
      </c>
      <c r="H5082" s="15"/>
    </row>
    <row r="5083" ht="13.65" customHeight="1">
      <c r="A5083" s="21">
        <v>86</v>
      </c>
      <c r="B5083" t="s" s="22">
        <v>107</v>
      </c>
      <c r="C5083" t="s" s="24">
        <v>108</v>
      </c>
      <c r="D5083" t="s" s="24">
        <v>102</v>
      </c>
      <c r="E5083" s="25">
        <v>0.32</v>
      </c>
      <c r="F5083" t="s" s="24">
        <v>387</v>
      </c>
      <c r="G5083" s="152" cm="1">
        <f t="array" ref="G5083">SUM(E5083*2)</f>
        <v>0.64</v>
      </c>
      <c r="H5083" s="15"/>
    </row>
    <row r="5084" ht="13.65" customHeight="1">
      <c r="A5084" s="21">
        <v>71</v>
      </c>
      <c r="B5084" t="s" s="22">
        <v>109</v>
      </c>
      <c r="C5084" s="23">
        <v>10</v>
      </c>
      <c r="D5084" t="s" s="24">
        <v>102</v>
      </c>
      <c r="E5084" s="25">
        <v>5.92</v>
      </c>
      <c r="F5084" s="23">
        <v>5</v>
      </c>
      <c r="G5084" s="152" cm="1">
        <f t="array" ref="G5084">SUM(E5084/F5084)</f>
        <v>1.184</v>
      </c>
      <c r="H5084" s="15"/>
    </row>
    <row r="5085" ht="13.65" customHeight="1">
      <c r="A5085" s="21">
        <v>87</v>
      </c>
      <c r="B5085" t="s" s="22">
        <v>110</v>
      </c>
      <c r="C5085" s="23">
        <v>50</v>
      </c>
      <c r="D5085" t="s" s="24">
        <v>102</v>
      </c>
      <c r="E5085" s="25">
        <v>9</v>
      </c>
      <c r="F5085" s="23">
        <v>25</v>
      </c>
      <c r="G5085" s="152" cm="1">
        <f t="array" ref="G5085">SUM(E5085/F5085)</f>
        <v>0.36</v>
      </c>
      <c r="H5085" s="15"/>
    </row>
    <row r="5086" ht="13.65" customHeight="1">
      <c r="A5086" s="21">
        <v>55</v>
      </c>
      <c r="B5086" t="s" s="22">
        <v>111</v>
      </c>
      <c r="C5086" t="s" s="24">
        <v>112</v>
      </c>
      <c r="D5086" t="s" s="24">
        <v>113</v>
      </c>
      <c r="E5086" s="25">
        <v>2.71</v>
      </c>
      <c r="F5086" s="23">
        <v>75</v>
      </c>
      <c r="G5086" s="152" cm="1">
        <f t="array" ref="G5086">SUM(E5086/F5086)</f>
        <v>0.0361333333333333</v>
      </c>
      <c r="H5086" s="15"/>
    </row>
    <row r="5087" ht="13.65" customHeight="1">
      <c r="A5087" s="21">
        <v>24</v>
      </c>
      <c r="B5087" t="s" s="22">
        <v>531</v>
      </c>
      <c r="C5087" s="23">
        <v>10</v>
      </c>
      <c r="D5087" t="s" s="24">
        <v>104</v>
      </c>
      <c r="E5087" s="25">
        <v>9.6</v>
      </c>
      <c r="F5087" s="23">
        <v>10</v>
      </c>
      <c r="G5087" s="152" cm="1">
        <f t="array" ref="G5087">SUM(E5087/F5087)</f>
        <v>0.96</v>
      </c>
      <c r="H5087" s="15"/>
    </row>
    <row r="5088" ht="13.65" customHeight="1">
      <c r="A5088" s="21">
        <v>101</v>
      </c>
      <c r="B5088" t="s" s="22">
        <v>407</v>
      </c>
      <c r="C5088" t="s" s="24">
        <v>380</v>
      </c>
      <c r="D5088" t="s" s="24">
        <v>537</v>
      </c>
      <c r="E5088" s="25">
        <v>7.5</v>
      </c>
      <c r="F5088" s="23">
        <v>25</v>
      </c>
      <c r="G5088" s="152" cm="1">
        <f t="array" ref="G5088">SUM(E5088/F5088)</f>
        <v>0.3</v>
      </c>
      <c r="H5088" s="15"/>
    </row>
    <row r="5089" ht="13.65" customHeight="1">
      <c r="A5089" s="21">
        <v>111</v>
      </c>
      <c r="B5089" t="s" s="22">
        <v>476</v>
      </c>
      <c r="C5089" s="23">
        <v>1</v>
      </c>
      <c r="D5089" t="s" s="24">
        <v>401</v>
      </c>
      <c r="E5089" s="25">
        <v>2.7</v>
      </c>
      <c r="F5089" s="23">
        <v>30</v>
      </c>
      <c r="G5089" s="152" cm="1">
        <f t="array" ref="G5089">SUM(E5089/F5089)</f>
        <v>0.09</v>
      </c>
      <c r="H5089" s="15"/>
    </row>
    <row r="5090" ht="13.65" customHeight="1">
      <c r="A5090" s="21">
        <v>49</v>
      </c>
      <c r="B5090" t="s" s="22">
        <v>596</v>
      </c>
      <c r="C5090" s="23">
        <v>120</v>
      </c>
      <c r="D5090" t="s" s="24">
        <v>256</v>
      </c>
      <c r="E5090" s="25">
        <v>132</v>
      </c>
      <c r="F5090" s="23">
        <v>40</v>
      </c>
      <c r="G5090" s="152" cm="1">
        <f t="array" ref="G5090">SUM(E5090/F5090)</f>
        <v>3.3</v>
      </c>
      <c r="H5090" s="15"/>
    </row>
    <row r="5091" ht="13.65" customHeight="1">
      <c r="A5091" s="21">
        <v>48</v>
      </c>
      <c r="B5091" t="s" s="22">
        <v>601</v>
      </c>
      <c r="C5091" s="23">
        <v>1</v>
      </c>
      <c r="D5091" t="s" s="24">
        <v>375</v>
      </c>
      <c r="E5091" s="25">
        <v>1</v>
      </c>
      <c r="F5091" s="23">
        <v>2</v>
      </c>
      <c r="G5091" s="152" cm="1">
        <f t="array" ref="G5091">SUM(E5091/F5091)</f>
        <v>0.5</v>
      </c>
      <c r="H5091" s="15"/>
    </row>
    <row r="5092" ht="13.65" customHeight="1">
      <c r="A5092" s="21">
        <v>102</v>
      </c>
      <c r="B5092" t="s" s="22">
        <v>709</v>
      </c>
      <c r="C5092" s="23">
        <v>1</v>
      </c>
      <c r="D5092" t="s" s="24">
        <v>397</v>
      </c>
      <c r="E5092" s="25">
        <v>2.7</v>
      </c>
      <c r="F5092" s="23">
        <v>50</v>
      </c>
      <c r="G5092" s="152" cm="1">
        <f t="array" ref="G5092">SUM(E5092/F5092)</f>
        <v>0.054</v>
      </c>
      <c r="H5092" s="15"/>
    </row>
    <row r="5093" ht="13.65" customHeight="1">
      <c r="A5093" s="21">
        <v>46</v>
      </c>
      <c r="B5093" t="s" s="22">
        <v>797</v>
      </c>
      <c r="C5093" s="23">
        <v>6</v>
      </c>
      <c r="D5093" t="s" s="24">
        <v>104</v>
      </c>
      <c r="E5093" s="25">
        <v>4.5</v>
      </c>
      <c r="F5093" s="23">
        <v>6</v>
      </c>
      <c r="G5093" s="152" cm="1">
        <f t="array" ref="G5093">SUM(E5093/F5093)</f>
        <v>0.75</v>
      </c>
      <c r="H5093" s="15"/>
    </row>
    <row r="5094" ht="13.65" customHeight="1">
      <c r="A5094" s="21">
        <v>2</v>
      </c>
      <c r="B5094" t="s" s="22">
        <v>848</v>
      </c>
      <c r="C5094" t="s" s="24">
        <v>614</v>
      </c>
      <c r="D5094" t="s" s="24">
        <v>408</v>
      </c>
      <c r="E5094" s="25">
        <v>16.56</v>
      </c>
      <c r="F5094" s="23">
        <v>10</v>
      </c>
      <c r="G5094" s="152" cm="1">
        <f t="array" ref="G5094">SUM(E5094/F5094)</f>
        <v>1.656</v>
      </c>
      <c r="H5094" s="15"/>
    </row>
    <row r="5095" ht="13.65" customHeight="1">
      <c r="A5095" s="28"/>
      <c r="B5095" s="28"/>
      <c r="C5095" s="27"/>
      <c r="D5095" s="24"/>
      <c r="E5095" s="27"/>
      <c r="F5095" t="s" s="29">
        <v>118</v>
      </c>
      <c r="G5095" s="197" cm="1">
        <f t="array" ref="G5095">SUM(G5081:G5094)</f>
        <v>9.98733333333333</v>
      </c>
      <c r="H5095" s="15"/>
    </row>
    <row r="5096" ht="13.65" customHeight="1">
      <c r="A5096" s="129"/>
      <c r="B5096" s="129"/>
      <c r="C5096" s="129"/>
      <c r="D5096" s="129"/>
      <c r="E5096" s="129"/>
      <c r="F5096" s="31"/>
      <c r="G5096" s="31"/>
      <c r="H5096" s="3"/>
    </row>
    <row r="5097" ht="11.7" customHeight="1">
      <c r="A5097" t="s" s="167">
        <v>136</v>
      </c>
      <c r="B5097" t="s" s="167">
        <v>281</v>
      </c>
      <c r="C5097" t="s" s="167">
        <v>282</v>
      </c>
      <c r="D5097" t="s" s="168">
        <v>283</v>
      </c>
      <c r="E5097" s="169"/>
      <c r="F5097" s="170"/>
      <c r="G5097" s="171"/>
      <c r="H5097" s="171"/>
    </row>
    <row r="5098" ht="13.65" customHeight="1">
      <c r="A5098" s="23">
        <v>45</v>
      </c>
      <c r="B5098" s="172" cm="1">
        <f t="array" ref="B5098">SUM(H256)</f>
        <v>2.47496540404041</v>
      </c>
      <c r="C5098" s="172" cm="1">
        <f t="array" ref="C5098">SUM(G5095)</f>
        <v>9.98733333333333</v>
      </c>
      <c r="D5098" s="199" cm="1">
        <f t="array" ref="D5098">SUM(A5098*B5098)+(C5098)</f>
        <v>121.360776515152</v>
      </c>
      <c r="E5098" s="200"/>
      <c r="F5098" s="15"/>
      <c r="G5098" s="3"/>
      <c r="H5098" s="3"/>
    </row>
    <row r="5099" ht="13.65" customHeight="1">
      <c r="A5099" s="31"/>
      <c r="B5099" s="31"/>
      <c r="C5099" s="31"/>
      <c r="D5099" s="31"/>
      <c r="E5099" s="31"/>
      <c r="F5099" s="3"/>
      <c r="G5099" s="3"/>
      <c r="H5099" s="3"/>
    </row>
    <row r="5100" ht="13.65" customHeight="1">
      <c r="A5100" s="203"/>
      <c r="B5100" s="203"/>
      <c r="C5100" s="203"/>
      <c r="D5100" s="203"/>
      <c r="E5100" s="203"/>
      <c r="F5100" s="203"/>
      <c r="G5100" s="203"/>
      <c r="H5100" s="203"/>
    </row>
    <row r="5101" ht="13.65" customHeight="1">
      <c r="A5101" t="s" s="274">
        <v>284</v>
      </c>
      <c r="B5101" s="275"/>
      <c r="C5101" s="275"/>
      <c r="D5101" s="275"/>
      <c r="E5101" s="280"/>
      <c r="F5101" s="275"/>
      <c r="G5101" s="275"/>
      <c r="H5101" s="277"/>
    </row>
    <row r="5102" ht="13.65" customHeight="1">
      <c r="A5102" s="278"/>
      <c r="B5102" s="278"/>
      <c r="C5102" s="278"/>
      <c r="D5102" s="278"/>
      <c r="E5102" s="278"/>
      <c r="F5102" s="278"/>
      <c r="G5102" s="278"/>
      <c r="H5102" s="278"/>
    </row>
    <row r="5103" ht="13.65" customHeight="1">
      <c r="A5103" s="3"/>
      <c r="B5103" s="3"/>
      <c r="C5103" s="3"/>
      <c r="D5103" s="3"/>
      <c r="E5103" s="3"/>
      <c r="F5103" s="3"/>
      <c r="G5103" s="3"/>
      <c r="H5103" s="3"/>
    </row>
    <row r="5104" ht="13.65" customHeight="1">
      <c r="A5104" t="s" s="5">
        <v>849</v>
      </c>
      <c r="B5104" s="3"/>
      <c r="C5104" s="3"/>
      <c r="D5104" s="3"/>
      <c r="E5104" s="3"/>
      <c r="F5104" s="3"/>
      <c r="G5104" s="3"/>
      <c r="H5104" s="3"/>
    </row>
    <row r="5105" ht="13.65" customHeight="1">
      <c r="A5105" s="11"/>
      <c r="B5105" s="11"/>
      <c r="C5105" s="11"/>
      <c r="D5105" s="11"/>
      <c r="E5105" s="11"/>
      <c r="F5105" s="11"/>
      <c r="G5105" s="11"/>
      <c r="H5105" s="3"/>
    </row>
    <row r="5106" ht="13.65" customHeight="1">
      <c r="A5106" s="12"/>
      <c r="B5106" s="12"/>
      <c r="C5106" s="13"/>
      <c r="D5106" s="14"/>
      <c r="E5106" s="13"/>
      <c r="F5106" s="13"/>
      <c r="G5106" t="s" s="14">
        <v>252</v>
      </c>
      <c r="H5106" s="150"/>
    </row>
    <row r="5107" ht="13.65" customHeight="1">
      <c r="A5107" t="s" s="16">
        <v>93</v>
      </c>
      <c r="B5107" t="s" s="16">
        <v>94</v>
      </c>
      <c r="C5107" t="s" s="16">
        <v>95</v>
      </c>
      <c r="D5107" t="s" s="16">
        <v>96</v>
      </c>
      <c r="E5107" t="s" s="16">
        <v>97</v>
      </c>
      <c r="F5107" t="s" s="16">
        <v>98</v>
      </c>
      <c r="G5107" t="s" s="16">
        <v>99</v>
      </c>
      <c r="H5107" s="15"/>
    </row>
    <row r="5108" ht="13.65" customHeight="1">
      <c r="A5108" s="151"/>
      <c r="B5108" s="151"/>
      <c r="C5108" s="19"/>
      <c r="D5108" s="20"/>
      <c r="E5108" s="19"/>
      <c r="F5108" s="19"/>
      <c r="G5108" t="s" s="20">
        <v>100</v>
      </c>
      <c r="H5108" s="15"/>
    </row>
    <row r="5109" ht="13.65" customHeight="1">
      <c r="A5109" s="21">
        <v>72</v>
      </c>
      <c r="B5109" t="s" s="22">
        <v>101</v>
      </c>
      <c r="C5109" s="23">
        <v>50</v>
      </c>
      <c r="D5109" t="s" s="24">
        <v>274</v>
      </c>
      <c r="E5109" s="25">
        <v>1.93</v>
      </c>
      <c r="F5109" s="23">
        <v>12.5</v>
      </c>
      <c r="G5109" s="152" cm="1">
        <f t="array" ref="G5109">SUM(E5109/F5109)</f>
        <v>0.1544</v>
      </c>
      <c r="H5109" s="15"/>
    </row>
    <row r="5110" ht="13.65" customHeight="1">
      <c r="A5110" s="21">
        <v>123</v>
      </c>
      <c r="B5110" t="s" s="22">
        <v>103</v>
      </c>
      <c r="C5110" s="23">
        <v>40</v>
      </c>
      <c r="D5110" t="s" s="24">
        <v>274</v>
      </c>
      <c r="E5110" s="25">
        <v>3.2</v>
      </c>
      <c r="F5110" s="23">
        <v>10</v>
      </c>
      <c r="G5110" s="152" cm="1">
        <f t="array" ref="G5110">SUM(E5110/F5110)</f>
        <v>0.32</v>
      </c>
      <c r="H5110" s="15"/>
    </row>
    <row r="5111" ht="13.65" customHeight="1">
      <c r="A5111" s="21">
        <v>86</v>
      </c>
      <c r="B5111" t="s" s="22">
        <v>107</v>
      </c>
      <c r="C5111" t="s" s="24">
        <v>108</v>
      </c>
      <c r="D5111" t="s" s="24">
        <v>102</v>
      </c>
      <c r="E5111" s="25">
        <v>0.32</v>
      </c>
      <c r="F5111" t="s" s="24">
        <v>387</v>
      </c>
      <c r="G5111" s="152" cm="1">
        <f t="array" ref="G5111">SUM(E5111*2)</f>
        <v>0.64</v>
      </c>
      <c r="H5111" s="15"/>
    </row>
    <row r="5112" ht="13.65" customHeight="1">
      <c r="A5112" s="21">
        <v>71</v>
      </c>
      <c r="B5112" t="s" s="22">
        <v>109</v>
      </c>
      <c r="C5112" s="23">
        <v>10</v>
      </c>
      <c r="D5112" t="s" s="24">
        <v>102</v>
      </c>
      <c r="E5112" s="25">
        <v>5.92</v>
      </c>
      <c r="F5112" s="23">
        <v>5</v>
      </c>
      <c r="G5112" s="152" cm="1">
        <f t="array" ref="G5112">SUM(E5112/F5112)</f>
        <v>1.184</v>
      </c>
      <c r="H5112" s="15"/>
    </row>
    <row r="5113" ht="13.65" customHeight="1">
      <c r="A5113" s="21">
        <v>87</v>
      </c>
      <c r="B5113" t="s" s="22">
        <v>110</v>
      </c>
      <c r="C5113" s="23">
        <v>50</v>
      </c>
      <c r="D5113" t="s" s="24">
        <v>102</v>
      </c>
      <c r="E5113" s="25">
        <v>9</v>
      </c>
      <c r="F5113" s="23">
        <v>25</v>
      </c>
      <c r="G5113" s="152" cm="1">
        <f t="array" ref="G5113">SUM(E5113/F5113)</f>
        <v>0.36</v>
      </c>
      <c r="H5113" s="15"/>
    </row>
    <row r="5114" ht="13.65" customHeight="1">
      <c r="A5114" s="21">
        <v>55</v>
      </c>
      <c r="B5114" t="s" s="22">
        <v>111</v>
      </c>
      <c r="C5114" t="s" s="24">
        <v>112</v>
      </c>
      <c r="D5114" t="s" s="24">
        <v>729</v>
      </c>
      <c r="E5114" s="25">
        <v>2.71</v>
      </c>
      <c r="F5114" s="23">
        <v>15</v>
      </c>
      <c r="G5114" s="152" cm="1">
        <f t="array" ref="G5114">SUM(E5114/F5114)</f>
        <v>0.180666666666667</v>
      </c>
      <c r="H5114" s="15"/>
    </row>
    <row r="5115" ht="13.65" customHeight="1">
      <c r="A5115" s="21">
        <v>35</v>
      </c>
      <c r="B5115" t="s" s="22">
        <v>582</v>
      </c>
      <c r="C5115" s="23">
        <v>20</v>
      </c>
      <c r="D5115" t="s" s="24">
        <v>274</v>
      </c>
      <c r="E5115" s="25">
        <v>47</v>
      </c>
      <c r="F5115" s="23">
        <v>4</v>
      </c>
      <c r="G5115" s="152" cm="1">
        <f t="array" ref="G5115">SUM(E5115/F5115)</f>
        <v>11.75</v>
      </c>
      <c r="H5115" s="15"/>
    </row>
    <row r="5116" ht="13.65" customHeight="1">
      <c r="A5116" s="21">
        <v>79</v>
      </c>
      <c r="B5116" t="s" s="22">
        <v>439</v>
      </c>
      <c r="C5116" s="23">
        <v>20</v>
      </c>
      <c r="D5116" t="s" s="24">
        <v>274</v>
      </c>
      <c r="E5116" s="25">
        <v>25</v>
      </c>
      <c r="F5116" s="23">
        <v>5</v>
      </c>
      <c r="G5116" s="152" cm="1">
        <f t="array" ref="G5116">SUM(E5116/F5116)</f>
        <v>5</v>
      </c>
      <c r="H5116" s="15"/>
    </row>
    <row r="5117" ht="13.65" customHeight="1">
      <c r="A5117" s="21">
        <v>57</v>
      </c>
      <c r="B5117" t="s" s="22">
        <v>850</v>
      </c>
      <c r="C5117" t="s" s="24">
        <v>254</v>
      </c>
      <c r="D5117" t="s" s="24">
        <v>757</v>
      </c>
      <c r="E5117" s="25">
        <v>4.5</v>
      </c>
      <c r="F5117" s="23">
        <v>33</v>
      </c>
      <c r="G5117" s="152" cm="1">
        <f t="array" ref="G5117">SUM(E5117/F5117)</f>
        <v>0.136363636363636</v>
      </c>
      <c r="H5117" s="15"/>
    </row>
    <row r="5118" ht="13.65" customHeight="1">
      <c r="A5118" s="21">
        <v>51</v>
      </c>
      <c r="B5118" t="s" s="22">
        <v>374</v>
      </c>
      <c r="C5118" s="23">
        <v>1</v>
      </c>
      <c r="D5118" t="s" s="24">
        <v>277</v>
      </c>
      <c r="E5118" s="25">
        <v>1.28</v>
      </c>
      <c r="F5118" s="23">
        <v>2</v>
      </c>
      <c r="G5118" s="152" cm="1">
        <f t="array" ref="G5118">SUM(E5118/F5118)</f>
        <v>0.64</v>
      </c>
      <c r="H5118" s="15"/>
    </row>
    <row r="5119" ht="13.65" customHeight="1">
      <c r="A5119" s="21">
        <v>100</v>
      </c>
      <c r="B5119" t="s" s="22">
        <v>376</v>
      </c>
      <c r="C5119" t="s" s="24">
        <v>377</v>
      </c>
      <c r="D5119" t="s" s="24">
        <v>378</v>
      </c>
      <c r="E5119" s="25">
        <v>4.5</v>
      </c>
      <c r="F5119" s="23">
        <v>40</v>
      </c>
      <c r="G5119" s="152" cm="1">
        <f t="array" ref="G5119">SUM(E5119/F5119)</f>
        <v>0.1125</v>
      </c>
      <c r="H5119" s="15"/>
    </row>
    <row r="5120" ht="13.65" customHeight="1">
      <c r="A5120" s="28"/>
      <c r="B5120" s="28"/>
      <c r="C5120" s="27"/>
      <c r="D5120" s="24"/>
      <c r="E5120" s="27"/>
      <c r="F5120" t="s" s="29">
        <v>118</v>
      </c>
      <c r="G5120" s="197" cm="1">
        <f t="array" ref="G5120">SUM(G5109:G5119)</f>
        <v>20.4779303030303</v>
      </c>
      <c r="H5120" s="15"/>
    </row>
    <row r="5121" ht="13.65" customHeight="1">
      <c r="A5121" s="129"/>
      <c r="B5121" s="129"/>
      <c r="C5121" s="129"/>
      <c r="D5121" s="129"/>
      <c r="E5121" s="129"/>
      <c r="F5121" s="31"/>
      <c r="G5121" s="31"/>
      <c r="H5121" s="3"/>
    </row>
    <row r="5122" ht="11.7" customHeight="1">
      <c r="A5122" t="s" s="167">
        <v>136</v>
      </c>
      <c r="B5122" t="s" s="167">
        <v>281</v>
      </c>
      <c r="C5122" t="s" s="167">
        <v>282</v>
      </c>
      <c r="D5122" t="s" s="168">
        <v>283</v>
      </c>
      <c r="E5122" s="169"/>
      <c r="F5122" s="170"/>
      <c r="G5122" s="171"/>
      <c r="H5122" s="171"/>
    </row>
    <row r="5123" ht="13.65" customHeight="1">
      <c r="A5123" s="23">
        <v>150</v>
      </c>
      <c r="B5123" s="172" cm="1">
        <f t="array" ref="B5123">SUM(H256)</f>
        <v>2.47496540404041</v>
      </c>
      <c r="C5123" s="172" cm="1">
        <f t="array" ref="C5123">SUM(G5120)</f>
        <v>20.4779303030303</v>
      </c>
      <c r="D5123" s="199" cm="1">
        <f t="array" ref="D5123">SUM(A5123*B5123)+(C5123)</f>
        <v>391.722740909092</v>
      </c>
      <c r="E5123" s="200"/>
      <c r="F5123" s="15"/>
      <c r="G5123" s="3"/>
      <c r="H5123" s="3"/>
    </row>
    <row r="5124" ht="13.65" customHeight="1">
      <c r="A5124" s="31"/>
      <c r="B5124" s="31"/>
      <c r="C5124" s="31"/>
      <c r="D5124" s="31"/>
      <c r="E5124" s="31"/>
      <c r="F5124" s="3"/>
      <c r="G5124" s="3"/>
      <c r="H5124" s="3"/>
    </row>
    <row r="5125" ht="13.65" customHeight="1">
      <c r="A5125" s="3"/>
      <c r="B5125" s="3"/>
      <c r="C5125" s="3"/>
      <c r="D5125" s="3"/>
      <c r="E5125" s="3"/>
      <c r="F5125" s="3"/>
      <c r="G5125" s="3"/>
      <c r="H5125" s="3"/>
    </row>
    <row r="5126" ht="13.65" customHeight="1">
      <c r="A5126" t="s" s="5">
        <v>851</v>
      </c>
      <c r="B5126" s="3"/>
      <c r="C5126" s="3"/>
      <c r="D5126" s="3"/>
      <c r="E5126" s="3"/>
      <c r="F5126" s="3"/>
      <c r="G5126" s="3"/>
      <c r="H5126" s="3"/>
    </row>
    <row r="5127" ht="13.65" customHeight="1">
      <c r="A5127" t="s" s="5">
        <v>607</v>
      </c>
      <c r="B5127" s="3"/>
      <c r="C5127" s="3"/>
      <c r="D5127" s="3"/>
      <c r="E5127" s="3"/>
      <c r="F5127" s="3"/>
      <c r="G5127" s="3"/>
      <c r="H5127" s="3"/>
    </row>
    <row r="5128" ht="13.65" customHeight="1">
      <c r="A5128" s="11"/>
      <c r="B5128" s="11"/>
      <c r="C5128" s="11"/>
      <c r="D5128" s="11"/>
      <c r="E5128" s="11"/>
      <c r="F5128" s="11"/>
      <c r="G5128" s="11"/>
      <c r="H5128" s="3"/>
    </row>
    <row r="5129" ht="13.65" customHeight="1">
      <c r="A5129" s="12"/>
      <c r="B5129" s="12"/>
      <c r="C5129" s="13"/>
      <c r="D5129" s="14"/>
      <c r="E5129" s="13"/>
      <c r="F5129" s="13"/>
      <c r="G5129" t="s" s="14">
        <v>252</v>
      </c>
      <c r="H5129" s="150"/>
    </row>
    <row r="5130" ht="13.65" customHeight="1">
      <c r="A5130" t="s" s="16">
        <v>93</v>
      </c>
      <c r="B5130" t="s" s="16">
        <v>94</v>
      </c>
      <c r="C5130" t="s" s="16">
        <v>95</v>
      </c>
      <c r="D5130" t="s" s="16">
        <v>96</v>
      </c>
      <c r="E5130" t="s" s="16">
        <v>97</v>
      </c>
      <c r="F5130" t="s" s="16">
        <v>98</v>
      </c>
      <c r="G5130" t="s" s="16">
        <v>99</v>
      </c>
      <c r="H5130" s="15"/>
    </row>
    <row r="5131" ht="13.65" customHeight="1">
      <c r="A5131" s="151"/>
      <c r="B5131" s="151"/>
      <c r="C5131" s="19"/>
      <c r="D5131" s="20"/>
      <c r="E5131" s="19"/>
      <c r="F5131" s="19"/>
      <c r="G5131" t="s" s="20">
        <v>100</v>
      </c>
      <c r="H5131" s="15"/>
    </row>
    <row r="5132" ht="13.65" customHeight="1">
      <c r="A5132" s="21">
        <v>72</v>
      </c>
      <c r="B5132" t="s" s="22">
        <v>101</v>
      </c>
      <c r="C5132" s="23">
        <v>50</v>
      </c>
      <c r="D5132" t="s" s="24">
        <v>102</v>
      </c>
      <c r="E5132" s="25">
        <v>1.93</v>
      </c>
      <c r="F5132" s="23">
        <v>25</v>
      </c>
      <c r="G5132" s="152" cm="1">
        <f t="array" ref="G5132">SUM(E5132/F5132)</f>
        <v>0.0772</v>
      </c>
      <c r="H5132" s="15"/>
    </row>
    <row r="5133" ht="13.65" customHeight="1">
      <c r="A5133" s="21">
        <v>123</v>
      </c>
      <c r="B5133" t="s" s="22">
        <v>103</v>
      </c>
      <c r="C5133" s="23">
        <v>40</v>
      </c>
      <c r="D5133" t="s" s="24">
        <v>102</v>
      </c>
      <c r="E5133" s="25">
        <v>3.2</v>
      </c>
      <c r="F5133" s="23">
        <v>20</v>
      </c>
      <c r="G5133" s="152" cm="1">
        <f t="array" ref="G5133">SUM(E5133/F5133)</f>
        <v>0.16</v>
      </c>
      <c r="H5133" s="15"/>
    </row>
    <row r="5134" ht="13.65" customHeight="1">
      <c r="A5134" s="21">
        <v>86</v>
      </c>
      <c r="B5134" t="s" s="22">
        <v>107</v>
      </c>
      <c r="C5134" t="s" s="24">
        <v>108</v>
      </c>
      <c r="D5134" t="s" s="24">
        <v>102</v>
      </c>
      <c r="E5134" s="25">
        <v>0.32</v>
      </c>
      <c r="F5134" t="s" s="24">
        <v>387</v>
      </c>
      <c r="G5134" s="152" cm="1">
        <f t="array" ref="G5134">SUM(E5134*2)</f>
        <v>0.64</v>
      </c>
      <c r="H5134" s="15"/>
    </row>
    <row r="5135" ht="13.65" customHeight="1">
      <c r="A5135" s="21">
        <v>71</v>
      </c>
      <c r="B5135" t="s" s="22">
        <v>109</v>
      </c>
      <c r="C5135" s="23">
        <v>10</v>
      </c>
      <c r="D5135" t="s" s="24">
        <v>102</v>
      </c>
      <c r="E5135" s="25">
        <v>5.92</v>
      </c>
      <c r="F5135" s="23">
        <v>5</v>
      </c>
      <c r="G5135" s="152" cm="1">
        <f t="array" ref="G5135">SUM(E5135/F5135)</f>
        <v>1.184</v>
      </c>
      <c r="H5135" s="15"/>
    </row>
    <row r="5136" ht="13.65" customHeight="1">
      <c r="A5136" s="21">
        <v>87</v>
      </c>
      <c r="B5136" t="s" s="22">
        <v>110</v>
      </c>
      <c r="C5136" s="23">
        <v>50</v>
      </c>
      <c r="D5136" t="s" s="24">
        <v>102</v>
      </c>
      <c r="E5136" s="25">
        <v>9</v>
      </c>
      <c r="F5136" s="23">
        <v>25</v>
      </c>
      <c r="G5136" s="152" cm="1">
        <f t="array" ref="G5136">SUM(E5136/F5136)</f>
        <v>0.36</v>
      </c>
      <c r="H5136" s="15"/>
    </row>
    <row r="5137" ht="13.65" customHeight="1">
      <c r="A5137" s="21">
        <v>55</v>
      </c>
      <c r="B5137" t="s" s="22">
        <v>111</v>
      </c>
      <c r="C5137" t="s" s="24">
        <v>112</v>
      </c>
      <c r="D5137" t="s" s="24">
        <v>461</v>
      </c>
      <c r="E5137" s="25">
        <v>2.71</v>
      </c>
      <c r="F5137" s="23">
        <v>37</v>
      </c>
      <c r="G5137" s="152" cm="1">
        <f t="array" ref="G5137">SUM(E5137/F5137)</f>
        <v>0.0732432432432432</v>
      </c>
      <c r="H5137" s="15"/>
    </row>
    <row r="5138" ht="13.65" customHeight="1">
      <c r="A5138" s="21">
        <v>35</v>
      </c>
      <c r="B5138" t="s" s="22">
        <v>582</v>
      </c>
      <c r="C5138" s="23">
        <v>4</v>
      </c>
      <c r="D5138" t="s" s="24">
        <v>608</v>
      </c>
      <c r="E5138" s="25">
        <v>47</v>
      </c>
      <c r="F5138" t="s" s="24">
        <v>387</v>
      </c>
      <c r="G5138" s="152" cm="1">
        <f t="array" ref="G5138">SUM(E5138*2)</f>
        <v>94</v>
      </c>
      <c r="H5138" s="15"/>
    </row>
    <row r="5139" ht="13.65" customHeight="1">
      <c r="A5139" s="21">
        <v>7</v>
      </c>
      <c r="B5139" t="s" s="22">
        <v>477</v>
      </c>
      <c r="C5139" t="s" s="24">
        <v>478</v>
      </c>
      <c r="D5139" t="s" s="24">
        <v>479</v>
      </c>
      <c r="E5139" s="25">
        <v>14</v>
      </c>
      <c r="F5139" s="23">
        <v>10</v>
      </c>
      <c r="G5139" s="152" cm="1">
        <f t="array" ref="G5139">SUM(E5139/F5139)</f>
        <v>1.4</v>
      </c>
      <c r="H5139" s="15"/>
    </row>
    <row r="5140" ht="13.65" customHeight="1">
      <c r="A5140" s="21">
        <v>69</v>
      </c>
      <c r="B5140" t="s" s="22">
        <v>609</v>
      </c>
      <c r="C5140" t="s" s="24">
        <v>481</v>
      </c>
      <c r="D5140" t="s" s="24">
        <v>597</v>
      </c>
      <c r="E5140" s="25">
        <v>3.5</v>
      </c>
      <c r="F5140" s="23">
        <v>5</v>
      </c>
      <c r="G5140" s="152" cm="1">
        <f t="array" ref="G5140">SUM(E5140/F5140)</f>
        <v>0.7</v>
      </c>
      <c r="H5140" s="15"/>
    </row>
    <row r="5141" ht="13.65" customHeight="1">
      <c r="A5141" s="21">
        <v>131</v>
      </c>
      <c r="B5141" t="s" s="22">
        <v>482</v>
      </c>
      <c r="C5141" s="27"/>
      <c r="D5141" s="24"/>
      <c r="E5141" s="27"/>
      <c r="F5141" s="27"/>
      <c r="G5141" s="152">
        <v>35</v>
      </c>
      <c r="H5141" s="15"/>
    </row>
    <row r="5142" ht="13.65" customHeight="1">
      <c r="A5142" s="28"/>
      <c r="B5142" s="28"/>
      <c r="C5142" s="27"/>
      <c r="D5142" s="24"/>
      <c r="E5142" s="27"/>
      <c r="F5142" t="s" s="29">
        <v>118</v>
      </c>
      <c r="G5142" s="197" cm="1">
        <f t="array" ref="G5142">SUM(G5132:G5141)</f>
        <v>133.594443243243</v>
      </c>
      <c r="H5142" s="15"/>
    </row>
    <row r="5143" ht="13.65" customHeight="1">
      <c r="A5143" s="129"/>
      <c r="B5143" s="129"/>
      <c r="C5143" s="129"/>
      <c r="D5143" s="129"/>
      <c r="E5143" s="129"/>
      <c r="F5143" s="31"/>
      <c r="G5143" s="31"/>
      <c r="H5143" s="3"/>
    </row>
    <row r="5144" ht="11.7" customHeight="1">
      <c r="A5144" t="s" s="167">
        <v>136</v>
      </c>
      <c r="B5144" t="s" s="167">
        <v>281</v>
      </c>
      <c r="C5144" t="s" s="167">
        <v>282</v>
      </c>
      <c r="D5144" t="s" s="168">
        <v>283</v>
      </c>
      <c r="E5144" s="169"/>
      <c r="F5144" s="170"/>
      <c r="G5144" s="171"/>
      <c r="H5144" s="171"/>
    </row>
    <row r="5145" ht="13.65" customHeight="1">
      <c r="A5145" s="23">
        <v>90</v>
      </c>
      <c r="B5145" s="172" cm="1">
        <f t="array" ref="B5145">SUM(H256)</f>
        <v>2.47496540404041</v>
      </c>
      <c r="C5145" s="172" cm="1">
        <f t="array" ref="C5145">SUM(G5142)</f>
        <v>133.594443243243</v>
      </c>
      <c r="D5145" s="199" cm="1">
        <f t="array" ref="D5145">SUM(A5145*B5145)+(C5145)</f>
        <v>356.341329606880</v>
      </c>
      <c r="E5145" s="200"/>
      <c r="F5145" s="15"/>
      <c r="G5145" s="3"/>
      <c r="H5145" s="3"/>
    </row>
    <row r="5146" ht="13.65" customHeight="1">
      <c r="A5146" s="31"/>
      <c r="B5146" s="31"/>
      <c r="C5146" s="31"/>
      <c r="D5146" s="31"/>
      <c r="E5146" s="31"/>
      <c r="F5146" s="3"/>
      <c r="G5146" s="3"/>
      <c r="H5146" s="3"/>
    </row>
    <row r="5147" ht="13.65" customHeight="1">
      <c r="A5147" s="203"/>
      <c r="B5147" s="203"/>
      <c r="C5147" s="203"/>
      <c r="D5147" s="203"/>
      <c r="E5147" s="203"/>
      <c r="F5147" s="203"/>
      <c r="G5147" s="203"/>
      <c r="H5147" s="203"/>
    </row>
    <row r="5148" ht="13.65" customHeight="1">
      <c r="A5148" t="s" s="274">
        <v>185</v>
      </c>
      <c r="B5148" s="275"/>
      <c r="C5148" s="275"/>
      <c r="D5148" s="275"/>
      <c r="E5148" s="280"/>
      <c r="F5148" s="275"/>
      <c r="G5148" s="275"/>
      <c r="H5148" s="277"/>
    </row>
    <row r="5149" ht="13.65" customHeight="1">
      <c r="A5149" s="278"/>
      <c r="B5149" s="278"/>
      <c r="C5149" s="278"/>
      <c r="D5149" s="278"/>
      <c r="E5149" s="278"/>
      <c r="F5149" s="278"/>
      <c r="G5149" s="278"/>
      <c r="H5149" s="278"/>
    </row>
    <row r="5150" ht="13.65" customHeight="1">
      <c r="A5150" s="3"/>
      <c r="B5150" s="3"/>
      <c r="C5150" s="3"/>
      <c r="D5150" s="3"/>
      <c r="E5150" s="3"/>
      <c r="F5150" s="3"/>
      <c r="G5150" s="3"/>
      <c r="H5150" s="3"/>
    </row>
    <row r="5151" ht="13.65" customHeight="1">
      <c r="A5151" t="s" s="5">
        <v>852</v>
      </c>
      <c r="B5151" s="3"/>
      <c r="C5151" s="3"/>
      <c r="D5151" s="3"/>
      <c r="E5151" s="3"/>
      <c r="F5151" s="3"/>
      <c r="G5151" s="3"/>
      <c r="H5151" s="3"/>
    </row>
    <row r="5152" ht="13.65" customHeight="1">
      <c r="A5152" s="11"/>
      <c r="B5152" s="11"/>
      <c r="C5152" s="11"/>
      <c r="D5152" s="11"/>
      <c r="E5152" s="11"/>
      <c r="F5152" s="11"/>
      <c r="G5152" s="11"/>
      <c r="H5152" s="3"/>
    </row>
    <row r="5153" ht="13.65" customHeight="1">
      <c r="A5153" s="12"/>
      <c r="B5153" s="12"/>
      <c r="C5153" s="13"/>
      <c r="D5153" s="14"/>
      <c r="E5153" s="13"/>
      <c r="F5153" s="13"/>
      <c r="G5153" t="s" s="14">
        <v>252</v>
      </c>
      <c r="H5153" s="150"/>
    </row>
    <row r="5154" ht="13.65" customHeight="1">
      <c r="A5154" t="s" s="16">
        <v>93</v>
      </c>
      <c r="B5154" t="s" s="16">
        <v>94</v>
      </c>
      <c r="C5154" t="s" s="16">
        <v>95</v>
      </c>
      <c r="D5154" t="s" s="16">
        <v>96</v>
      </c>
      <c r="E5154" t="s" s="16">
        <v>97</v>
      </c>
      <c r="F5154" t="s" s="16">
        <v>98</v>
      </c>
      <c r="G5154" t="s" s="16">
        <v>99</v>
      </c>
      <c r="H5154" s="15"/>
    </row>
    <row r="5155" ht="13.65" customHeight="1">
      <c r="A5155" s="151"/>
      <c r="B5155" s="151"/>
      <c r="C5155" s="19"/>
      <c r="D5155" s="20"/>
      <c r="E5155" s="19"/>
      <c r="F5155" s="19"/>
      <c r="G5155" t="s" s="20">
        <v>100</v>
      </c>
      <c r="H5155" s="15"/>
    </row>
    <row r="5156" ht="13.65" customHeight="1">
      <c r="A5156" s="21">
        <v>72</v>
      </c>
      <c r="B5156" t="s" s="22">
        <v>101</v>
      </c>
      <c r="C5156" s="23">
        <v>50</v>
      </c>
      <c r="D5156" t="s" s="24">
        <v>274</v>
      </c>
      <c r="E5156" s="25">
        <v>1.93</v>
      </c>
      <c r="F5156" s="23">
        <v>12.5</v>
      </c>
      <c r="G5156" s="152" cm="1">
        <f t="array" ref="G5156">SUM(E5156/F5156)</f>
        <v>0.1544</v>
      </c>
      <c r="H5156" s="15"/>
    </row>
    <row r="5157" ht="13.65" customHeight="1">
      <c r="A5157" s="21">
        <v>123</v>
      </c>
      <c r="B5157" t="s" s="22">
        <v>103</v>
      </c>
      <c r="C5157" s="23">
        <v>40</v>
      </c>
      <c r="D5157" t="s" s="24">
        <v>102</v>
      </c>
      <c r="E5157" s="25">
        <v>3.2</v>
      </c>
      <c r="F5157" s="23">
        <v>20</v>
      </c>
      <c r="G5157" s="152" cm="1">
        <f t="array" ref="G5157">SUM(E5157/F5157)</f>
        <v>0.16</v>
      </c>
      <c r="H5157" s="15"/>
    </row>
    <row r="5158" ht="13.65" customHeight="1">
      <c r="A5158" s="21">
        <v>57</v>
      </c>
      <c r="B5158" t="s" s="22">
        <v>253</v>
      </c>
      <c r="C5158" t="s" s="24">
        <v>389</v>
      </c>
      <c r="D5158" t="s" s="24">
        <v>371</v>
      </c>
      <c r="E5158" s="25">
        <v>4.5</v>
      </c>
      <c r="F5158" s="23">
        <v>33</v>
      </c>
      <c r="G5158" s="152" cm="1">
        <f t="array" ref="G5158">SUM(E5158/F5158)</f>
        <v>0.136363636363636</v>
      </c>
      <c r="H5158" s="15"/>
    </row>
    <row r="5159" ht="13.65" customHeight="1">
      <c r="A5159" s="21">
        <v>117</v>
      </c>
      <c r="B5159" t="s" s="22">
        <v>586</v>
      </c>
      <c r="C5159" s="23">
        <v>100</v>
      </c>
      <c r="D5159" t="s" s="24">
        <v>106</v>
      </c>
      <c r="E5159" s="25">
        <v>1.2</v>
      </c>
      <c r="F5159" s="23">
        <v>10</v>
      </c>
      <c r="G5159" s="152" cm="1">
        <f t="array" ref="G5159">SUM(E5159/F5159)</f>
        <v>0.12</v>
      </c>
      <c r="H5159" s="15"/>
    </row>
    <row r="5160" ht="13.65" customHeight="1">
      <c r="A5160" s="21">
        <v>86</v>
      </c>
      <c r="B5160" t="s" s="22">
        <v>107</v>
      </c>
      <c r="C5160" s="23">
        <v>1</v>
      </c>
      <c r="D5160" t="s" s="24">
        <v>274</v>
      </c>
      <c r="E5160" s="25">
        <v>0.32</v>
      </c>
      <c r="F5160" t="s" s="24">
        <v>301</v>
      </c>
      <c r="G5160" s="152" cm="1">
        <f t="array" ref="G5160">SUM(E5160*4)</f>
        <v>1.28</v>
      </c>
      <c r="H5160" s="15"/>
    </row>
    <row r="5161" ht="13.65" customHeight="1">
      <c r="A5161" s="21">
        <v>71</v>
      </c>
      <c r="B5161" t="s" s="22">
        <v>109</v>
      </c>
      <c r="C5161" s="23">
        <v>10</v>
      </c>
      <c r="D5161" t="s" s="24">
        <v>274</v>
      </c>
      <c r="E5161" s="25">
        <v>5.92</v>
      </c>
      <c r="F5161" s="23">
        <v>2.5</v>
      </c>
      <c r="G5161" s="152" cm="1">
        <f t="array" ref="G5161">SUM(E5161/F5161)</f>
        <v>2.368</v>
      </c>
      <c r="H5161" s="15"/>
    </row>
    <row r="5162" ht="13.65" customHeight="1">
      <c r="A5162" s="21">
        <v>87</v>
      </c>
      <c r="B5162" t="s" s="22">
        <v>110</v>
      </c>
      <c r="C5162" s="23">
        <v>50</v>
      </c>
      <c r="D5162" t="s" s="24">
        <v>274</v>
      </c>
      <c r="E5162" s="25">
        <v>9</v>
      </c>
      <c r="F5162" s="23">
        <v>12.5</v>
      </c>
      <c r="G5162" s="152" cm="1">
        <f t="array" ref="G5162">SUM(E5162/F5162)</f>
        <v>0.72</v>
      </c>
      <c r="H5162" s="15"/>
    </row>
    <row r="5163" ht="13.65" customHeight="1">
      <c r="A5163" s="21">
        <v>55</v>
      </c>
      <c r="B5163" t="s" s="22">
        <v>111</v>
      </c>
      <c r="C5163" t="s" s="24">
        <v>112</v>
      </c>
      <c r="D5163" t="s" s="24">
        <v>461</v>
      </c>
      <c r="E5163" s="25">
        <v>2.71</v>
      </c>
      <c r="F5163" s="23">
        <v>37.5</v>
      </c>
      <c r="G5163" s="152" cm="1">
        <f t="array" ref="G5163">SUM(E5163/F5163)</f>
        <v>0.0722666666666667</v>
      </c>
      <c r="H5163" s="15"/>
    </row>
    <row r="5164" ht="13.65" customHeight="1">
      <c r="A5164" s="21">
        <v>24</v>
      </c>
      <c r="B5164" t="s" s="22">
        <v>531</v>
      </c>
      <c r="C5164" s="23">
        <v>10</v>
      </c>
      <c r="D5164" t="s" s="24">
        <v>104</v>
      </c>
      <c r="E5164" s="25">
        <v>9.6</v>
      </c>
      <c r="F5164" s="23">
        <v>10</v>
      </c>
      <c r="G5164" s="152" cm="1">
        <f t="array" ref="G5164">SUM(E5164/F5164)</f>
        <v>0.96</v>
      </c>
      <c r="H5164" s="15"/>
    </row>
    <row r="5165" ht="13.65" customHeight="1">
      <c r="A5165" s="21">
        <v>101</v>
      </c>
      <c r="B5165" t="s" s="22">
        <v>407</v>
      </c>
      <c r="C5165" t="s" s="24">
        <v>380</v>
      </c>
      <c r="D5165" t="s" s="24">
        <v>537</v>
      </c>
      <c r="E5165" s="25">
        <v>7.5</v>
      </c>
      <c r="F5165" s="23">
        <v>25</v>
      </c>
      <c r="G5165" s="152" cm="1">
        <f t="array" ref="G5165">SUM(E5165/F5165)</f>
        <v>0.3</v>
      </c>
      <c r="H5165" s="15"/>
    </row>
    <row r="5166" ht="13.65" customHeight="1">
      <c r="A5166" s="21">
        <v>19</v>
      </c>
      <c r="B5166" t="s" s="22">
        <v>587</v>
      </c>
      <c r="C5166" s="23">
        <v>6</v>
      </c>
      <c r="D5166" t="s" s="24">
        <v>444</v>
      </c>
      <c r="E5166" s="25">
        <v>5.2</v>
      </c>
      <c r="F5166" s="23">
        <v>10</v>
      </c>
      <c r="G5166" s="152" cm="1">
        <f t="array" ref="G5166">SUM(E5166/F5166)</f>
        <v>0.52</v>
      </c>
      <c r="H5166" s="15"/>
    </row>
    <row r="5167" ht="13.65" customHeight="1">
      <c r="A5167" s="21">
        <v>19</v>
      </c>
      <c r="B5167" t="s" s="22">
        <v>437</v>
      </c>
      <c r="C5167" s="23">
        <v>2</v>
      </c>
      <c r="D5167" t="s" s="24">
        <v>588</v>
      </c>
      <c r="E5167" s="25">
        <v>5.2</v>
      </c>
      <c r="F5167" s="23">
        <v>5</v>
      </c>
      <c r="G5167" s="152" cm="1">
        <f t="array" ref="G5167">SUM(E5167/F5167)</f>
        <v>1.04</v>
      </c>
      <c r="H5167" s="15"/>
    </row>
    <row r="5168" ht="13.65" customHeight="1">
      <c r="A5168" s="21">
        <v>30</v>
      </c>
      <c r="B5168" t="s" s="22">
        <v>589</v>
      </c>
      <c r="C5168" t="s" s="24">
        <v>538</v>
      </c>
      <c r="D5168" t="s" s="24">
        <v>518</v>
      </c>
      <c r="E5168" s="25">
        <v>423</v>
      </c>
      <c r="F5168" s="23">
        <v>40</v>
      </c>
      <c r="G5168" s="152" cm="1">
        <f t="array" ref="G5168">SUM(E5168/F5168)</f>
        <v>10.575</v>
      </c>
      <c r="H5168" s="15"/>
    </row>
    <row r="5169" ht="13.65" customHeight="1">
      <c r="A5169" s="21">
        <v>130</v>
      </c>
      <c r="B5169" t="s" s="22">
        <v>590</v>
      </c>
      <c r="C5169" t="s" s="24">
        <v>390</v>
      </c>
      <c r="D5169" t="s" s="24">
        <v>540</v>
      </c>
      <c r="E5169" s="25">
        <v>12</v>
      </c>
      <c r="F5169" s="23">
        <v>200</v>
      </c>
      <c r="G5169" s="152" cm="1">
        <f t="array" ref="G5169">SUM(E5169/F5169)</f>
        <v>0.06</v>
      </c>
      <c r="H5169" s="15"/>
    </row>
    <row r="5170" ht="13.65" customHeight="1">
      <c r="A5170" s="21">
        <v>59</v>
      </c>
      <c r="B5170" t="s" s="22">
        <v>591</v>
      </c>
      <c r="C5170" t="s" s="24">
        <v>592</v>
      </c>
      <c r="D5170" t="s" s="24">
        <v>593</v>
      </c>
      <c r="E5170" s="25">
        <v>18</v>
      </c>
      <c r="F5170" s="23">
        <v>36</v>
      </c>
      <c r="G5170" s="152" cm="1">
        <f t="array" ref="G5170">SUM(E5170/F5170)</f>
        <v>0.5</v>
      </c>
      <c r="H5170" s="15"/>
    </row>
    <row r="5171" ht="13.65" customHeight="1">
      <c r="A5171" s="21">
        <v>27</v>
      </c>
      <c r="B5171" t="s" s="22">
        <v>594</v>
      </c>
      <c r="C5171" s="23">
        <v>18</v>
      </c>
      <c r="D5171" t="s" s="24">
        <v>104</v>
      </c>
      <c r="E5171" s="25">
        <v>6.5</v>
      </c>
      <c r="F5171" s="23">
        <v>18</v>
      </c>
      <c r="G5171" s="152" cm="1">
        <f t="array" ref="G5171">SUM(E5171/F5171)</f>
        <v>0.361111111111111</v>
      </c>
      <c r="H5171" s="15"/>
    </row>
    <row r="5172" ht="13.65" customHeight="1">
      <c r="A5172" s="21">
        <v>120</v>
      </c>
      <c r="B5172" t="s" s="22">
        <v>595</v>
      </c>
      <c r="C5172" t="s" s="24">
        <v>538</v>
      </c>
      <c r="D5172" t="s" s="24">
        <v>401</v>
      </c>
      <c r="E5172" s="25">
        <v>165</v>
      </c>
      <c r="F5172" s="23">
        <v>30</v>
      </c>
      <c r="G5172" s="152" cm="1">
        <f t="array" ref="G5172">SUM(E5172/F5172)</f>
        <v>5.5</v>
      </c>
      <c r="H5172" s="15"/>
    </row>
    <row r="5173" ht="13.65" customHeight="1">
      <c r="A5173" s="21">
        <v>111</v>
      </c>
      <c r="B5173" t="s" s="22">
        <v>476</v>
      </c>
      <c r="C5173" s="23">
        <v>1</v>
      </c>
      <c r="D5173" t="s" s="24">
        <v>401</v>
      </c>
      <c r="E5173" s="25">
        <v>2.7</v>
      </c>
      <c r="F5173" s="23">
        <v>30</v>
      </c>
      <c r="G5173" s="152" cm="1">
        <f t="array" ref="G5173">SUM(E5173/F5173)</f>
        <v>0.09</v>
      </c>
      <c r="H5173" s="15"/>
    </row>
    <row r="5174" ht="13.65" customHeight="1">
      <c r="A5174" s="21">
        <v>49</v>
      </c>
      <c r="B5174" t="s" s="22">
        <v>596</v>
      </c>
      <c r="C5174" s="23">
        <v>120</v>
      </c>
      <c r="D5174" t="s" s="24">
        <v>256</v>
      </c>
      <c r="E5174" s="25">
        <v>132</v>
      </c>
      <c r="F5174" s="23">
        <v>40</v>
      </c>
      <c r="G5174" s="152" cm="1">
        <f t="array" ref="G5174">SUM(E5174/F5174)</f>
        <v>3.3</v>
      </c>
      <c r="H5174" s="15"/>
    </row>
    <row r="5175" ht="13.65" customHeight="1">
      <c r="A5175" s="21">
        <v>7</v>
      </c>
      <c r="B5175" t="s" s="22">
        <v>477</v>
      </c>
      <c r="C5175" t="s" s="24">
        <v>478</v>
      </c>
      <c r="D5175" t="s" s="24">
        <v>479</v>
      </c>
      <c r="E5175" s="25">
        <v>14</v>
      </c>
      <c r="F5175" s="23">
        <v>10</v>
      </c>
      <c r="G5175" s="152" cm="1">
        <f t="array" ref="G5175">SUM(E5175/F5175)</f>
        <v>1.4</v>
      </c>
      <c r="H5175" s="15"/>
    </row>
    <row r="5176" ht="13.65" customHeight="1">
      <c r="A5176" s="21">
        <v>68</v>
      </c>
      <c r="B5176" t="s" s="22">
        <v>480</v>
      </c>
      <c r="C5176" t="s" s="24">
        <v>481</v>
      </c>
      <c r="D5176" t="s" s="24">
        <v>597</v>
      </c>
      <c r="E5176" s="25">
        <v>16</v>
      </c>
      <c r="F5176" s="23">
        <v>5</v>
      </c>
      <c r="G5176" s="152" cm="1">
        <f t="array" ref="G5176">SUM(E5176/F5176)</f>
        <v>3.2</v>
      </c>
      <c r="H5176" s="15"/>
    </row>
    <row r="5177" ht="13.65" customHeight="1">
      <c r="A5177" s="21">
        <v>69</v>
      </c>
      <c r="B5177" t="s" s="22">
        <v>598</v>
      </c>
      <c r="C5177" t="s" s="24">
        <v>481</v>
      </c>
      <c r="D5177" t="s" s="24">
        <v>597</v>
      </c>
      <c r="E5177" s="25">
        <v>3.5</v>
      </c>
      <c r="F5177" s="23">
        <v>5</v>
      </c>
      <c r="G5177" s="152" cm="1">
        <f t="array" ref="G5177">SUM(E5177/F5177)</f>
        <v>0.7</v>
      </c>
      <c r="H5177" s="15"/>
    </row>
    <row r="5178" ht="13.65" customHeight="1">
      <c r="A5178" s="21">
        <v>76</v>
      </c>
      <c r="B5178" t="s" s="22">
        <v>599</v>
      </c>
      <c r="C5178" t="s" s="24">
        <v>384</v>
      </c>
      <c r="D5178" t="s" s="24">
        <v>418</v>
      </c>
      <c r="E5178" s="25">
        <v>18</v>
      </c>
      <c r="F5178" s="23">
        <v>100</v>
      </c>
      <c r="G5178" s="152" cm="1">
        <f t="array" ref="G5178">SUM(E5178/F5178)</f>
        <v>0.18</v>
      </c>
      <c r="H5178" s="15"/>
    </row>
    <row r="5179" ht="13.65" customHeight="1">
      <c r="A5179" s="21">
        <v>105</v>
      </c>
      <c r="B5179" t="s" s="22">
        <v>600</v>
      </c>
      <c r="C5179" s="23">
        <v>1</v>
      </c>
      <c r="D5179" t="s" s="24">
        <v>104</v>
      </c>
      <c r="E5179" s="25">
        <v>0.35</v>
      </c>
      <c r="F5179" s="23">
        <v>1</v>
      </c>
      <c r="G5179" s="152" cm="1">
        <f t="array" ref="G5179">SUM(E5179/F5179)</f>
        <v>0.35</v>
      </c>
      <c r="H5179" s="15"/>
    </row>
    <row r="5180" ht="13.65" customHeight="1">
      <c r="A5180" s="21">
        <v>48</v>
      </c>
      <c r="B5180" t="s" s="22">
        <v>601</v>
      </c>
      <c r="C5180" s="23">
        <v>1</v>
      </c>
      <c r="D5180" t="s" s="24">
        <v>375</v>
      </c>
      <c r="E5180" s="25">
        <v>1</v>
      </c>
      <c r="F5180" s="23">
        <v>2</v>
      </c>
      <c r="G5180" s="152" cm="1">
        <f t="array" ref="G5180">SUM(E5180/F5180)</f>
        <v>0.5</v>
      </c>
      <c r="H5180" s="15"/>
    </row>
    <row r="5181" ht="13.65" customHeight="1">
      <c r="A5181" s="21">
        <v>131</v>
      </c>
      <c r="B5181" t="s" s="22">
        <v>482</v>
      </c>
      <c r="C5181" s="27"/>
      <c r="D5181" s="24"/>
      <c r="E5181" s="27"/>
      <c r="F5181" s="27"/>
      <c r="G5181" s="152">
        <v>90</v>
      </c>
      <c r="H5181" s="15"/>
    </row>
    <row r="5182" ht="13.65" customHeight="1">
      <c r="A5182" s="28"/>
      <c r="B5182" s="28"/>
      <c r="C5182" s="27"/>
      <c r="D5182" s="24"/>
      <c r="E5182" s="27"/>
      <c r="F5182" t="s" s="29">
        <v>118</v>
      </c>
      <c r="G5182" s="197" cm="1">
        <f t="array" ref="G5182">SUM(G5156:G5181)</f>
        <v>124.547141414141</v>
      </c>
      <c r="H5182" s="15"/>
    </row>
    <row r="5183" ht="13.65" customHeight="1">
      <c r="A5183" s="31"/>
      <c r="B5183" s="31"/>
      <c r="C5183" s="31"/>
      <c r="D5183" s="31"/>
      <c r="E5183" s="31"/>
      <c r="F5183" s="31"/>
      <c r="G5183" s="31"/>
      <c r="H5183" s="3"/>
    </row>
    <row r="5184" ht="13.65" customHeight="1">
      <c r="A5184" t="s" s="5">
        <v>813</v>
      </c>
      <c r="B5184" s="3"/>
      <c r="C5184" s="3"/>
      <c r="D5184" s="3"/>
      <c r="E5184" s="3"/>
      <c r="F5184" s="3"/>
      <c r="G5184" s="3"/>
      <c r="H5184" s="3"/>
    </row>
    <row r="5185" ht="13.65" customHeight="1">
      <c r="A5185" s="11"/>
      <c r="B5185" s="11"/>
      <c r="C5185" s="11"/>
      <c r="D5185" s="11"/>
      <c r="E5185" s="11"/>
      <c r="F5185" s="11"/>
      <c r="G5185" s="11"/>
      <c r="H5185" s="3"/>
    </row>
    <row r="5186" ht="11.7" customHeight="1">
      <c r="A5186" t="s" s="167">
        <v>136</v>
      </c>
      <c r="B5186" t="s" s="167">
        <v>281</v>
      </c>
      <c r="C5186" t="s" s="167">
        <v>282</v>
      </c>
      <c r="D5186" t="s" s="167">
        <v>118</v>
      </c>
      <c r="E5186" t="s" s="167">
        <v>814</v>
      </c>
      <c r="F5186" t="s" s="167">
        <v>605</v>
      </c>
      <c r="G5186" s="167"/>
      <c r="H5186" s="170"/>
    </row>
    <row r="5187" ht="13.65" customHeight="1">
      <c r="A5187" s="23">
        <v>140</v>
      </c>
      <c r="B5187" s="172" cm="1">
        <f t="array" ref="B5187">SUM(H256)</f>
        <v>2.47496540404041</v>
      </c>
      <c r="C5187" s="172" cm="1">
        <f t="array" ref="C5187">SUM(G5182)</f>
        <v>124.547141414141</v>
      </c>
      <c r="D5187" s="308" cm="1">
        <f t="array" ref="D5187">SUM(A5187*B5187+C5187)</f>
        <v>471.042297979798</v>
      </c>
      <c r="E5187" s="198" cm="1">
        <f t="array" ref="E5187">SUM(D5187)*0.1</f>
        <v>47.1042297979798</v>
      </c>
      <c r="F5187" s="154" cm="1">
        <f t="array" ref="F5187">SUM(D5187:E5187)</f>
        <v>518.146527777778</v>
      </c>
      <c r="G5187" s="306"/>
      <c r="H5187" s="15"/>
    </row>
    <row r="5188" ht="13.65" customHeight="1">
      <c r="A5188" s="31"/>
      <c r="B5188" s="31"/>
      <c r="C5188" s="31"/>
      <c r="D5188" s="31"/>
      <c r="E5188" s="31"/>
      <c r="F5188" s="31"/>
      <c r="G5188" s="31"/>
      <c r="H5188" s="3"/>
    </row>
    <row r="5189" ht="13.65" customHeight="1">
      <c r="A5189" s="203"/>
      <c r="B5189" s="203"/>
      <c r="C5189" s="203"/>
      <c r="D5189" s="203"/>
      <c r="E5189" s="203"/>
      <c r="F5189" s="203"/>
      <c r="G5189" s="203"/>
      <c r="H5189" s="203"/>
    </row>
    <row r="5190" ht="13.65" customHeight="1">
      <c r="A5190" t="s" s="274">
        <v>853</v>
      </c>
      <c r="B5190" s="275"/>
      <c r="C5190" s="275"/>
      <c r="D5190" s="275"/>
      <c r="E5190" s="280"/>
      <c r="F5190" s="275"/>
      <c r="G5190" s="275"/>
      <c r="H5190" s="277"/>
    </row>
    <row r="5191" ht="13.65" customHeight="1">
      <c r="A5191" s="278"/>
      <c r="B5191" s="278"/>
      <c r="C5191" s="278"/>
      <c r="D5191" s="278"/>
      <c r="E5191" s="278"/>
      <c r="F5191" s="278"/>
      <c r="G5191" s="278"/>
      <c r="H5191" s="278"/>
    </row>
    <row r="5192" ht="13.65" customHeight="1">
      <c r="A5192" s="3"/>
      <c r="B5192" s="3"/>
      <c r="C5192" s="3"/>
      <c r="D5192" s="3"/>
      <c r="E5192" s="3"/>
      <c r="F5192" s="3"/>
      <c r="G5192" s="3"/>
      <c r="H5192" s="3"/>
    </row>
    <row r="5193" ht="13.65" customHeight="1">
      <c r="A5193" t="s" s="5">
        <v>854</v>
      </c>
      <c r="B5193" s="3"/>
      <c r="C5193" s="3"/>
      <c r="D5193" s="3"/>
      <c r="E5193" s="3"/>
      <c r="F5193" s="3"/>
      <c r="G5193" s="3"/>
      <c r="H5193" s="3"/>
    </row>
    <row r="5194" ht="13.65" customHeight="1">
      <c r="A5194" s="11"/>
      <c r="B5194" s="11"/>
      <c r="C5194" s="11"/>
      <c r="D5194" s="11"/>
      <c r="E5194" s="11"/>
      <c r="F5194" s="11"/>
      <c r="G5194" s="11"/>
      <c r="H5194" s="3"/>
    </row>
    <row r="5195" ht="13.65" customHeight="1">
      <c r="A5195" s="12"/>
      <c r="B5195" s="12"/>
      <c r="C5195" s="13"/>
      <c r="D5195" s="14"/>
      <c r="E5195" s="13"/>
      <c r="F5195" s="13"/>
      <c r="G5195" t="s" s="14">
        <v>252</v>
      </c>
      <c r="H5195" s="150"/>
    </row>
    <row r="5196" ht="13.65" customHeight="1">
      <c r="A5196" t="s" s="16">
        <v>93</v>
      </c>
      <c r="B5196" t="s" s="16">
        <v>94</v>
      </c>
      <c r="C5196" t="s" s="16">
        <v>95</v>
      </c>
      <c r="D5196" t="s" s="16">
        <v>96</v>
      </c>
      <c r="E5196" t="s" s="16">
        <v>97</v>
      </c>
      <c r="F5196" t="s" s="16">
        <v>98</v>
      </c>
      <c r="G5196" t="s" s="16">
        <v>99</v>
      </c>
      <c r="H5196" s="15"/>
    </row>
    <row r="5197" ht="13.65" customHeight="1">
      <c r="A5197" s="151"/>
      <c r="B5197" s="151"/>
      <c r="C5197" s="19"/>
      <c r="D5197" s="20"/>
      <c r="E5197" s="19"/>
      <c r="F5197" s="19"/>
      <c r="G5197" t="s" s="20">
        <v>100</v>
      </c>
      <c r="H5197" s="15"/>
    </row>
    <row r="5198" ht="13.65" customHeight="1">
      <c r="A5198" s="21">
        <v>72</v>
      </c>
      <c r="B5198" t="s" s="22">
        <v>101</v>
      </c>
      <c r="C5198" s="23">
        <v>50</v>
      </c>
      <c r="D5198" t="s" s="24">
        <v>274</v>
      </c>
      <c r="E5198" s="25">
        <v>1.93</v>
      </c>
      <c r="F5198" s="23">
        <v>12.5</v>
      </c>
      <c r="G5198" s="152" cm="1">
        <f t="array" ref="G5198">SUM(E5198/F5198)</f>
        <v>0.1544</v>
      </c>
      <c r="H5198" s="15"/>
    </row>
    <row r="5199" ht="13.65" customHeight="1">
      <c r="A5199" s="21">
        <v>123</v>
      </c>
      <c r="B5199" t="s" s="22">
        <v>103</v>
      </c>
      <c r="C5199" s="23">
        <v>40</v>
      </c>
      <c r="D5199" t="s" s="24">
        <v>102</v>
      </c>
      <c r="E5199" s="25">
        <v>3.2</v>
      </c>
      <c r="F5199" s="23">
        <v>2</v>
      </c>
      <c r="G5199" s="152" cm="1">
        <f t="array" ref="G5199">SUM(E5199/F5199)</f>
        <v>1.6</v>
      </c>
      <c r="H5199" s="15"/>
    </row>
    <row r="5200" ht="13.65" customHeight="1">
      <c r="A5200" s="21">
        <v>57</v>
      </c>
      <c r="B5200" t="s" s="22">
        <v>253</v>
      </c>
      <c r="C5200" t="s" s="24">
        <v>389</v>
      </c>
      <c r="D5200" t="s" s="24">
        <v>371</v>
      </c>
      <c r="E5200" s="25">
        <v>4.5</v>
      </c>
      <c r="F5200" s="23">
        <v>33</v>
      </c>
      <c r="G5200" s="152" cm="1">
        <f t="array" ref="G5200">SUM(E5200/F5200)</f>
        <v>0.136363636363636</v>
      </c>
      <c r="H5200" s="15"/>
    </row>
    <row r="5201" ht="13.65" customHeight="1">
      <c r="A5201" s="21">
        <v>117</v>
      </c>
      <c r="B5201" t="s" s="22">
        <v>105</v>
      </c>
      <c r="C5201" s="23">
        <v>100</v>
      </c>
      <c r="D5201" t="s" s="24">
        <v>106</v>
      </c>
      <c r="E5201" s="25">
        <v>1.2</v>
      </c>
      <c r="F5201" s="23">
        <v>10</v>
      </c>
      <c r="G5201" s="152" cm="1">
        <f t="array" ref="G5201">SUM(E5201/F5201)</f>
        <v>0.12</v>
      </c>
      <c r="H5201" s="15"/>
    </row>
    <row r="5202" ht="13.65" customHeight="1">
      <c r="A5202" s="21">
        <v>86</v>
      </c>
      <c r="B5202" t="s" s="22">
        <v>107</v>
      </c>
      <c r="C5202" t="s" s="24">
        <v>108</v>
      </c>
      <c r="D5202" t="s" s="24">
        <v>274</v>
      </c>
      <c r="E5202" s="25">
        <v>0.32</v>
      </c>
      <c r="F5202" t="s" s="24">
        <v>803</v>
      </c>
      <c r="G5202" s="152" cm="1">
        <f t="array" ref="G5202">SUM(E5202*4)</f>
        <v>1.28</v>
      </c>
      <c r="H5202" s="15"/>
    </row>
    <row r="5203" ht="13.65" customHeight="1">
      <c r="A5203" s="21">
        <v>71</v>
      </c>
      <c r="B5203" t="s" s="22">
        <v>109</v>
      </c>
      <c r="C5203" s="23">
        <v>10</v>
      </c>
      <c r="D5203" t="s" s="24">
        <v>274</v>
      </c>
      <c r="E5203" s="25">
        <v>5.92</v>
      </c>
      <c r="F5203" s="23">
        <v>2.5</v>
      </c>
      <c r="G5203" s="152" cm="1">
        <f t="array" ref="G5203">SUM(E5203/F5203)</f>
        <v>2.368</v>
      </c>
      <c r="H5203" s="15"/>
    </row>
    <row r="5204" ht="13.65" customHeight="1">
      <c r="A5204" s="21">
        <v>87</v>
      </c>
      <c r="B5204" t="s" s="22">
        <v>110</v>
      </c>
      <c r="C5204" s="23">
        <v>50</v>
      </c>
      <c r="D5204" t="s" s="24">
        <v>274</v>
      </c>
      <c r="E5204" s="25">
        <v>9</v>
      </c>
      <c r="F5204" s="23">
        <v>12.5</v>
      </c>
      <c r="G5204" s="152" cm="1">
        <f t="array" ref="G5204">SUM(E5204/F5204)</f>
        <v>0.72</v>
      </c>
      <c r="H5204" s="15"/>
    </row>
    <row r="5205" ht="13.65" customHeight="1">
      <c r="A5205" s="21">
        <v>55</v>
      </c>
      <c r="B5205" t="s" s="22">
        <v>111</v>
      </c>
      <c r="C5205" t="s" s="24">
        <v>112</v>
      </c>
      <c r="D5205" t="s" s="24">
        <v>642</v>
      </c>
      <c r="E5205" s="25">
        <v>2.71</v>
      </c>
      <c r="F5205" s="23">
        <v>37</v>
      </c>
      <c r="G5205" s="152" cm="1">
        <f t="array" ref="G5205">SUM(E5205/F5205)</f>
        <v>0.0732432432432432</v>
      </c>
      <c r="H5205" s="15"/>
    </row>
    <row r="5206" ht="13.65" customHeight="1">
      <c r="A5206" s="21">
        <v>24</v>
      </c>
      <c r="B5206" t="s" s="22">
        <v>531</v>
      </c>
      <c r="C5206" s="23">
        <v>10</v>
      </c>
      <c r="D5206" t="s" s="24">
        <v>104</v>
      </c>
      <c r="E5206" s="25">
        <v>9.6</v>
      </c>
      <c r="F5206" s="23">
        <v>10</v>
      </c>
      <c r="G5206" s="152" cm="1">
        <f t="array" ref="G5206">SUM(E5206/F5206)</f>
        <v>0.96</v>
      </c>
      <c r="H5206" s="15"/>
    </row>
    <row r="5207" ht="13.65" customHeight="1">
      <c r="A5207" s="21">
        <v>19</v>
      </c>
      <c r="B5207" t="s" s="22">
        <v>445</v>
      </c>
      <c r="C5207" s="23">
        <v>6</v>
      </c>
      <c r="D5207" t="s" s="24">
        <v>694</v>
      </c>
      <c r="E5207" s="25">
        <v>5.2</v>
      </c>
      <c r="F5207" s="23">
        <v>10</v>
      </c>
      <c r="G5207" s="152" cm="1">
        <f t="array" ref="G5207">SUM(E5207/F5207)</f>
        <v>0.52</v>
      </c>
      <c r="H5207" s="15"/>
    </row>
    <row r="5208" ht="13.65" customHeight="1">
      <c r="A5208" s="21">
        <v>19</v>
      </c>
      <c r="B5208" t="s" s="22">
        <v>437</v>
      </c>
      <c r="C5208" s="23">
        <v>2</v>
      </c>
      <c r="D5208" t="s" s="24">
        <v>640</v>
      </c>
      <c r="E5208" s="25">
        <v>5.2</v>
      </c>
      <c r="F5208" s="23">
        <v>5</v>
      </c>
      <c r="G5208" s="152" cm="1">
        <f t="array" ref="G5208">SUM(E5208/F5208)</f>
        <v>1.04</v>
      </c>
      <c r="H5208" s="15"/>
    </row>
    <row r="5209" ht="13.65" customHeight="1">
      <c r="A5209" s="21">
        <v>30</v>
      </c>
      <c r="B5209" t="s" s="22">
        <v>589</v>
      </c>
      <c r="C5209" t="s" s="24">
        <v>538</v>
      </c>
      <c r="D5209" t="s" s="24">
        <v>518</v>
      </c>
      <c r="E5209" s="25">
        <v>423</v>
      </c>
      <c r="F5209" s="23">
        <v>40</v>
      </c>
      <c r="G5209" s="152" cm="1">
        <f t="array" ref="G5209">SUM(E5209/F5209)</f>
        <v>10.575</v>
      </c>
      <c r="H5209" s="15"/>
    </row>
    <row r="5210" ht="13.65" customHeight="1">
      <c r="A5210" s="21">
        <v>59</v>
      </c>
      <c r="B5210" t="s" s="22">
        <v>591</v>
      </c>
      <c r="C5210" t="s" s="24">
        <v>592</v>
      </c>
      <c r="D5210" t="s" s="24">
        <v>593</v>
      </c>
      <c r="E5210" s="25">
        <v>18</v>
      </c>
      <c r="F5210" s="23">
        <v>36</v>
      </c>
      <c r="G5210" s="152" cm="1">
        <f t="array" ref="G5210">SUM(E5210/F5210)</f>
        <v>0.5</v>
      </c>
      <c r="H5210" s="15"/>
    </row>
    <row r="5211" ht="13.65" customHeight="1">
      <c r="A5211" s="21">
        <v>27</v>
      </c>
      <c r="B5211" t="s" s="22">
        <v>474</v>
      </c>
      <c r="C5211" s="23">
        <v>18</v>
      </c>
      <c r="D5211" t="s" s="24">
        <v>104</v>
      </c>
      <c r="E5211" s="25">
        <v>6.5</v>
      </c>
      <c r="F5211" s="23">
        <v>18</v>
      </c>
      <c r="G5211" s="152" cm="1">
        <f t="array" ref="G5211">SUM(E5211/F5211)</f>
        <v>0.361111111111111</v>
      </c>
      <c r="H5211" s="15"/>
    </row>
    <row r="5212" ht="13.65" customHeight="1">
      <c r="A5212" s="21">
        <v>49</v>
      </c>
      <c r="B5212" t="s" s="22">
        <v>706</v>
      </c>
      <c r="C5212" s="23">
        <v>120</v>
      </c>
      <c r="D5212" t="s" s="24">
        <v>256</v>
      </c>
      <c r="E5212" s="25">
        <v>132</v>
      </c>
      <c r="F5212" s="23">
        <v>40</v>
      </c>
      <c r="G5212" s="152" cm="1">
        <f t="array" ref="G5212">SUM(E5212/F5212)</f>
        <v>3.3</v>
      </c>
      <c r="H5212" s="15"/>
    </row>
    <row r="5213" ht="13.65" customHeight="1">
      <c r="A5213" s="21">
        <v>120</v>
      </c>
      <c r="B5213" t="s" s="22">
        <v>799</v>
      </c>
      <c r="C5213" t="s" s="24">
        <v>538</v>
      </c>
      <c r="D5213" t="s" s="24">
        <v>805</v>
      </c>
      <c r="E5213" s="25">
        <v>165</v>
      </c>
      <c r="F5213" s="23">
        <v>30</v>
      </c>
      <c r="G5213" s="152" cm="1">
        <f t="array" ref="G5213">SUM(E5213/F5213)</f>
        <v>5.5</v>
      </c>
      <c r="H5213" s="15"/>
    </row>
    <row r="5214" ht="13.65" customHeight="1">
      <c r="A5214" s="21">
        <v>111</v>
      </c>
      <c r="B5214" t="s" s="22">
        <v>476</v>
      </c>
      <c r="C5214" s="23">
        <v>1</v>
      </c>
      <c r="D5214" t="s" s="24">
        <v>401</v>
      </c>
      <c r="E5214" s="25">
        <v>2.7</v>
      </c>
      <c r="F5214" s="23">
        <v>30</v>
      </c>
      <c r="G5214" s="152" cm="1">
        <f t="array" ref="G5214">SUM(E5214/F5214)</f>
        <v>0.09</v>
      </c>
      <c r="H5214" s="15"/>
    </row>
    <row r="5215" ht="13.65" customHeight="1">
      <c r="A5215" s="21">
        <v>7</v>
      </c>
      <c r="B5215" t="s" s="22">
        <v>477</v>
      </c>
      <c r="C5215" t="s" s="24">
        <v>478</v>
      </c>
      <c r="D5215" t="s" s="24">
        <v>479</v>
      </c>
      <c r="E5215" s="25">
        <v>14</v>
      </c>
      <c r="F5215" s="23">
        <v>10</v>
      </c>
      <c r="G5215" s="152" cm="1">
        <f t="array" ref="G5215">SUM(E5215/F5215)</f>
        <v>1.4</v>
      </c>
      <c r="H5215" s="15"/>
    </row>
    <row r="5216" ht="13.65" customHeight="1">
      <c r="A5216" s="21">
        <v>68</v>
      </c>
      <c r="B5216" t="s" s="22">
        <v>480</v>
      </c>
      <c r="C5216" t="s" s="24">
        <v>481</v>
      </c>
      <c r="D5216" t="s" s="24">
        <v>597</v>
      </c>
      <c r="E5216" s="25">
        <v>16</v>
      </c>
      <c r="F5216" s="23">
        <v>5</v>
      </c>
      <c r="G5216" s="152" cm="1">
        <f t="array" ref="G5216">SUM(E5216/F5216)</f>
        <v>3.2</v>
      </c>
      <c r="H5216" s="15"/>
    </row>
    <row r="5217" ht="13.65" customHeight="1">
      <c r="A5217" s="21">
        <v>69</v>
      </c>
      <c r="B5217" t="s" s="22">
        <v>598</v>
      </c>
      <c r="C5217" t="s" s="24">
        <v>481</v>
      </c>
      <c r="D5217" t="s" s="24">
        <v>597</v>
      </c>
      <c r="E5217" s="25">
        <v>3.5</v>
      </c>
      <c r="F5217" s="23">
        <v>5</v>
      </c>
      <c r="G5217" s="152" cm="1">
        <f t="array" ref="G5217">SUM(E5217/F5217)</f>
        <v>0.7</v>
      </c>
      <c r="H5217" s="15"/>
    </row>
    <row r="5218" ht="13.65" customHeight="1">
      <c r="A5218" s="21">
        <v>76</v>
      </c>
      <c r="B5218" t="s" s="22">
        <v>599</v>
      </c>
      <c r="C5218" t="s" s="24">
        <v>384</v>
      </c>
      <c r="D5218" t="s" s="24">
        <v>418</v>
      </c>
      <c r="E5218" s="25">
        <v>18</v>
      </c>
      <c r="F5218" s="23">
        <v>100</v>
      </c>
      <c r="G5218" s="152" cm="1">
        <f t="array" ref="G5218">SUM(E5218/F5218)</f>
        <v>0.18</v>
      </c>
      <c r="H5218" s="15"/>
    </row>
    <row r="5219" ht="13.65" customHeight="1">
      <c r="A5219" s="21">
        <v>48</v>
      </c>
      <c r="B5219" t="s" s="22">
        <v>710</v>
      </c>
      <c r="C5219" s="23">
        <v>1</v>
      </c>
      <c r="D5219" t="s" s="24">
        <v>277</v>
      </c>
      <c r="E5219" s="25">
        <v>1</v>
      </c>
      <c r="F5219" s="23">
        <v>2</v>
      </c>
      <c r="G5219" s="152" cm="1">
        <f t="array" ref="G5219">SUM(E5219/F5219)</f>
        <v>0.5</v>
      </c>
      <c r="H5219" s="15"/>
    </row>
    <row r="5220" ht="13.65" customHeight="1">
      <c r="A5220" s="21">
        <v>101</v>
      </c>
      <c r="B5220" t="s" s="22">
        <v>407</v>
      </c>
      <c r="C5220" t="s" s="24">
        <v>380</v>
      </c>
      <c r="D5220" t="s" s="24">
        <v>408</v>
      </c>
      <c r="E5220" s="25">
        <v>7.5</v>
      </c>
      <c r="F5220" s="23">
        <v>50</v>
      </c>
      <c r="G5220" s="152" cm="1">
        <f t="array" ref="G5220">SUM(E5220/F5220)</f>
        <v>0.15</v>
      </c>
      <c r="H5220" s="15"/>
    </row>
    <row r="5221" ht="13.65" customHeight="1">
      <c r="A5221" s="21">
        <v>105</v>
      </c>
      <c r="B5221" t="s" s="22">
        <v>600</v>
      </c>
      <c r="C5221" s="23">
        <v>1</v>
      </c>
      <c r="D5221" t="s" s="24">
        <v>104</v>
      </c>
      <c r="E5221" s="25">
        <v>0.35</v>
      </c>
      <c r="F5221" s="23">
        <v>1</v>
      </c>
      <c r="G5221" s="152" cm="1">
        <f t="array" ref="G5221">SUM(E5221/F5221)</f>
        <v>0.35</v>
      </c>
      <c r="H5221" s="15"/>
    </row>
    <row r="5222" ht="13.65" customHeight="1">
      <c r="A5222" s="21">
        <v>131</v>
      </c>
      <c r="B5222" t="s" s="22">
        <v>482</v>
      </c>
      <c r="C5222" s="27"/>
      <c r="D5222" s="24"/>
      <c r="E5222" s="25"/>
      <c r="F5222" s="27"/>
      <c r="G5222" s="152">
        <v>70</v>
      </c>
      <c r="H5222" s="15"/>
    </row>
    <row r="5223" ht="13.65" customHeight="1">
      <c r="A5223" s="28"/>
      <c r="B5223" s="28"/>
      <c r="C5223" s="27"/>
      <c r="D5223" s="24"/>
      <c r="E5223" s="27"/>
      <c r="F5223" t="s" s="29">
        <v>118</v>
      </c>
      <c r="G5223" s="197" cm="1">
        <f t="array" ref="G5223">SUM(G5198:G5222)</f>
        <v>105.778117990718</v>
      </c>
      <c r="H5223" s="15"/>
    </row>
    <row r="5224" ht="13.65" customHeight="1">
      <c r="A5224" s="31"/>
      <c r="B5224" s="31"/>
      <c r="C5224" s="31"/>
      <c r="D5224" s="31"/>
      <c r="E5224" s="31"/>
      <c r="F5224" s="31"/>
      <c r="G5224" s="31"/>
      <c r="H5224" s="3"/>
    </row>
    <row r="5225" ht="13.65" customHeight="1">
      <c r="A5225" t="s" s="5">
        <v>813</v>
      </c>
      <c r="B5225" s="3"/>
      <c r="C5225" s="3"/>
      <c r="D5225" s="3"/>
      <c r="E5225" s="3"/>
      <c r="F5225" s="3"/>
      <c r="G5225" s="3"/>
      <c r="H5225" s="3"/>
    </row>
    <row r="5226" ht="13.65" customHeight="1">
      <c r="A5226" s="11"/>
      <c r="B5226" s="11"/>
      <c r="C5226" s="11"/>
      <c r="D5226" s="11"/>
      <c r="E5226" s="11"/>
      <c r="F5226" s="11"/>
      <c r="G5226" s="11"/>
      <c r="H5226" s="3"/>
    </row>
    <row r="5227" ht="11.7" customHeight="1">
      <c r="A5227" t="s" s="167">
        <v>136</v>
      </c>
      <c r="B5227" t="s" s="167">
        <v>281</v>
      </c>
      <c r="C5227" t="s" s="167">
        <v>282</v>
      </c>
      <c r="D5227" t="s" s="167">
        <v>118</v>
      </c>
      <c r="E5227" t="s" s="167">
        <v>814</v>
      </c>
      <c r="F5227" t="s" s="167">
        <v>605</v>
      </c>
      <c r="G5227" s="167"/>
      <c r="H5227" s="170"/>
    </row>
    <row r="5228" ht="13.65" customHeight="1">
      <c r="A5228" s="23">
        <v>160</v>
      </c>
      <c r="B5228" s="172" cm="1">
        <f t="array" ref="B5228">SUM(H256)</f>
        <v>2.47496540404041</v>
      </c>
      <c r="C5228" s="172" cm="1">
        <f t="array" ref="C5228">SUM(G5223)</f>
        <v>105.778117990718</v>
      </c>
      <c r="D5228" s="308" cm="1">
        <f t="array" ref="D5228">SUM(A5228*B5228+C5228)</f>
        <v>501.772582637184</v>
      </c>
      <c r="E5228" s="198" cm="1">
        <f t="array" ref="E5228">SUM(D5228)*0.1</f>
        <v>50.1772582637184</v>
      </c>
      <c r="F5228" s="154" cm="1">
        <f t="array" ref="F5228">SUM(D5228:E5228)</f>
        <v>551.949840900902</v>
      </c>
      <c r="G5228" s="306"/>
      <c r="H5228" s="15"/>
    </row>
    <row r="5229" ht="13.65" customHeight="1">
      <c r="A5229" s="31"/>
      <c r="B5229" s="31"/>
      <c r="C5229" s="31"/>
      <c r="D5229" s="31"/>
      <c r="E5229" s="31"/>
      <c r="F5229" s="31"/>
      <c r="G5229" s="31"/>
      <c r="H5229" s="3"/>
    </row>
    <row r="5230" ht="13.65" customHeight="1">
      <c r="A5230" s="203"/>
      <c r="B5230" s="203"/>
      <c r="C5230" s="203"/>
      <c r="D5230" s="203"/>
      <c r="E5230" s="203"/>
      <c r="F5230" s="203"/>
      <c r="G5230" s="203"/>
      <c r="H5230" s="203"/>
    </row>
    <row r="5231" ht="13.65" customHeight="1">
      <c r="A5231" t="s" s="274">
        <v>284</v>
      </c>
      <c r="B5231" s="275"/>
      <c r="C5231" s="275"/>
      <c r="D5231" s="275"/>
      <c r="E5231" s="280"/>
      <c r="F5231" s="275"/>
      <c r="G5231" s="275"/>
      <c r="H5231" s="277"/>
    </row>
    <row r="5232" ht="13.65" customHeight="1">
      <c r="A5232" s="278"/>
      <c r="B5232" s="278"/>
      <c r="C5232" s="278"/>
      <c r="D5232" s="278"/>
      <c r="E5232" s="278"/>
      <c r="F5232" s="278"/>
      <c r="G5232" s="278"/>
      <c r="H5232" s="278"/>
    </row>
    <row r="5233" ht="13.65" customHeight="1">
      <c r="A5233" s="3"/>
      <c r="B5233" s="3"/>
      <c r="C5233" s="3"/>
      <c r="D5233" s="3"/>
      <c r="E5233" s="3"/>
      <c r="F5233" s="3"/>
      <c r="G5233" s="3"/>
      <c r="H5233" s="3"/>
    </row>
    <row r="5234" ht="13.65" customHeight="1">
      <c r="A5234" t="s" s="5">
        <v>855</v>
      </c>
      <c r="B5234" s="3"/>
      <c r="C5234" s="3"/>
      <c r="D5234" s="3"/>
      <c r="E5234" s="3"/>
      <c r="F5234" s="3"/>
      <c r="G5234" s="3"/>
      <c r="H5234" s="3"/>
    </row>
    <row r="5235" ht="13.65" customHeight="1">
      <c r="A5235" s="11"/>
      <c r="B5235" s="11"/>
      <c r="C5235" s="11"/>
      <c r="D5235" s="11"/>
      <c r="E5235" s="11"/>
      <c r="F5235" s="11"/>
      <c r="G5235" s="11"/>
      <c r="H5235" s="3"/>
    </row>
    <row r="5236" ht="13.65" customHeight="1">
      <c r="A5236" s="12"/>
      <c r="B5236" s="12"/>
      <c r="C5236" s="13"/>
      <c r="D5236" s="14"/>
      <c r="E5236" s="13"/>
      <c r="F5236" s="13"/>
      <c r="G5236" t="s" s="14">
        <v>252</v>
      </c>
      <c r="H5236" s="150"/>
    </row>
    <row r="5237" ht="13.65" customHeight="1">
      <c r="A5237" t="s" s="16">
        <v>93</v>
      </c>
      <c r="B5237" t="s" s="16">
        <v>94</v>
      </c>
      <c r="C5237" t="s" s="16">
        <v>95</v>
      </c>
      <c r="D5237" t="s" s="16">
        <v>96</v>
      </c>
      <c r="E5237" t="s" s="16">
        <v>97</v>
      </c>
      <c r="F5237" t="s" s="16">
        <v>98</v>
      </c>
      <c r="G5237" t="s" s="16">
        <v>99</v>
      </c>
      <c r="H5237" s="15"/>
    </row>
    <row r="5238" ht="13.65" customHeight="1">
      <c r="A5238" s="151"/>
      <c r="B5238" s="151"/>
      <c r="C5238" s="19"/>
      <c r="D5238" s="20"/>
      <c r="E5238" s="19"/>
      <c r="F5238" s="19"/>
      <c r="G5238" t="s" s="20">
        <v>100</v>
      </c>
      <c r="H5238" s="15"/>
    </row>
    <row r="5239" ht="13.65" customHeight="1">
      <c r="A5239" s="21">
        <v>72</v>
      </c>
      <c r="B5239" t="s" s="22">
        <v>101</v>
      </c>
      <c r="C5239" s="23">
        <v>50</v>
      </c>
      <c r="D5239" t="s" s="24">
        <v>274</v>
      </c>
      <c r="E5239" s="25">
        <v>1.93</v>
      </c>
      <c r="F5239" s="23">
        <v>12.5</v>
      </c>
      <c r="G5239" s="152" cm="1">
        <f t="array" ref="G5239">SUM(E5239/F5239)</f>
        <v>0.1544</v>
      </c>
      <c r="H5239" s="15"/>
    </row>
    <row r="5240" ht="13.65" customHeight="1">
      <c r="A5240" s="21">
        <v>123</v>
      </c>
      <c r="B5240" t="s" s="22">
        <v>103</v>
      </c>
      <c r="C5240" s="23">
        <v>40</v>
      </c>
      <c r="D5240" t="s" s="24">
        <v>102</v>
      </c>
      <c r="E5240" s="25">
        <v>3.2</v>
      </c>
      <c r="F5240" s="23">
        <v>20</v>
      </c>
      <c r="G5240" s="152" cm="1">
        <f t="array" ref="G5240">SUM(E5240/F5240)</f>
        <v>0.16</v>
      </c>
      <c r="H5240" s="15"/>
    </row>
    <row r="5241" ht="13.65" customHeight="1">
      <c r="A5241" s="21">
        <v>117</v>
      </c>
      <c r="B5241" t="s" s="22">
        <v>105</v>
      </c>
      <c r="C5241" s="23">
        <v>100</v>
      </c>
      <c r="D5241" t="s" s="24">
        <v>106</v>
      </c>
      <c r="E5241" s="25">
        <v>1.2</v>
      </c>
      <c r="F5241" s="23">
        <v>10</v>
      </c>
      <c r="G5241" s="152" cm="1">
        <f t="array" ref="G5241">SUM(E5241/F5241)</f>
        <v>0.12</v>
      </c>
      <c r="H5241" s="15"/>
    </row>
    <row r="5242" ht="13.65" customHeight="1">
      <c r="A5242" s="21">
        <v>86</v>
      </c>
      <c r="B5242" t="s" s="22">
        <v>107</v>
      </c>
      <c r="C5242" t="s" s="24">
        <v>108</v>
      </c>
      <c r="D5242" t="s" s="24">
        <v>274</v>
      </c>
      <c r="E5242" s="25">
        <v>0.32</v>
      </c>
      <c r="F5242" t="s" s="24">
        <v>301</v>
      </c>
      <c r="G5242" s="152" cm="1">
        <f t="array" ref="G5242">SUM(E5242*4)</f>
        <v>1.28</v>
      </c>
      <c r="H5242" s="15"/>
    </row>
    <row r="5243" ht="13.65" customHeight="1">
      <c r="A5243" s="21">
        <v>71</v>
      </c>
      <c r="B5243" t="s" s="22">
        <v>109</v>
      </c>
      <c r="C5243" s="23">
        <v>10</v>
      </c>
      <c r="D5243" t="s" s="24">
        <v>274</v>
      </c>
      <c r="E5243" s="25">
        <v>5.92</v>
      </c>
      <c r="F5243" s="23">
        <v>2.5</v>
      </c>
      <c r="G5243" s="152" cm="1">
        <f t="array" ref="G5243">SUM(E5243/F5243)</f>
        <v>2.368</v>
      </c>
      <c r="H5243" s="15"/>
    </row>
    <row r="5244" ht="13.65" customHeight="1">
      <c r="A5244" s="21">
        <v>87</v>
      </c>
      <c r="B5244" t="s" s="22">
        <v>110</v>
      </c>
      <c r="C5244" s="23">
        <v>50</v>
      </c>
      <c r="D5244" t="s" s="24">
        <v>274</v>
      </c>
      <c r="E5244" s="25">
        <v>9</v>
      </c>
      <c r="F5244" s="23">
        <v>12.5</v>
      </c>
      <c r="G5244" s="152" cm="1">
        <f t="array" ref="G5244">SUM(E5244/F5244)</f>
        <v>0.72</v>
      </c>
      <c r="H5244" s="15"/>
    </row>
    <row r="5245" ht="13.65" customHeight="1">
      <c r="A5245" s="21">
        <v>55</v>
      </c>
      <c r="B5245" t="s" s="22">
        <v>111</v>
      </c>
      <c r="C5245" t="s" s="24">
        <v>112</v>
      </c>
      <c r="D5245" t="s" s="24">
        <v>461</v>
      </c>
      <c r="E5245" s="25">
        <v>2.71</v>
      </c>
      <c r="F5245" s="23">
        <v>37.5</v>
      </c>
      <c r="G5245" s="152" cm="1">
        <f t="array" ref="G5245">SUM(E5245/F5245)</f>
        <v>0.0722666666666667</v>
      </c>
      <c r="H5245" s="15"/>
    </row>
    <row r="5246" ht="13.65" customHeight="1">
      <c r="A5246" s="21">
        <v>24</v>
      </c>
      <c r="B5246" t="s" s="22">
        <v>502</v>
      </c>
      <c r="C5246" s="23">
        <v>10</v>
      </c>
      <c r="D5246" t="s" s="24">
        <v>104</v>
      </c>
      <c r="E5246" s="25">
        <v>9.6</v>
      </c>
      <c r="F5246" s="23">
        <v>10</v>
      </c>
      <c r="G5246" s="152" cm="1">
        <f t="array" ref="G5246">SUM(E5246/F5246)</f>
        <v>0.96</v>
      </c>
      <c r="H5246" s="15"/>
    </row>
    <row r="5247" ht="13.65" customHeight="1">
      <c r="A5247" s="21">
        <v>10</v>
      </c>
      <c r="B5247" t="s" s="22">
        <v>395</v>
      </c>
      <c r="C5247" t="s" s="24">
        <v>396</v>
      </c>
      <c r="D5247" t="s" s="24">
        <v>397</v>
      </c>
      <c r="E5247" s="25">
        <v>3.92</v>
      </c>
      <c r="F5247" s="23">
        <v>50</v>
      </c>
      <c r="G5247" s="152" cm="1">
        <f t="array" ref="G5247">SUM(E5247/F5247)</f>
        <v>0.0784</v>
      </c>
      <c r="H5247" s="15"/>
    </row>
    <row r="5248" ht="13.65" customHeight="1">
      <c r="A5248" s="21">
        <v>9</v>
      </c>
      <c r="B5248" t="s" s="22">
        <v>398</v>
      </c>
      <c r="C5248" t="s" s="24">
        <v>503</v>
      </c>
      <c r="D5248" t="s" s="24">
        <v>104</v>
      </c>
      <c r="E5248" s="25">
        <v>14</v>
      </c>
      <c r="F5248" s="23">
        <v>50</v>
      </c>
      <c r="G5248" s="152" cm="1">
        <f t="array" ref="G5248">SUM(E5248/F5248)</f>
        <v>0.28</v>
      </c>
      <c r="H5248" s="15"/>
    </row>
    <row r="5249" ht="13.65" customHeight="1">
      <c r="A5249" s="21">
        <v>6</v>
      </c>
      <c r="B5249" t="s" s="22">
        <v>399</v>
      </c>
      <c r="C5249" t="s" s="24">
        <v>436</v>
      </c>
      <c r="D5249" t="s" s="24">
        <v>104</v>
      </c>
      <c r="E5249" s="25">
        <v>19</v>
      </c>
      <c r="F5249" s="23">
        <v>100</v>
      </c>
      <c r="G5249" s="152" cm="1">
        <f t="array" ref="G5249">SUM(E5249/F5249)</f>
        <v>0.19</v>
      </c>
      <c r="H5249" s="15"/>
    </row>
    <row r="5250" ht="13.65" customHeight="1">
      <c r="A5250" s="21">
        <v>11</v>
      </c>
      <c r="B5250" t="s" s="22">
        <v>440</v>
      </c>
      <c r="C5250" t="s" s="24">
        <v>441</v>
      </c>
      <c r="D5250" t="s" s="24">
        <v>442</v>
      </c>
      <c r="E5250" s="25">
        <v>49</v>
      </c>
      <c r="F5250" s="23">
        <v>44</v>
      </c>
      <c r="G5250" s="152" cm="1">
        <f t="array" ref="G5250">SUM(E5250/F5250)</f>
        <v>1.11363636363636</v>
      </c>
      <c r="H5250" s="15"/>
    </row>
    <row r="5251" ht="13.65" customHeight="1">
      <c r="A5251" s="21">
        <v>19</v>
      </c>
      <c r="B5251" t="s" s="22">
        <v>414</v>
      </c>
      <c r="C5251" s="23">
        <v>1</v>
      </c>
      <c r="D5251" t="s" s="24">
        <v>116</v>
      </c>
      <c r="E5251" s="25">
        <v>5.2</v>
      </c>
      <c r="F5251" s="23">
        <v>10</v>
      </c>
      <c r="G5251" s="152" cm="1">
        <f t="array" ref="G5251">SUM(E5251/F5251)</f>
        <v>0.52</v>
      </c>
      <c r="H5251" s="15"/>
    </row>
    <row r="5252" ht="13.65" customHeight="1">
      <c r="A5252" s="21">
        <v>34</v>
      </c>
      <c r="B5252" t="s" s="22">
        <v>456</v>
      </c>
      <c r="C5252" t="s" s="24">
        <v>432</v>
      </c>
      <c r="D5252" t="s" s="24">
        <v>408</v>
      </c>
      <c r="E5252" s="25">
        <v>31</v>
      </c>
      <c r="F5252" s="23">
        <v>14</v>
      </c>
      <c r="G5252" s="152" cm="1">
        <f t="array" ref="G5252">SUM(E5252/F5252)</f>
        <v>2.21428571428571</v>
      </c>
      <c r="H5252" s="15"/>
    </row>
    <row r="5253" ht="13.65" customHeight="1">
      <c r="A5253" s="28"/>
      <c r="B5253" s="28"/>
      <c r="C5253" t="s" s="24">
        <v>390</v>
      </c>
      <c r="D5253" t="s" s="24">
        <v>457</v>
      </c>
      <c r="E5253" s="25">
        <v>14</v>
      </c>
      <c r="F5253" s="23">
        <v>20</v>
      </c>
      <c r="G5253" s="152" cm="1">
        <f t="array" ref="G5253">SUM(E5253/F5253)</f>
        <v>0.7</v>
      </c>
      <c r="H5253" s="15"/>
    </row>
    <row r="5254" ht="13.65" customHeight="1">
      <c r="A5254" s="28"/>
      <c r="B5254" s="28"/>
      <c r="C5254" s="27"/>
      <c r="D5254" s="24"/>
      <c r="E5254" s="27"/>
      <c r="F5254" t="s" s="29">
        <v>118</v>
      </c>
      <c r="G5254" s="197" cm="1">
        <f t="array" ref="G5254">SUM(G5239:G5251)</f>
        <v>8.016703030303031</v>
      </c>
      <c r="H5254" s="15"/>
    </row>
    <row r="5255" ht="13.65" customHeight="1">
      <c r="A5255" s="129"/>
      <c r="B5255" s="129"/>
      <c r="C5255" s="129"/>
      <c r="D5255" s="129"/>
      <c r="E5255" s="129"/>
      <c r="F5255" s="31"/>
      <c r="G5255" s="31"/>
      <c r="H5255" s="3"/>
    </row>
    <row r="5256" ht="11.7" customHeight="1">
      <c r="A5256" t="s" s="167">
        <v>136</v>
      </c>
      <c r="B5256" t="s" s="167">
        <v>281</v>
      </c>
      <c r="C5256" t="s" s="167">
        <v>282</v>
      </c>
      <c r="D5256" t="s" s="168">
        <v>283</v>
      </c>
      <c r="E5256" s="169"/>
      <c r="F5256" s="170"/>
      <c r="G5256" s="171"/>
      <c r="H5256" s="171"/>
    </row>
    <row r="5257" ht="13.65" customHeight="1">
      <c r="A5257" s="23">
        <v>30</v>
      </c>
      <c r="B5257" s="172" cm="1">
        <f t="array" ref="B5257">SUM(H256)</f>
        <v>2.47496540404041</v>
      </c>
      <c r="C5257" s="172" cm="1">
        <f t="array" ref="C5257">SUM(G5254)</f>
        <v>8.016703030303031</v>
      </c>
      <c r="D5257" s="199" cm="1">
        <f t="array" ref="D5257">SUM(A5257*B5257)+(C5257)</f>
        <v>82.26566515151529</v>
      </c>
      <c r="E5257" s="200"/>
      <c r="F5257" s="15"/>
      <c r="G5257" s="3"/>
      <c r="H5257" s="3"/>
    </row>
    <row r="5258" ht="13.65" customHeight="1">
      <c r="A5258" s="31"/>
      <c r="B5258" s="31"/>
      <c r="C5258" s="31"/>
      <c r="D5258" s="31"/>
      <c r="E5258" s="31"/>
      <c r="F5258" s="3"/>
      <c r="G5258" s="3"/>
      <c r="H5258" s="3"/>
    </row>
    <row r="5259" ht="13.65" customHeight="1">
      <c r="A5259" s="3"/>
      <c r="B5259" s="3"/>
      <c r="C5259" s="3"/>
      <c r="D5259" s="3"/>
      <c r="E5259" s="3"/>
      <c r="F5259" s="3"/>
      <c r="G5259" s="3"/>
      <c r="H5259" s="3"/>
    </row>
    <row r="5260" ht="13.65" customHeight="1">
      <c r="A5260" t="s" s="5">
        <v>856</v>
      </c>
      <c r="B5260" s="3"/>
      <c r="C5260" s="3"/>
      <c r="D5260" s="3"/>
      <c r="E5260" s="3"/>
      <c r="F5260" s="3"/>
      <c r="G5260" s="3"/>
      <c r="H5260" s="3"/>
    </row>
    <row r="5261" ht="13.65" customHeight="1">
      <c r="A5261" t="s" s="5">
        <v>857</v>
      </c>
      <c r="B5261" s="3"/>
      <c r="C5261" s="3"/>
      <c r="D5261" s="3"/>
      <c r="E5261" s="3"/>
      <c r="F5261" s="3"/>
      <c r="G5261" s="3"/>
      <c r="H5261" s="3"/>
    </row>
    <row r="5262" ht="13.65" customHeight="1">
      <c r="A5262" s="11"/>
      <c r="B5262" s="11"/>
      <c r="C5262" s="11"/>
      <c r="D5262" s="11"/>
      <c r="E5262" s="11"/>
      <c r="F5262" s="11"/>
      <c r="G5262" s="11"/>
      <c r="H5262" s="3"/>
    </row>
    <row r="5263" ht="13.65" customHeight="1">
      <c r="A5263" s="12"/>
      <c r="B5263" s="12"/>
      <c r="C5263" s="13"/>
      <c r="D5263" s="14"/>
      <c r="E5263" s="13"/>
      <c r="F5263" s="13"/>
      <c r="G5263" t="s" s="14">
        <v>252</v>
      </c>
      <c r="H5263" s="150"/>
    </row>
    <row r="5264" ht="13.65" customHeight="1">
      <c r="A5264" t="s" s="16">
        <v>93</v>
      </c>
      <c r="B5264" t="s" s="16">
        <v>94</v>
      </c>
      <c r="C5264" t="s" s="16">
        <v>95</v>
      </c>
      <c r="D5264" t="s" s="16">
        <v>96</v>
      </c>
      <c r="E5264" t="s" s="16">
        <v>97</v>
      </c>
      <c r="F5264" t="s" s="16">
        <v>98</v>
      </c>
      <c r="G5264" t="s" s="16">
        <v>99</v>
      </c>
      <c r="H5264" s="15"/>
    </row>
    <row r="5265" ht="13.65" customHeight="1">
      <c r="A5265" s="151"/>
      <c r="B5265" s="151"/>
      <c r="C5265" s="19"/>
      <c r="D5265" s="20"/>
      <c r="E5265" s="19"/>
      <c r="F5265" s="19"/>
      <c r="G5265" t="s" s="20">
        <v>100</v>
      </c>
      <c r="H5265" s="15"/>
    </row>
    <row r="5266" ht="13.65" customHeight="1">
      <c r="A5266" s="21">
        <v>72</v>
      </c>
      <c r="B5266" t="s" s="22">
        <v>101</v>
      </c>
      <c r="C5266" s="23">
        <v>50</v>
      </c>
      <c r="D5266" t="s" s="24">
        <v>274</v>
      </c>
      <c r="E5266" s="25">
        <v>1.93</v>
      </c>
      <c r="F5266" s="23">
        <v>12.5</v>
      </c>
      <c r="G5266" s="152" cm="1">
        <f t="array" ref="G5266">SUM(E5266/F5266)</f>
        <v>0.1544</v>
      </c>
      <c r="H5266" s="15"/>
    </row>
    <row r="5267" ht="13.65" customHeight="1">
      <c r="A5267" s="21">
        <v>123</v>
      </c>
      <c r="B5267" t="s" s="22">
        <v>103</v>
      </c>
      <c r="C5267" s="23">
        <v>40</v>
      </c>
      <c r="D5267" t="s" s="24">
        <v>102</v>
      </c>
      <c r="E5267" s="25">
        <v>3.2</v>
      </c>
      <c r="F5267" s="23">
        <v>20</v>
      </c>
      <c r="G5267" s="152" cm="1">
        <f t="array" ref="G5267">SUM(E5267/F5267)</f>
        <v>0.16</v>
      </c>
      <c r="H5267" s="15"/>
    </row>
    <row r="5268" ht="13.65" customHeight="1">
      <c r="A5268" s="21">
        <v>65</v>
      </c>
      <c r="B5268" t="s" s="22">
        <v>394</v>
      </c>
      <c r="C5268" s="23">
        <v>500</v>
      </c>
      <c r="D5268" t="s" s="24">
        <v>633</v>
      </c>
      <c r="E5268" s="25">
        <v>26</v>
      </c>
      <c r="F5268" s="23">
        <v>16.6</v>
      </c>
      <c r="G5268" s="152" cm="1">
        <f t="array" ref="G5268">SUM(E5268/F5268)</f>
        <v>1.56626506024096</v>
      </c>
      <c r="H5268" s="15"/>
    </row>
    <row r="5269" ht="13.65" customHeight="1">
      <c r="A5269" s="21">
        <v>140</v>
      </c>
      <c r="B5269" t="s" s="22">
        <v>470</v>
      </c>
      <c r="C5269" t="s" s="24">
        <v>108</v>
      </c>
      <c r="D5269" t="s" s="24">
        <v>102</v>
      </c>
      <c r="E5269" s="25">
        <v>1.12</v>
      </c>
      <c r="F5269" t="s" s="24">
        <v>387</v>
      </c>
      <c r="G5269" s="152" cm="1">
        <f t="array" ref="G5269">SUM(E5269*2)</f>
        <v>2.24</v>
      </c>
      <c r="H5269" s="15"/>
    </row>
    <row r="5270" ht="13.65" customHeight="1">
      <c r="A5270" s="21">
        <v>71</v>
      </c>
      <c r="B5270" t="s" s="22">
        <v>109</v>
      </c>
      <c r="C5270" s="23">
        <v>10</v>
      </c>
      <c r="D5270" t="s" s="24">
        <v>102</v>
      </c>
      <c r="E5270" s="25">
        <v>5.92</v>
      </c>
      <c r="F5270" s="23">
        <v>5</v>
      </c>
      <c r="G5270" s="152" cm="1">
        <f t="array" ref="G5270">SUM(E5270/F5270)</f>
        <v>1.184</v>
      </c>
      <c r="H5270" s="15"/>
    </row>
    <row r="5271" ht="13.65" customHeight="1">
      <c r="A5271" s="21">
        <v>87</v>
      </c>
      <c r="B5271" t="s" s="22">
        <v>110</v>
      </c>
      <c r="C5271" s="23">
        <v>50</v>
      </c>
      <c r="D5271" t="s" s="24">
        <v>102</v>
      </c>
      <c r="E5271" s="25">
        <v>9</v>
      </c>
      <c r="F5271" s="23">
        <v>25</v>
      </c>
      <c r="G5271" s="152" cm="1">
        <f t="array" ref="G5271">SUM(E5271/F5271)</f>
        <v>0.36</v>
      </c>
      <c r="H5271" s="15"/>
    </row>
    <row r="5272" ht="13.65" customHeight="1">
      <c r="A5272" s="21">
        <v>55</v>
      </c>
      <c r="B5272" t="s" s="22">
        <v>111</v>
      </c>
      <c r="C5272" t="s" s="24">
        <v>112</v>
      </c>
      <c r="D5272" t="s" s="24">
        <v>461</v>
      </c>
      <c r="E5272" s="25">
        <v>2.71</v>
      </c>
      <c r="F5272" s="23">
        <v>37.5</v>
      </c>
      <c r="G5272" s="152" cm="1">
        <f t="array" ref="G5272">SUM(E5272/F5272)</f>
        <v>0.0722666666666667</v>
      </c>
      <c r="H5272" s="15"/>
    </row>
    <row r="5273" ht="13.65" customHeight="1">
      <c r="A5273" s="21">
        <v>10</v>
      </c>
      <c r="B5273" t="s" s="22">
        <v>395</v>
      </c>
      <c r="C5273" t="s" s="24">
        <v>396</v>
      </c>
      <c r="D5273" t="s" s="24">
        <v>397</v>
      </c>
      <c r="E5273" s="25">
        <v>3.92</v>
      </c>
      <c r="F5273" s="23">
        <v>50</v>
      </c>
      <c r="G5273" s="152" cm="1">
        <f t="array" ref="G5273">SUM(E5273/F5273)</f>
        <v>0.0784</v>
      </c>
      <c r="H5273" s="15"/>
    </row>
    <row r="5274" ht="13.65" customHeight="1">
      <c r="A5274" s="21">
        <v>9</v>
      </c>
      <c r="B5274" t="s" s="22">
        <v>692</v>
      </c>
      <c r="C5274" s="23">
        <v>50</v>
      </c>
      <c r="D5274" t="s" s="24">
        <v>274</v>
      </c>
      <c r="E5274" s="25">
        <v>14</v>
      </c>
      <c r="F5274" s="23">
        <v>12.5</v>
      </c>
      <c r="G5274" s="152" cm="1">
        <f t="array" ref="G5274">SUM(E5274/F5274)</f>
        <v>1.12</v>
      </c>
      <c r="H5274" s="15"/>
    </row>
    <row r="5275" ht="13.65" customHeight="1">
      <c r="A5275" s="21">
        <v>6</v>
      </c>
      <c r="B5275" t="s" s="22">
        <v>399</v>
      </c>
      <c r="C5275" s="23">
        <v>100</v>
      </c>
      <c r="D5275" t="s" s="24">
        <v>104</v>
      </c>
      <c r="E5275" s="25">
        <v>19</v>
      </c>
      <c r="F5275" s="23">
        <v>100</v>
      </c>
      <c r="G5275" s="152" cm="1">
        <f t="array" ref="G5275">SUM(E5275/F5275)</f>
        <v>0.19</v>
      </c>
      <c r="H5275" s="15"/>
    </row>
    <row r="5276" ht="13.65" customHeight="1">
      <c r="A5276" s="21">
        <v>23</v>
      </c>
      <c r="B5276" t="s" s="22">
        <v>488</v>
      </c>
      <c r="C5276" s="23">
        <v>1</v>
      </c>
      <c r="D5276" t="s" s="24">
        <v>104</v>
      </c>
      <c r="E5276" s="25">
        <v>11</v>
      </c>
      <c r="F5276" s="23">
        <v>1</v>
      </c>
      <c r="G5276" s="152" cm="1">
        <f t="array" ref="G5276">SUM(E5276/F5276)</f>
        <v>11</v>
      </c>
      <c r="H5276" s="15"/>
    </row>
    <row r="5277" ht="13.65" customHeight="1">
      <c r="A5277" s="21">
        <v>119</v>
      </c>
      <c r="B5277" t="s" s="22">
        <v>467</v>
      </c>
      <c r="C5277" s="23">
        <v>1</v>
      </c>
      <c r="D5277" t="s" s="24">
        <v>468</v>
      </c>
      <c r="E5277" s="25">
        <v>0.45</v>
      </c>
      <c r="F5277" s="23">
        <v>1</v>
      </c>
      <c r="G5277" s="152" cm="1">
        <f t="array" ref="G5277">SUM(E5277/F5277)</f>
        <v>0.45</v>
      </c>
      <c r="H5277" s="15"/>
    </row>
    <row r="5278" ht="13.65" customHeight="1">
      <c r="A5278" s="21">
        <v>122</v>
      </c>
      <c r="B5278" t="s" s="22">
        <v>489</v>
      </c>
      <c r="C5278" t="s" s="24">
        <v>490</v>
      </c>
      <c r="D5278" t="s" s="24">
        <v>390</v>
      </c>
      <c r="E5278" s="25">
        <v>1.7</v>
      </c>
      <c r="F5278" s="23">
        <v>50</v>
      </c>
      <c r="G5278" s="152" cm="1">
        <f t="array" ref="G5278">SUM(E5278/F5278)</f>
        <v>0.034</v>
      </c>
      <c r="H5278" s="15"/>
    </row>
    <row r="5279" ht="13.65" customHeight="1">
      <c r="A5279" s="21">
        <v>56</v>
      </c>
      <c r="B5279" t="s" s="22">
        <v>471</v>
      </c>
      <c r="C5279" s="23">
        <v>1</v>
      </c>
      <c r="D5279" t="s" s="24">
        <v>104</v>
      </c>
      <c r="E5279" s="25">
        <v>3.5</v>
      </c>
      <c r="F5279" s="23">
        <v>1</v>
      </c>
      <c r="G5279" s="152" cm="1">
        <f t="array" ref="G5279">SUM(E5279/F5279)</f>
        <v>3.5</v>
      </c>
      <c r="H5279" s="15"/>
    </row>
    <row r="5280" ht="13.65" customHeight="1">
      <c r="A5280" s="21">
        <v>36</v>
      </c>
      <c r="B5280" t="s" s="22">
        <v>496</v>
      </c>
      <c r="C5280" t="s" s="24">
        <v>497</v>
      </c>
      <c r="D5280" t="s" s="24">
        <v>498</v>
      </c>
      <c r="E5280" s="25">
        <v>13</v>
      </c>
      <c r="F5280" s="23">
        <v>16</v>
      </c>
      <c r="G5280" s="152" cm="1">
        <f t="array" ref="G5280">SUM(E5280/F5280)</f>
        <v>0.8125</v>
      </c>
      <c r="H5280" s="15"/>
    </row>
    <row r="5281" ht="13.65" customHeight="1">
      <c r="A5281" s="28"/>
      <c r="B5281" s="28"/>
      <c r="C5281" s="27"/>
      <c r="D5281" s="24"/>
      <c r="E5281" s="27"/>
      <c r="F5281" t="s" s="29">
        <v>118</v>
      </c>
      <c r="G5281" s="197" cm="1">
        <f t="array" ref="G5281">SUM(G5266:G5280)</f>
        <v>22.9218317269076</v>
      </c>
      <c r="H5281" s="15"/>
    </row>
    <row r="5282" ht="13.65" customHeight="1">
      <c r="A5282" s="129"/>
      <c r="B5282" s="129"/>
      <c r="C5282" s="129"/>
      <c r="D5282" s="129"/>
      <c r="E5282" s="129"/>
      <c r="F5282" s="31"/>
      <c r="G5282" s="31"/>
      <c r="H5282" s="3"/>
    </row>
    <row r="5283" ht="11.7" customHeight="1">
      <c r="A5283" t="s" s="167">
        <v>136</v>
      </c>
      <c r="B5283" t="s" s="167">
        <v>281</v>
      </c>
      <c r="C5283" t="s" s="167">
        <v>282</v>
      </c>
      <c r="D5283" t="s" s="168">
        <v>283</v>
      </c>
      <c r="E5283" s="169"/>
      <c r="F5283" s="170"/>
      <c r="G5283" s="171"/>
      <c r="H5283" s="171"/>
    </row>
    <row r="5284" ht="13.65" customHeight="1">
      <c r="A5284" s="23">
        <v>45</v>
      </c>
      <c r="B5284" s="172" cm="1">
        <f t="array" ref="B5284">SUM(H256)</f>
        <v>2.47496540404041</v>
      </c>
      <c r="C5284" s="172" cm="1">
        <f t="array" ref="C5284">SUM(G5281)</f>
        <v>22.9218317269076</v>
      </c>
      <c r="D5284" s="199" cm="1">
        <f t="array" ref="D5284">SUM(A5284*B5284)+(C5284)</f>
        <v>134.295274908726</v>
      </c>
      <c r="E5284" s="200"/>
      <c r="F5284" s="15"/>
      <c r="G5284" s="3"/>
      <c r="H5284" s="3"/>
    </row>
    <row r="5285" ht="13.65" customHeight="1">
      <c r="A5285" s="31"/>
      <c r="B5285" s="31"/>
      <c r="C5285" s="31"/>
      <c r="D5285" s="31"/>
      <c r="E5285" s="31"/>
      <c r="F5285" s="3"/>
      <c r="G5285" s="3"/>
      <c r="H5285" s="3"/>
    </row>
    <row r="5286" ht="13.65" customHeight="1">
      <c r="A5286" s="203"/>
      <c r="B5286" s="203"/>
      <c r="C5286" s="203"/>
      <c r="D5286" s="203"/>
      <c r="E5286" s="203"/>
      <c r="F5286" s="203"/>
      <c r="G5286" s="203"/>
      <c r="H5286" s="203"/>
    </row>
    <row r="5287" ht="13.65" customHeight="1">
      <c r="A5287" t="s" s="274">
        <v>185</v>
      </c>
      <c r="B5287" s="275"/>
      <c r="C5287" s="275"/>
      <c r="D5287" s="275"/>
      <c r="E5287" s="280"/>
      <c r="F5287" s="275"/>
      <c r="G5287" s="275"/>
      <c r="H5287" s="277"/>
    </row>
    <row r="5288" ht="13.65" customHeight="1">
      <c r="A5288" s="278"/>
      <c r="B5288" s="278"/>
      <c r="C5288" s="278"/>
      <c r="D5288" s="278"/>
      <c r="E5288" s="278"/>
      <c r="F5288" s="278"/>
      <c r="G5288" s="278"/>
      <c r="H5288" s="278"/>
    </row>
    <row r="5289" ht="13.65" customHeight="1">
      <c r="A5289" s="3"/>
      <c r="B5289" s="3"/>
      <c r="C5289" s="3"/>
      <c r="D5289" s="3"/>
      <c r="E5289" s="3"/>
      <c r="F5289" s="3"/>
      <c r="G5289" s="3"/>
      <c r="H5289" s="3"/>
    </row>
    <row r="5290" ht="13.65" customHeight="1">
      <c r="A5290" t="s" s="5">
        <v>858</v>
      </c>
      <c r="B5290" s="3"/>
      <c r="C5290" s="3"/>
      <c r="D5290" s="3"/>
      <c r="E5290" s="3"/>
      <c r="F5290" s="3"/>
      <c r="G5290" s="3"/>
      <c r="H5290" s="3"/>
    </row>
    <row r="5291" ht="13.65" customHeight="1">
      <c r="A5291" s="11"/>
      <c r="B5291" s="11"/>
      <c r="C5291" s="11"/>
      <c r="D5291" s="11"/>
      <c r="E5291" s="11"/>
      <c r="F5291" s="11"/>
      <c r="G5291" s="11"/>
      <c r="H5291" s="3"/>
    </row>
    <row r="5292" ht="13.65" customHeight="1">
      <c r="A5292" s="12"/>
      <c r="B5292" s="12"/>
      <c r="C5292" s="13"/>
      <c r="D5292" s="14"/>
      <c r="E5292" s="13"/>
      <c r="F5292" s="13"/>
      <c r="G5292" t="s" s="14">
        <v>252</v>
      </c>
      <c r="H5292" s="150"/>
    </row>
    <row r="5293" ht="13.65" customHeight="1">
      <c r="A5293" t="s" s="16">
        <v>93</v>
      </c>
      <c r="B5293" t="s" s="16">
        <v>94</v>
      </c>
      <c r="C5293" t="s" s="16">
        <v>95</v>
      </c>
      <c r="D5293" t="s" s="16">
        <v>96</v>
      </c>
      <c r="E5293" t="s" s="16">
        <v>97</v>
      </c>
      <c r="F5293" t="s" s="16">
        <v>98</v>
      </c>
      <c r="G5293" t="s" s="16">
        <v>99</v>
      </c>
      <c r="H5293" s="15"/>
    </row>
    <row r="5294" ht="13.65" customHeight="1">
      <c r="A5294" s="151"/>
      <c r="B5294" s="151"/>
      <c r="C5294" s="19"/>
      <c r="D5294" s="20"/>
      <c r="E5294" s="19"/>
      <c r="F5294" s="19"/>
      <c r="G5294" t="s" s="20">
        <v>100</v>
      </c>
      <c r="H5294" s="15"/>
    </row>
    <row r="5295" ht="13.65" customHeight="1">
      <c r="A5295" s="21">
        <v>72</v>
      </c>
      <c r="B5295" t="s" s="22">
        <v>101</v>
      </c>
      <c r="C5295" s="23">
        <v>50</v>
      </c>
      <c r="D5295" t="s" s="24">
        <v>274</v>
      </c>
      <c r="E5295" s="25">
        <v>1.93</v>
      </c>
      <c r="F5295" s="23">
        <v>12.5</v>
      </c>
      <c r="G5295" s="152" cm="1">
        <f t="array" ref="G5295">SUM(E5295/F5295)</f>
        <v>0.1544</v>
      </c>
      <c r="H5295" s="15"/>
    </row>
    <row r="5296" ht="13.65" customHeight="1">
      <c r="A5296" s="21">
        <v>123</v>
      </c>
      <c r="B5296" t="s" s="22">
        <v>103</v>
      </c>
      <c r="C5296" s="23">
        <v>40</v>
      </c>
      <c r="D5296" t="s" s="24">
        <v>102</v>
      </c>
      <c r="E5296" s="25">
        <v>3.2</v>
      </c>
      <c r="F5296" s="23">
        <v>20</v>
      </c>
      <c r="G5296" s="152" cm="1">
        <f t="array" ref="G5296">SUM(E5296/F5296)</f>
        <v>0.16</v>
      </c>
      <c r="H5296" s="15"/>
    </row>
    <row r="5297" ht="13.65" customHeight="1">
      <c r="A5297" s="21">
        <v>65</v>
      </c>
      <c r="B5297" t="s" s="22">
        <v>394</v>
      </c>
      <c r="C5297" s="23">
        <v>500</v>
      </c>
      <c r="D5297" t="s" s="24">
        <v>633</v>
      </c>
      <c r="E5297" s="25">
        <v>26</v>
      </c>
      <c r="F5297" s="23">
        <v>16.6</v>
      </c>
      <c r="G5297" s="152" cm="1">
        <f t="array" ref="G5297">SUM(E5297/F5297)</f>
        <v>1.56626506024096</v>
      </c>
      <c r="H5297" s="15"/>
    </row>
    <row r="5298" ht="13.65" customHeight="1">
      <c r="A5298" s="21">
        <v>140</v>
      </c>
      <c r="B5298" t="s" s="22">
        <v>470</v>
      </c>
      <c r="C5298" t="s" s="24">
        <v>108</v>
      </c>
      <c r="D5298" t="s" s="24">
        <v>102</v>
      </c>
      <c r="E5298" s="25">
        <v>1.12</v>
      </c>
      <c r="F5298" t="s" s="24">
        <v>387</v>
      </c>
      <c r="G5298" s="152" cm="1">
        <f t="array" ref="G5298">SUM(E5298*2)</f>
        <v>2.24</v>
      </c>
      <c r="H5298" s="15"/>
    </row>
    <row r="5299" ht="13.65" customHeight="1">
      <c r="A5299" s="21">
        <v>71</v>
      </c>
      <c r="B5299" t="s" s="22">
        <v>109</v>
      </c>
      <c r="C5299" s="23">
        <v>10</v>
      </c>
      <c r="D5299" t="s" s="24">
        <v>102</v>
      </c>
      <c r="E5299" s="25">
        <v>5.92</v>
      </c>
      <c r="F5299" s="23">
        <v>5</v>
      </c>
      <c r="G5299" s="152" cm="1">
        <f t="array" ref="G5299">SUM(E5299/F5299)</f>
        <v>1.184</v>
      </c>
      <c r="H5299" s="15"/>
    </row>
    <row r="5300" ht="13.65" customHeight="1">
      <c r="A5300" s="21">
        <v>87</v>
      </c>
      <c r="B5300" t="s" s="22">
        <v>110</v>
      </c>
      <c r="C5300" s="23">
        <v>50</v>
      </c>
      <c r="D5300" t="s" s="24">
        <v>102</v>
      </c>
      <c r="E5300" s="25">
        <v>9</v>
      </c>
      <c r="F5300" s="23">
        <v>25</v>
      </c>
      <c r="G5300" s="152" cm="1">
        <f t="array" ref="G5300">SUM(E5300/F5300)</f>
        <v>0.36</v>
      </c>
      <c r="H5300" s="15"/>
    </row>
    <row r="5301" ht="13.65" customHeight="1">
      <c r="A5301" s="21">
        <v>55</v>
      </c>
      <c r="B5301" t="s" s="22">
        <v>111</v>
      </c>
      <c r="C5301" t="s" s="24">
        <v>112</v>
      </c>
      <c r="D5301" t="s" s="24">
        <v>461</v>
      </c>
      <c r="E5301" s="25">
        <v>2.71</v>
      </c>
      <c r="F5301" s="23">
        <v>37.5</v>
      </c>
      <c r="G5301" s="152" cm="1">
        <f t="array" ref="G5301">SUM(E5301/F5301)</f>
        <v>0.0722666666666667</v>
      </c>
      <c r="H5301" s="15"/>
    </row>
    <row r="5302" ht="13.65" customHeight="1">
      <c r="A5302" s="21">
        <v>10</v>
      </c>
      <c r="B5302" t="s" s="22">
        <v>395</v>
      </c>
      <c r="C5302" t="s" s="24">
        <v>396</v>
      </c>
      <c r="D5302" t="s" s="24">
        <v>397</v>
      </c>
      <c r="E5302" s="25">
        <v>3.92</v>
      </c>
      <c r="F5302" s="23">
        <v>50</v>
      </c>
      <c r="G5302" s="152" cm="1">
        <f t="array" ref="G5302">SUM(E5302/F5302)</f>
        <v>0.0784</v>
      </c>
      <c r="H5302" s="15"/>
    </row>
    <row r="5303" ht="13.65" customHeight="1">
      <c r="A5303" s="21">
        <v>9</v>
      </c>
      <c r="B5303" t="s" s="22">
        <v>692</v>
      </c>
      <c r="C5303" s="23">
        <v>50</v>
      </c>
      <c r="D5303" t="s" s="24">
        <v>274</v>
      </c>
      <c r="E5303" s="25">
        <v>14</v>
      </c>
      <c r="F5303" s="23">
        <v>12.5</v>
      </c>
      <c r="G5303" s="152" cm="1">
        <f t="array" ref="G5303">SUM(E5303/F5303)</f>
        <v>1.12</v>
      </c>
      <c r="H5303" s="15"/>
    </row>
    <row r="5304" ht="13.65" customHeight="1">
      <c r="A5304" s="21">
        <v>6</v>
      </c>
      <c r="B5304" t="s" s="22">
        <v>399</v>
      </c>
      <c r="C5304" s="23">
        <v>100</v>
      </c>
      <c r="D5304" t="s" s="24">
        <v>104</v>
      </c>
      <c r="E5304" s="25">
        <v>19</v>
      </c>
      <c r="F5304" s="23">
        <v>100</v>
      </c>
      <c r="G5304" s="152" cm="1">
        <f t="array" ref="G5304">SUM(E5304/F5304)</f>
        <v>0.19</v>
      </c>
      <c r="H5304" s="15"/>
    </row>
    <row r="5305" ht="13.65" customHeight="1">
      <c r="A5305" s="21">
        <v>23</v>
      </c>
      <c r="B5305" t="s" s="22">
        <v>488</v>
      </c>
      <c r="C5305" s="23">
        <v>1</v>
      </c>
      <c r="D5305" t="s" s="24">
        <v>104</v>
      </c>
      <c r="E5305" s="25">
        <v>11</v>
      </c>
      <c r="F5305" s="23">
        <v>1</v>
      </c>
      <c r="G5305" s="152" cm="1">
        <f t="array" ref="G5305">SUM(E5305/F5305)</f>
        <v>11</v>
      </c>
      <c r="H5305" s="15"/>
    </row>
    <row r="5306" ht="13.65" customHeight="1">
      <c r="A5306" s="21">
        <v>119</v>
      </c>
      <c r="B5306" t="s" s="22">
        <v>467</v>
      </c>
      <c r="C5306" s="23">
        <v>1</v>
      </c>
      <c r="D5306" t="s" s="24">
        <v>468</v>
      </c>
      <c r="E5306" s="25">
        <v>0.45</v>
      </c>
      <c r="F5306" s="23">
        <v>1</v>
      </c>
      <c r="G5306" s="152" cm="1">
        <f t="array" ref="G5306">SUM(E5306/F5306)</f>
        <v>0.45</v>
      </c>
      <c r="H5306" s="15"/>
    </row>
    <row r="5307" ht="13.65" customHeight="1">
      <c r="A5307" s="21">
        <v>122</v>
      </c>
      <c r="B5307" t="s" s="22">
        <v>489</v>
      </c>
      <c r="C5307" t="s" s="24">
        <v>490</v>
      </c>
      <c r="D5307" t="s" s="24">
        <v>384</v>
      </c>
      <c r="E5307" s="25">
        <v>1.7</v>
      </c>
      <c r="F5307" s="23">
        <v>25</v>
      </c>
      <c r="G5307" s="152" cm="1">
        <f t="array" ref="G5307">SUM(E5307/F5307)</f>
        <v>0.068</v>
      </c>
      <c r="H5307" s="15"/>
    </row>
    <row r="5308" ht="13.65" customHeight="1">
      <c r="A5308" s="21">
        <v>56</v>
      </c>
      <c r="B5308" t="s" s="22">
        <v>471</v>
      </c>
      <c r="C5308" s="23">
        <v>1</v>
      </c>
      <c r="D5308" t="s" s="24">
        <v>104</v>
      </c>
      <c r="E5308" s="25">
        <v>3.5</v>
      </c>
      <c r="F5308" s="23">
        <v>1</v>
      </c>
      <c r="G5308" s="152" cm="1">
        <f t="array" ref="G5308">SUM(E5308/F5308)</f>
        <v>3.5</v>
      </c>
      <c r="H5308" s="15"/>
    </row>
    <row r="5309" ht="13.65" customHeight="1">
      <c r="A5309" s="21">
        <v>78</v>
      </c>
      <c r="B5309" t="s" s="22">
        <v>492</v>
      </c>
      <c r="C5309" s="23">
        <v>1</v>
      </c>
      <c r="D5309" t="s" s="24">
        <v>104</v>
      </c>
      <c r="E5309" s="25">
        <v>1</v>
      </c>
      <c r="F5309" s="23">
        <v>1</v>
      </c>
      <c r="G5309" s="152" cm="1">
        <f t="array" ref="G5309">SUM(E5309/F5309)</f>
        <v>1</v>
      </c>
      <c r="H5309" s="15"/>
    </row>
    <row r="5310" ht="13.65" customHeight="1">
      <c r="A5310" s="21">
        <v>36</v>
      </c>
      <c r="B5310" t="s" s="22">
        <v>496</v>
      </c>
      <c r="C5310" t="s" s="24">
        <v>497</v>
      </c>
      <c r="D5310" t="s" s="24">
        <v>498</v>
      </c>
      <c r="E5310" s="25">
        <v>13</v>
      </c>
      <c r="F5310" s="23">
        <v>16</v>
      </c>
      <c r="G5310" s="152" cm="1">
        <f t="array" ref="G5310">SUM(E5310/F5310)</f>
        <v>0.8125</v>
      </c>
      <c r="H5310" s="15"/>
    </row>
    <row r="5311" ht="13.65" customHeight="1">
      <c r="A5311" s="21">
        <v>16</v>
      </c>
      <c r="B5311" t="s" s="22">
        <v>693</v>
      </c>
      <c r="C5311" s="23">
        <v>6</v>
      </c>
      <c r="D5311" t="s" s="24">
        <v>694</v>
      </c>
      <c r="E5311" s="25">
        <v>41</v>
      </c>
      <c r="F5311" s="23">
        <v>10</v>
      </c>
      <c r="G5311" s="152" cm="1">
        <f t="array" ref="G5311">SUM(E5311/F5311)</f>
        <v>4.1</v>
      </c>
      <c r="H5311" s="15"/>
    </row>
    <row r="5312" ht="13.65" customHeight="1">
      <c r="A5312" s="28"/>
      <c r="B5312" s="28"/>
      <c r="C5312" s="27"/>
      <c r="D5312" s="24"/>
      <c r="E5312" s="27"/>
      <c r="F5312" t="s" s="29">
        <v>118</v>
      </c>
      <c r="G5312" s="197" cm="1">
        <f t="array" ref="G5312">SUM(G5295:G5311)</f>
        <v>28.0558317269076</v>
      </c>
      <c r="H5312" s="15"/>
    </row>
    <row r="5313" ht="13.65" customHeight="1">
      <c r="A5313" s="129"/>
      <c r="B5313" s="129"/>
      <c r="C5313" s="129"/>
      <c r="D5313" s="129"/>
      <c r="E5313" s="129"/>
      <c r="F5313" s="31"/>
      <c r="G5313" s="31"/>
      <c r="H5313" s="3"/>
    </row>
    <row r="5314" ht="11.7" customHeight="1">
      <c r="A5314" t="s" s="167">
        <v>136</v>
      </c>
      <c r="B5314" t="s" s="167">
        <v>281</v>
      </c>
      <c r="C5314" t="s" s="167">
        <v>282</v>
      </c>
      <c r="D5314" t="s" s="168">
        <v>283</v>
      </c>
      <c r="E5314" s="169"/>
      <c r="F5314" s="170"/>
      <c r="G5314" s="171"/>
      <c r="H5314" s="171"/>
    </row>
    <row r="5315" ht="13.65" customHeight="1">
      <c r="A5315" s="23">
        <v>60</v>
      </c>
      <c r="B5315" s="172" cm="1">
        <f t="array" ref="B5315">SUM(H256)</f>
        <v>2.47496540404041</v>
      </c>
      <c r="C5315" s="172" cm="1">
        <f t="array" ref="C5315">SUM(G5312)</f>
        <v>28.0558317269076</v>
      </c>
      <c r="D5315" s="199" cm="1">
        <f t="array" ref="D5315">SUM(A5315*B5315)+(C5315)</f>
        <v>176.553755969332</v>
      </c>
      <c r="E5315" s="200"/>
      <c r="F5315" s="15"/>
      <c r="G5315" s="3"/>
      <c r="H5315" s="3"/>
    </row>
    <row r="5316" ht="13.65" customHeight="1">
      <c r="A5316" s="31"/>
      <c r="B5316" s="31"/>
      <c r="C5316" s="31"/>
      <c r="D5316" s="31"/>
      <c r="E5316" s="31"/>
      <c r="F5316" s="3"/>
      <c r="G5316" s="3"/>
      <c r="H5316" s="3"/>
    </row>
    <row r="5317" ht="13.65" customHeight="1">
      <c r="A5317" s="3"/>
      <c r="B5317" s="3"/>
      <c r="C5317" s="3"/>
      <c r="D5317" s="3"/>
      <c r="E5317" s="3"/>
      <c r="F5317" s="3"/>
      <c r="G5317" s="3"/>
      <c r="H5317" s="3"/>
    </row>
    <row r="5318" ht="13.65" customHeight="1">
      <c r="A5318" t="s" s="5">
        <v>859</v>
      </c>
      <c r="B5318" s="3"/>
      <c r="C5318" s="3"/>
      <c r="D5318" s="3"/>
      <c r="E5318" s="3"/>
      <c r="F5318" s="3"/>
      <c r="G5318" s="3"/>
      <c r="H5318" s="3"/>
    </row>
    <row r="5319" ht="13.65" customHeight="1">
      <c r="A5319" s="11"/>
      <c r="B5319" s="11"/>
      <c r="C5319" s="11"/>
      <c r="D5319" s="11"/>
      <c r="E5319" s="11"/>
      <c r="F5319" s="11"/>
      <c r="G5319" s="11"/>
      <c r="H5319" s="3"/>
    </row>
    <row r="5320" ht="13.65" customHeight="1">
      <c r="A5320" s="12"/>
      <c r="B5320" s="12"/>
      <c r="C5320" s="13"/>
      <c r="D5320" s="14"/>
      <c r="E5320" s="13"/>
      <c r="F5320" s="13"/>
      <c r="G5320" t="s" s="14">
        <v>252</v>
      </c>
      <c r="H5320" s="150"/>
    </row>
    <row r="5321" ht="13.65" customHeight="1">
      <c r="A5321" t="s" s="16">
        <v>93</v>
      </c>
      <c r="B5321" t="s" s="16">
        <v>94</v>
      </c>
      <c r="C5321" t="s" s="16">
        <v>95</v>
      </c>
      <c r="D5321" t="s" s="16">
        <v>96</v>
      </c>
      <c r="E5321" t="s" s="16">
        <v>97</v>
      </c>
      <c r="F5321" t="s" s="16">
        <v>98</v>
      </c>
      <c r="G5321" t="s" s="16">
        <v>99</v>
      </c>
      <c r="H5321" s="15"/>
    </row>
    <row r="5322" ht="13.65" customHeight="1">
      <c r="A5322" s="151"/>
      <c r="B5322" s="151"/>
      <c r="C5322" s="19"/>
      <c r="D5322" s="20"/>
      <c r="E5322" s="19"/>
      <c r="F5322" s="19"/>
      <c r="G5322" t="s" s="20">
        <v>100</v>
      </c>
      <c r="H5322" s="15"/>
    </row>
    <row r="5323" ht="13.65" customHeight="1">
      <c r="A5323" s="21">
        <v>72</v>
      </c>
      <c r="B5323" t="s" s="22">
        <v>101</v>
      </c>
      <c r="C5323" s="23">
        <v>50</v>
      </c>
      <c r="D5323" t="s" s="24">
        <v>274</v>
      </c>
      <c r="E5323" s="25">
        <v>1.93</v>
      </c>
      <c r="F5323" s="23">
        <v>12.5</v>
      </c>
      <c r="G5323" s="152" cm="1">
        <f t="array" ref="G5323">SUM(E5323/F5323)</f>
        <v>0.1544</v>
      </c>
      <c r="H5323" s="15"/>
    </row>
    <row r="5324" ht="13.65" customHeight="1">
      <c r="A5324" s="21">
        <v>123</v>
      </c>
      <c r="B5324" t="s" s="22">
        <v>103</v>
      </c>
      <c r="C5324" s="23">
        <v>40</v>
      </c>
      <c r="D5324" t="s" s="24">
        <v>102</v>
      </c>
      <c r="E5324" s="25">
        <v>3.2</v>
      </c>
      <c r="F5324" s="23">
        <v>20</v>
      </c>
      <c r="G5324" s="152" cm="1">
        <f t="array" ref="G5324">SUM(E5324/F5324)</f>
        <v>0.16</v>
      </c>
      <c r="H5324" s="15"/>
    </row>
    <row r="5325" ht="13.65" customHeight="1">
      <c r="A5325" s="21">
        <v>65</v>
      </c>
      <c r="B5325" t="s" s="22">
        <v>394</v>
      </c>
      <c r="C5325" s="23">
        <v>500</v>
      </c>
      <c r="D5325" t="s" s="24">
        <v>633</v>
      </c>
      <c r="E5325" s="25">
        <v>26</v>
      </c>
      <c r="F5325" s="23">
        <v>16.6</v>
      </c>
      <c r="G5325" s="152" cm="1">
        <f t="array" ref="G5325">SUM(E5325/F5325)</f>
        <v>1.56626506024096</v>
      </c>
      <c r="H5325" s="15"/>
    </row>
    <row r="5326" ht="13.65" customHeight="1">
      <c r="A5326" s="21">
        <v>140</v>
      </c>
      <c r="B5326" t="s" s="22">
        <v>470</v>
      </c>
      <c r="C5326" t="s" s="24">
        <v>108</v>
      </c>
      <c r="D5326" t="s" s="24">
        <v>102</v>
      </c>
      <c r="E5326" s="25">
        <v>1.12</v>
      </c>
      <c r="F5326" t="s" s="24">
        <v>387</v>
      </c>
      <c r="G5326" s="152" cm="1">
        <f t="array" ref="G5326">SUM(E5326*2)</f>
        <v>2.24</v>
      </c>
      <c r="H5326" s="15"/>
    </row>
    <row r="5327" ht="13.65" customHeight="1">
      <c r="A5327" s="21">
        <v>71</v>
      </c>
      <c r="B5327" t="s" s="22">
        <v>109</v>
      </c>
      <c r="C5327" s="23">
        <v>10</v>
      </c>
      <c r="D5327" t="s" s="24">
        <v>102</v>
      </c>
      <c r="E5327" s="25">
        <v>5.92</v>
      </c>
      <c r="F5327" s="23">
        <v>5</v>
      </c>
      <c r="G5327" s="152" cm="1">
        <f t="array" ref="G5327">SUM(E5327/F5327)</f>
        <v>1.184</v>
      </c>
      <c r="H5327" s="15"/>
    </row>
    <row r="5328" ht="13.65" customHeight="1">
      <c r="A5328" s="21">
        <v>87</v>
      </c>
      <c r="B5328" t="s" s="22">
        <v>110</v>
      </c>
      <c r="C5328" s="23">
        <v>50</v>
      </c>
      <c r="D5328" t="s" s="24">
        <v>102</v>
      </c>
      <c r="E5328" s="25">
        <v>9</v>
      </c>
      <c r="F5328" s="23">
        <v>25</v>
      </c>
      <c r="G5328" s="152" cm="1">
        <f t="array" ref="G5328">SUM(E5328/F5328)</f>
        <v>0.36</v>
      </c>
      <c r="H5328" s="15"/>
    </row>
    <row r="5329" ht="13.65" customHeight="1">
      <c r="A5329" s="21">
        <v>55</v>
      </c>
      <c r="B5329" t="s" s="22">
        <v>111</v>
      </c>
      <c r="C5329" t="s" s="24">
        <v>112</v>
      </c>
      <c r="D5329" t="s" s="24">
        <v>461</v>
      </c>
      <c r="E5329" s="25">
        <v>2.71</v>
      </c>
      <c r="F5329" s="23">
        <v>37.5</v>
      </c>
      <c r="G5329" s="152" cm="1">
        <f t="array" ref="G5329">SUM(E5329/F5329)</f>
        <v>0.0722666666666667</v>
      </c>
      <c r="H5329" s="15"/>
    </row>
    <row r="5330" ht="13.65" customHeight="1">
      <c r="A5330" s="21">
        <v>10</v>
      </c>
      <c r="B5330" t="s" s="22">
        <v>395</v>
      </c>
      <c r="C5330" t="s" s="24">
        <v>396</v>
      </c>
      <c r="D5330" t="s" s="24">
        <v>397</v>
      </c>
      <c r="E5330" s="25">
        <v>3.92</v>
      </c>
      <c r="F5330" s="23">
        <v>50</v>
      </c>
      <c r="G5330" s="152" cm="1">
        <f t="array" ref="G5330">SUM(E5330/F5330)</f>
        <v>0.0784</v>
      </c>
      <c r="H5330" s="15"/>
    </row>
    <row r="5331" ht="13.65" customHeight="1">
      <c r="A5331" s="21">
        <v>9</v>
      </c>
      <c r="B5331" t="s" s="22">
        <v>692</v>
      </c>
      <c r="C5331" s="23">
        <v>50</v>
      </c>
      <c r="D5331" t="s" s="24">
        <v>274</v>
      </c>
      <c r="E5331" s="25">
        <v>14</v>
      </c>
      <c r="F5331" s="23">
        <v>12.5</v>
      </c>
      <c r="G5331" s="152" cm="1">
        <f t="array" ref="G5331">SUM(E5331/F5331)</f>
        <v>1.12</v>
      </c>
      <c r="H5331" s="15"/>
    </row>
    <row r="5332" ht="13.65" customHeight="1">
      <c r="A5332" s="21">
        <v>6</v>
      </c>
      <c r="B5332" t="s" s="22">
        <v>399</v>
      </c>
      <c r="C5332" s="23">
        <v>100</v>
      </c>
      <c r="D5332" t="s" s="24">
        <v>104</v>
      </c>
      <c r="E5332" s="25">
        <v>19</v>
      </c>
      <c r="F5332" s="23">
        <v>100</v>
      </c>
      <c r="G5332" s="152" cm="1">
        <f t="array" ref="G5332">SUM(E5332/F5332)</f>
        <v>0.19</v>
      </c>
      <c r="H5332" s="15"/>
    </row>
    <row r="5333" ht="13.65" customHeight="1">
      <c r="A5333" s="21">
        <v>23</v>
      </c>
      <c r="B5333" t="s" s="22">
        <v>488</v>
      </c>
      <c r="C5333" s="23">
        <v>1</v>
      </c>
      <c r="D5333" t="s" s="24">
        <v>104</v>
      </c>
      <c r="E5333" s="25">
        <v>11</v>
      </c>
      <c r="F5333" s="23">
        <v>1</v>
      </c>
      <c r="G5333" s="152" cm="1">
        <f t="array" ref="G5333">SUM(E5333/F5333)</f>
        <v>11</v>
      </c>
      <c r="H5333" s="15"/>
    </row>
    <row r="5334" ht="13.65" customHeight="1">
      <c r="A5334" s="21">
        <v>119</v>
      </c>
      <c r="B5334" t="s" s="22">
        <v>467</v>
      </c>
      <c r="C5334" s="23">
        <v>1</v>
      </c>
      <c r="D5334" t="s" s="24">
        <v>468</v>
      </c>
      <c r="E5334" s="25">
        <v>0.45</v>
      </c>
      <c r="F5334" s="23">
        <v>1</v>
      </c>
      <c r="G5334" s="152" cm="1">
        <f t="array" ref="G5334">SUM(E5334/F5334)</f>
        <v>0.45</v>
      </c>
      <c r="H5334" s="15"/>
    </row>
    <row r="5335" ht="13.65" customHeight="1">
      <c r="A5335" s="21">
        <v>122</v>
      </c>
      <c r="B5335" t="s" s="22">
        <v>489</v>
      </c>
      <c r="C5335" t="s" s="24">
        <v>490</v>
      </c>
      <c r="D5335" t="s" s="24">
        <v>390</v>
      </c>
      <c r="E5335" s="25">
        <v>1.7</v>
      </c>
      <c r="F5335" s="23">
        <v>50</v>
      </c>
      <c r="G5335" s="152" cm="1">
        <f t="array" ref="G5335">SUM(E5335/F5335)</f>
        <v>0.034</v>
      </c>
      <c r="H5335" s="15"/>
    </row>
    <row r="5336" ht="13.65" customHeight="1">
      <c r="A5336" s="21">
        <v>56</v>
      </c>
      <c r="B5336" t="s" s="22">
        <v>471</v>
      </c>
      <c r="C5336" s="23">
        <v>1</v>
      </c>
      <c r="D5336" t="s" s="24">
        <v>104</v>
      </c>
      <c r="E5336" s="25">
        <v>3.5</v>
      </c>
      <c r="F5336" s="23">
        <v>1</v>
      </c>
      <c r="G5336" s="152" cm="1">
        <f t="array" ref="G5336">SUM(E5336/F5336)</f>
        <v>3.5</v>
      </c>
      <c r="H5336" s="15"/>
    </row>
    <row r="5337" ht="13.65" customHeight="1">
      <c r="A5337" s="21">
        <v>36</v>
      </c>
      <c r="B5337" t="s" s="22">
        <v>496</v>
      </c>
      <c r="C5337" t="s" s="24">
        <v>497</v>
      </c>
      <c r="D5337" t="s" s="24">
        <v>498</v>
      </c>
      <c r="E5337" s="25">
        <v>13</v>
      </c>
      <c r="F5337" s="23">
        <v>16</v>
      </c>
      <c r="G5337" s="152" cm="1">
        <f t="array" ref="G5337">SUM(E5337/F5337)</f>
        <v>0.8125</v>
      </c>
      <c r="H5337" s="15"/>
    </row>
    <row r="5338" ht="13.65" customHeight="1">
      <c r="A5338" s="21">
        <v>78</v>
      </c>
      <c r="B5338" t="s" s="22">
        <v>492</v>
      </c>
      <c r="C5338" s="23">
        <v>1</v>
      </c>
      <c r="D5338" t="s" s="24">
        <v>104</v>
      </c>
      <c r="E5338" s="25">
        <v>1</v>
      </c>
      <c r="F5338" s="23">
        <v>1</v>
      </c>
      <c r="G5338" s="152" cm="1">
        <f t="array" ref="G5338">SUM(E5338/F5338)</f>
        <v>1</v>
      </c>
      <c r="H5338" s="15"/>
    </row>
    <row r="5339" ht="13.65" customHeight="1">
      <c r="A5339" s="28"/>
      <c r="B5339" s="28"/>
      <c r="C5339" s="27"/>
      <c r="D5339" s="24"/>
      <c r="E5339" s="27"/>
      <c r="F5339" t="s" s="29">
        <v>118</v>
      </c>
      <c r="G5339" s="197" cm="1">
        <f t="array" ref="G5339">SUM(G5323:G5338)</f>
        <v>23.9218317269076</v>
      </c>
      <c r="H5339" s="15"/>
    </row>
    <row r="5340" ht="13.65" customHeight="1">
      <c r="A5340" s="129"/>
      <c r="B5340" s="129"/>
      <c r="C5340" s="129"/>
      <c r="D5340" s="129"/>
      <c r="E5340" s="129"/>
      <c r="F5340" s="31"/>
      <c r="G5340" s="31"/>
      <c r="H5340" s="3"/>
    </row>
    <row r="5341" ht="11.7" customHeight="1">
      <c r="A5341" t="s" s="167">
        <v>136</v>
      </c>
      <c r="B5341" t="s" s="167">
        <v>281</v>
      </c>
      <c r="C5341" t="s" s="167">
        <v>282</v>
      </c>
      <c r="D5341" t="s" s="168">
        <v>283</v>
      </c>
      <c r="E5341" s="169"/>
      <c r="F5341" s="170"/>
      <c r="G5341" s="171"/>
      <c r="H5341" s="171"/>
    </row>
    <row r="5342" ht="13.65" customHeight="1">
      <c r="A5342" s="23">
        <v>45</v>
      </c>
      <c r="B5342" s="172" cm="1">
        <f t="array" ref="B5342">SUM(H256)</f>
        <v>2.47496540404041</v>
      </c>
      <c r="C5342" s="172" cm="1">
        <f t="array" ref="C5342">SUM(G5339)</f>
        <v>23.9218317269076</v>
      </c>
      <c r="D5342" s="199" cm="1">
        <f t="array" ref="D5342">SUM(A5342*B5342)+(C5342)</f>
        <v>135.295274908726</v>
      </c>
      <c r="E5342" s="200"/>
      <c r="F5342" s="15"/>
      <c r="G5342" s="3"/>
      <c r="H5342" s="3"/>
    </row>
    <row r="5343" ht="13.65" customHeight="1">
      <c r="A5343" s="31"/>
      <c r="B5343" s="31"/>
      <c r="C5343" s="31"/>
      <c r="D5343" s="31"/>
      <c r="E5343" s="31"/>
      <c r="F5343" s="3"/>
      <c r="G5343" s="3"/>
      <c r="H5343" s="3"/>
    </row>
    <row r="5344" ht="13.65" customHeight="1">
      <c r="A5344" s="203"/>
      <c r="B5344" s="203"/>
      <c r="C5344" s="203"/>
      <c r="D5344" s="203"/>
      <c r="E5344" s="203"/>
      <c r="F5344" s="203"/>
      <c r="G5344" s="203"/>
      <c r="H5344" s="203"/>
    </row>
    <row r="5345" ht="13.65" customHeight="1">
      <c r="A5345" t="s" s="274">
        <v>185</v>
      </c>
      <c r="B5345" s="275"/>
      <c r="C5345" s="275"/>
      <c r="D5345" s="275"/>
      <c r="E5345" s="280"/>
      <c r="F5345" s="275"/>
      <c r="G5345" s="275"/>
      <c r="H5345" s="277"/>
    </row>
    <row r="5346" ht="13.65" customHeight="1">
      <c r="A5346" s="278"/>
      <c r="B5346" s="278"/>
      <c r="C5346" s="278"/>
      <c r="D5346" s="278"/>
      <c r="E5346" s="278"/>
      <c r="F5346" s="278"/>
      <c r="G5346" s="278"/>
      <c r="H5346" s="278"/>
    </row>
    <row r="5347" ht="13.65" customHeight="1">
      <c r="A5347" s="3"/>
      <c r="B5347" s="3"/>
      <c r="C5347" s="3"/>
      <c r="D5347" s="3"/>
      <c r="E5347" s="3"/>
      <c r="F5347" s="3"/>
      <c r="G5347" s="3"/>
      <c r="H5347" s="3"/>
    </row>
    <row r="5348" ht="13.65" customHeight="1">
      <c r="A5348" t="s" s="5">
        <v>860</v>
      </c>
      <c r="B5348" s="3"/>
      <c r="C5348" s="3"/>
      <c r="D5348" s="3"/>
      <c r="E5348" s="3"/>
      <c r="F5348" s="3"/>
      <c r="G5348" s="3"/>
      <c r="H5348" s="3"/>
    </row>
    <row r="5349" ht="13.65" customHeight="1">
      <c r="A5349" s="11"/>
      <c r="B5349" s="11"/>
      <c r="C5349" s="11"/>
      <c r="D5349" s="11"/>
      <c r="E5349" s="11"/>
      <c r="F5349" s="11"/>
      <c r="G5349" s="11"/>
      <c r="H5349" s="3"/>
    </row>
    <row r="5350" ht="13.65" customHeight="1">
      <c r="A5350" s="12"/>
      <c r="B5350" s="12"/>
      <c r="C5350" s="13"/>
      <c r="D5350" s="14"/>
      <c r="E5350" s="13"/>
      <c r="F5350" s="13"/>
      <c r="G5350" t="s" s="14">
        <v>252</v>
      </c>
      <c r="H5350" s="150"/>
    </row>
    <row r="5351" ht="13.65" customHeight="1">
      <c r="A5351" t="s" s="16">
        <v>93</v>
      </c>
      <c r="B5351" t="s" s="16">
        <v>94</v>
      </c>
      <c r="C5351" t="s" s="16">
        <v>95</v>
      </c>
      <c r="D5351" t="s" s="16">
        <v>96</v>
      </c>
      <c r="E5351" t="s" s="16">
        <v>97</v>
      </c>
      <c r="F5351" t="s" s="16">
        <v>98</v>
      </c>
      <c r="G5351" t="s" s="16">
        <v>99</v>
      </c>
      <c r="H5351" s="15"/>
    </row>
    <row r="5352" ht="13.65" customHeight="1">
      <c r="A5352" s="151"/>
      <c r="B5352" s="151"/>
      <c r="C5352" s="19"/>
      <c r="D5352" s="20"/>
      <c r="E5352" s="19"/>
      <c r="F5352" s="19"/>
      <c r="G5352" t="s" s="20">
        <v>100</v>
      </c>
      <c r="H5352" s="15"/>
    </row>
    <row r="5353" ht="13.65" customHeight="1">
      <c r="A5353" s="21">
        <v>72</v>
      </c>
      <c r="B5353" t="s" s="22">
        <v>101</v>
      </c>
      <c r="C5353" s="23">
        <v>50</v>
      </c>
      <c r="D5353" t="s" s="24">
        <v>274</v>
      </c>
      <c r="E5353" s="25">
        <v>1.93</v>
      </c>
      <c r="F5353" s="23">
        <v>12.5</v>
      </c>
      <c r="G5353" s="152" cm="1">
        <f t="array" ref="G5353">SUM(E5353/F5353)</f>
        <v>0.1544</v>
      </c>
      <c r="H5353" s="15"/>
    </row>
    <row r="5354" ht="13.65" customHeight="1">
      <c r="A5354" s="21">
        <v>123</v>
      </c>
      <c r="B5354" t="s" s="22">
        <v>103</v>
      </c>
      <c r="C5354" s="23">
        <v>40</v>
      </c>
      <c r="D5354" t="s" s="24">
        <v>102</v>
      </c>
      <c r="E5354" s="25">
        <v>3.2</v>
      </c>
      <c r="F5354" s="23">
        <v>20</v>
      </c>
      <c r="G5354" s="152" cm="1">
        <f t="array" ref="G5354">SUM(E5354/F5354)</f>
        <v>0.16</v>
      </c>
      <c r="H5354" s="15"/>
    </row>
    <row r="5355" ht="13.65" customHeight="1">
      <c r="A5355" s="21">
        <v>65</v>
      </c>
      <c r="B5355" t="s" s="22">
        <v>394</v>
      </c>
      <c r="C5355" s="23">
        <v>500</v>
      </c>
      <c r="D5355" t="s" s="24">
        <v>633</v>
      </c>
      <c r="E5355" s="25">
        <v>26</v>
      </c>
      <c r="F5355" s="23">
        <v>16.6</v>
      </c>
      <c r="G5355" s="152" cm="1">
        <f t="array" ref="G5355">SUM(E5355/F5355)</f>
        <v>1.56626506024096</v>
      </c>
      <c r="H5355" s="15"/>
    </row>
    <row r="5356" ht="13.65" customHeight="1">
      <c r="A5356" s="21">
        <v>140</v>
      </c>
      <c r="B5356" t="s" s="22">
        <v>470</v>
      </c>
      <c r="C5356" t="s" s="24">
        <v>108</v>
      </c>
      <c r="D5356" t="s" s="24">
        <v>102</v>
      </c>
      <c r="E5356" s="25">
        <v>1.12</v>
      </c>
      <c r="F5356" t="s" s="24">
        <v>387</v>
      </c>
      <c r="G5356" s="152" cm="1">
        <f t="array" ref="G5356">SUM(E5356*2)</f>
        <v>2.24</v>
      </c>
      <c r="H5356" s="15"/>
    </row>
    <row r="5357" ht="13.65" customHeight="1">
      <c r="A5357" s="21">
        <v>71</v>
      </c>
      <c r="B5357" t="s" s="22">
        <v>109</v>
      </c>
      <c r="C5357" s="23">
        <v>10</v>
      </c>
      <c r="D5357" t="s" s="24">
        <v>102</v>
      </c>
      <c r="E5357" s="25">
        <v>5.92</v>
      </c>
      <c r="F5357" s="23">
        <v>5</v>
      </c>
      <c r="G5357" s="152" cm="1">
        <f t="array" ref="G5357">SUM(E5357/F5357)</f>
        <v>1.184</v>
      </c>
      <c r="H5357" s="15"/>
    </row>
    <row r="5358" ht="13.65" customHeight="1">
      <c r="A5358" s="21">
        <v>87</v>
      </c>
      <c r="B5358" t="s" s="22">
        <v>110</v>
      </c>
      <c r="C5358" s="23">
        <v>50</v>
      </c>
      <c r="D5358" t="s" s="24">
        <v>102</v>
      </c>
      <c r="E5358" s="25">
        <v>9</v>
      </c>
      <c r="F5358" s="23">
        <v>25</v>
      </c>
      <c r="G5358" s="152" cm="1">
        <f t="array" ref="G5358">SUM(E5358/F5358)</f>
        <v>0.36</v>
      </c>
      <c r="H5358" s="15"/>
    </row>
    <row r="5359" ht="13.65" customHeight="1">
      <c r="A5359" s="21">
        <v>55</v>
      </c>
      <c r="B5359" t="s" s="22">
        <v>111</v>
      </c>
      <c r="C5359" t="s" s="24">
        <v>112</v>
      </c>
      <c r="D5359" t="s" s="24">
        <v>461</v>
      </c>
      <c r="E5359" s="25">
        <v>2.71</v>
      </c>
      <c r="F5359" s="23">
        <v>37.5</v>
      </c>
      <c r="G5359" s="152" cm="1">
        <f t="array" ref="G5359">SUM(E5359/F5359)</f>
        <v>0.0722666666666667</v>
      </c>
      <c r="H5359" s="15"/>
    </row>
    <row r="5360" ht="13.65" customHeight="1">
      <c r="A5360" s="21">
        <v>10</v>
      </c>
      <c r="B5360" t="s" s="22">
        <v>395</v>
      </c>
      <c r="C5360" t="s" s="24">
        <v>396</v>
      </c>
      <c r="D5360" t="s" s="24">
        <v>397</v>
      </c>
      <c r="E5360" s="25">
        <v>3.92</v>
      </c>
      <c r="F5360" s="23">
        <v>50</v>
      </c>
      <c r="G5360" s="152" cm="1">
        <f t="array" ref="G5360">SUM(E5360/F5360)</f>
        <v>0.0784</v>
      </c>
      <c r="H5360" s="15"/>
    </row>
    <row r="5361" ht="13.65" customHeight="1">
      <c r="A5361" s="21">
        <v>9</v>
      </c>
      <c r="B5361" t="s" s="22">
        <v>692</v>
      </c>
      <c r="C5361" s="23">
        <v>50</v>
      </c>
      <c r="D5361" t="s" s="24">
        <v>274</v>
      </c>
      <c r="E5361" s="25">
        <v>14</v>
      </c>
      <c r="F5361" s="23">
        <v>12.5</v>
      </c>
      <c r="G5361" s="152" cm="1">
        <f t="array" ref="G5361">SUM(E5361/F5361)</f>
        <v>1.12</v>
      </c>
      <c r="H5361" s="15"/>
    </row>
    <row r="5362" ht="13.65" customHeight="1">
      <c r="A5362" s="21">
        <v>6</v>
      </c>
      <c r="B5362" t="s" s="22">
        <v>399</v>
      </c>
      <c r="C5362" s="23">
        <v>100</v>
      </c>
      <c r="D5362" t="s" s="24">
        <v>104</v>
      </c>
      <c r="E5362" s="25">
        <v>19</v>
      </c>
      <c r="F5362" s="23">
        <v>100</v>
      </c>
      <c r="G5362" s="152" cm="1">
        <f t="array" ref="G5362">SUM(E5362/F5362)</f>
        <v>0.19</v>
      </c>
      <c r="H5362" s="15"/>
    </row>
    <row r="5363" ht="13.65" customHeight="1">
      <c r="A5363" s="21">
        <v>23</v>
      </c>
      <c r="B5363" t="s" s="22">
        <v>488</v>
      </c>
      <c r="C5363" s="23">
        <v>1</v>
      </c>
      <c r="D5363" t="s" s="24">
        <v>104</v>
      </c>
      <c r="E5363" s="25">
        <v>11</v>
      </c>
      <c r="F5363" s="23">
        <v>1</v>
      </c>
      <c r="G5363" s="152" cm="1">
        <f t="array" ref="G5363">SUM(E5363/F5363)</f>
        <v>11</v>
      </c>
      <c r="H5363" s="15"/>
    </row>
    <row r="5364" ht="13.65" customHeight="1">
      <c r="A5364" s="21">
        <v>119</v>
      </c>
      <c r="B5364" t="s" s="22">
        <v>467</v>
      </c>
      <c r="C5364" s="23">
        <v>1</v>
      </c>
      <c r="D5364" t="s" s="24">
        <v>468</v>
      </c>
      <c r="E5364" s="25">
        <v>0.45</v>
      </c>
      <c r="F5364" s="23">
        <v>1</v>
      </c>
      <c r="G5364" s="152" cm="1">
        <f t="array" ref="G5364">SUM(E5364/F5364)</f>
        <v>0.45</v>
      </c>
      <c r="H5364" s="15"/>
    </row>
    <row r="5365" ht="13.65" customHeight="1">
      <c r="A5365" s="21">
        <v>122</v>
      </c>
      <c r="B5365" t="s" s="22">
        <v>489</v>
      </c>
      <c r="C5365" t="s" s="24">
        <v>490</v>
      </c>
      <c r="D5365" t="s" s="24">
        <v>648</v>
      </c>
      <c r="E5365" s="25">
        <v>1.7</v>
      </c>
      <c r="F5365" s="23">
        <v>16</v>
      </c>
      <c r="G5365" s="152" cm="1">
        <f t="array" ref="G5365">SUM(E5365/F5365)</f>
        <v>0.10625</v>
      </c>
      <c r="H5365" s="15"/>
    </row>
    <row r="5366" ht="13.65" customHeight="1">
      <c r="A5366" s="21">
        <v>56</v>
      </c>
      <c r="B5366" t="s" s="22">
        <v>471</v>
      </c>
      <c r="C5366" s="23">
        <v>1</v>
      </c>
      <c r="D5366" t="s" s="24">
        <v>104</v>
      </c>
      <c r="E5366" s="25">
        <v>3.5</v>
      </c>
      <c r="F5366" s="23">
        <v>1</v>
      </c>
      <c r="G5366" s="152" cm="1">
        <f t="array" ref="G5366">SUM(E5366/F5366)</f>
        <v>3.5</v>
      </c>
      <c r="H5366" s="15"/>
    </row>
    <row r="5367" ht="13.65" customHeight="1">
      <c r="A5367" s="21">
        <v>78</v>
      </c>
      <c r="B5367" t="s" s="22">
        <v>492</v>
      </c>
      <c r="C5367" s="23">
        <v>1</v>
      </c>
      <c r="D5367" t="s" s="24">
        <v>104</v>
      </c>
      <c r="E5367" s="25">
        <v>1</v>
      </c>
      <c r="F5367" s="23">
        <v>1</v>
      </c>
      <c r="G5367" s="152" cm="1">
        <f t="array" ref="G5367">SUM(E5367/F5367)</f>
        <v>1</v>
      </c>
      <c r="H5367" s="15"/>
    </row>
    <row r="5368" ht="13.65" customHeight="1">
      <c r="A5368" s="21">
        <v>36</v>
      </c>
      <c r="B5368" t="s" s="22">
        <v>496</v>
      </c>
      <c r="C5368" t="s" s="24">
        <v>497</v>
      </c>
      <c r="D5368" t="s" s="24">
        <v>498</v>
      </c>
      <c r="E5368" s="25">
        <v>13</v>
      </c>
      <c r="F5368" s="23">
        <v>16</v>
      </c>
      <c r="G5368" s="152" cm="1">
        <f t="array" ref="G5368">SUM(E5368/F5368)</f>
        <v>0.8125</v>
      </c>
      <c r="H5368" s="15"/>
    </row>
    <row r="5369" ht="13.65" customHeight="1">
      <c r="A5369" s="28"/>
      <c r="B5369" s="28"/>
      <c r="C5369" s="27"/>
      <c r="D5369" s="24"/>
      <c r="E5369" s="27"/>
      <c r="F5369" t="s" s="29">
        <v>118</v>
      </c>
      <c r="G5369" s="197" cm="1">
        <f t="array" ref="G5369">SUM(G5353:G5368)</f>
        <v>23.9940817269076</v>
      </c>
      <c r="H5369" s="15"/>
    </row>
    <row r="5370" ht="13.65" customHeight="1">
      <c r="A5370" s="129"/>
      <c r="B5370" s="129"/>
      <c r="C5370" s="129"/>
      <c r="D5370" s="129"/>
      <c r="E5370" s="129"/>
      <c r="F5370" s="31"/>
      <c r="G5370" s="31"/>
      <c r="H5370" s="3"/>
    </row>
    <row r="5371" ht="11.7" customHeight="1">
      <c r="A5371" t="s" s="167">
        <v>136</v>
      </c>
      <c r="B5371" t="s" s="167">
        <v>281</v>
      </c>
      <c r="C5371" t="s" s="167">
        <v>282</v>
      </c>
      <c r="D5371" t="s" s="168">
        <v>283</v>
      </c>
      <c r="E5371" s="169"/>
      <c r="F5371" s="170"/>
      <c r="G5371" s="171"/>
      <c r="H5371" s="171"/>
    </row>
    <row r="5372" ht="13.65" customHeight="1">
      <c r="A5372" s="23">
        <v>70</v>
      </c>
      <c r="B5372" s="172" cm="1">
        <f t="array" ref="B5372">SUM(H256)</f>
        <v>2.47496540404041</v>
      </c>
      <c r="C5372" s="172" cm="1">
        <f t="array" ref="C5372">SUM(G5369)</f>
        <v>23.9940817269076</v>
      </c>
      <c r="D5372" s="199" cm="1">
        <f t="array" ref="D5372">SUM(A5372*B5372)+(C5372)</f>
        <v>197.241660009736</v>
      </c>
      <c r="E5372" s="200"/>
      <c r="F5372" s="15"/>
      <c r="G5372" s="3"/>
      <c r="H5372" s="3"/>
    </row>
    <row r="5373" ht="13.65" customHeight="1">
      <c r="A5373" s="31"/>
      <c r="B5373" s="31"/>
      <c r="C5373" s="31"/>
      <c r="D5373" s="31"/>
      <c r="E5373" s="31"/>
      <c r="F5373" s="3"/>
      <c r="G5373" s="3"/>
      <c r="H5373" s="3"/>
    </row>
    <row r="5374" ht="13.65" customHeight="1">
      <c r="A5374" s="3"/>
      <c r="B5374" s="3"/>
      <c r="C5374" s="3"/>
      <c r="D5374" s="3"/>
      <c r="E5374" s="3"/>
      <c r="F5374" s="3"/>
      <c r="G5374" s="3"/>
      <c r="H5374" s="3"/>
    </row>
    <row r="5375" ht="13.65" customHeight="1">
      <c r="A5375" t="s" s="5">
        <v>861</v>
      </c>
      <c r="B5375" s="3"/>
      <c r="C5375" s="3"/>
      <c r="D5375" s="3"/>
      <c r="E5375" s="3"/>
      <c r="F5375" s="3"/>
      <c r="G5375" s="3"/>
      <c r="H5375" s="3"/>
    </row>
    <row r="5376" ht="13.65" customHeight="1">
      <c r="A5376" s="11"/>
      <c r="B5376" s="11"/>
      <c r="C5376" s="11"/>
      <c r="D5376" s="11"/>
      <c r="E5376" s="11"/>
      <c r="F5376" s="11"/>
      <c r="G5376" s="11"/>
      <c r="H5376" s="3"/>
    </row>
    <row r="5377" ht="13.65" customHeight="1">
      <c r="A5377" s="12"/>
      <c r="B5377" s="12"/>
      <c r="C5377" s="13"/>
      <c r="D5377" s="14"/>
      <c r="E5377" s="13"/>
      <c r="F5377" s="13"/>
      <c r="G5377" t="s" s="14">
        <v>252</v>
      </c>
      <c r="H5377" s="150"/>
    </row>
    <row r="5378" ht="13.65" customHeight="1">
      <c r="A5378" t="s" s="16">
        <v>93</v>
      </c>
      <c r="B5378" t="s" s="16">
        <v>94</v>
      </c>
      <c r="C5378" t="s" s="16">
        <v>95</v>
      </c>
      <c r="D5378" t="s" s="16">
        <v>96</v>
      </c>
      <c r="E5378" t="s" s="16">
        <v>97</v>
      </c>
      <c r="F5378" t="s" s="16">
        <v>98</v>
      </c>
      <c r="G5378" t="s" s="16">
        <v>99</v>
      </c>
      <c r="H5378" s="15"/>
    </row>
    <row r="5379" ht="13.65" customHeight="1">
      <c r="A5379" s="151"/>
      <c r="B5379" s="151"/>
      <c r="C5379" s="19"/>
      <c r="D5379" s="20"/>
      <c r="E5379" s="19"/>
      <c r="F5379" s="19"/>
      <c r="G5379" t="s" s="20">
        <v>100</v>
      </c>
      <c r="H5379" s="15"/>
    </row>
    <row r="5380" ht="13.65" customHeight="1">
      <c r="A5380" s="21">
        <v>72</v>
      </c>
      <c r="B5380" t="s" s="22">
        <v>101</v>
      </c>
      <c r="C5380" s="23">
        <v>50</v>
      </c>
      <c r="D5380" t="s" s="24">
        <v>274</v>
      </c>
      <c r="E5380" s="25">
        <v>1.93</v>
      </c>
      <c r="F5380" s="23">
        <v>12.5</v>
      </c>
      <c r="G5380" s="152" cm="1">
        <f t="array" ref="G5380">SUM(E5380/F5380)</f>
        <v>0.1544</v>
      </c>
      <c r="H5380" s="15"/>
    </row>
    <row r="5381" ht="13.65" customHeight="1">
      <c r="A5381" s="21">
        <v>123</v>
      </c>
      <c r="B5381" t="s" s="22">
        <v>103</v>
      </c>
      <c r="C5381" s="23">
        <v>40</v>
      </c>
      <c r="D5381" t="s" s="24">
        <v>104</v>
      </c>
      <c r="E5381" s="25">
        <v>3.2</v>
      </c>
      <c r="F5381" s="23">
        <v>40</v>
      </c>
      <c r="G5381" s="152" cm="1">
        <f t="array" ref="G5381">SUM(E5381/F5381)</f>
        <v>0.08</v>
      </c>
      <c r="H5381" s="15"/>
    </row>
    <row r="5382" ht="13.65" customHeight="1">
      <c r="A5382" s="21">
        <v>65</v>
      </c>
      <c r="B5382" t="s" s="22">
        <v>394</v>
      </c>
      <c r="C5382" s="23">
        <v>500</v>
      </c>
      <c r="D5382" t="s" s="24">
        <v>106</v>
      </c>
      <c r="E5382" s="25">
        <v>26</v>
      </c>
      <c r="F5382" s="23">
        <v>50</v>
      </c>
      <c r="G5382" s="152" cm="1">
        <f t="array" ref="G5382">SUM(E5382/F5382)</f>
        <v>0.52</v>
      </c>
      <c r="H5382" s="15"/>
    </row>
    <row r="5383" ht="13.65" customHeight="1">
      <c r="A5383" s="21">
        <v>140</v>
      </c>
      <c r="B5383" t="s" s="22">
        <v>470</v>
      </c>
      <c r="C5383" t="s" s="24">
        <v>108</v>
      </c>
      <c r="D5383" t="s" s="24">
        <v>102</v>
      </c>
      <c r="E5383" s="25">
        <v>1.12</v>
      </c>
      <c r="F5383" t="s" s="24">
        <v>387</v>
      </c>
      <c r="G5383" s="152" cm="1">
        <f t="array" ref="G5383">SUM(E5383*2)</f>
        <v>2.24</v>
      </c>
      <c r="H5383" s="15"/>
    </row>
    <row r="5384" ht="13.65" customHeight="1">
      <c r="A5384" s="21">
        <v>71</v>
      </c>
      <c r="B5384" t="s" s="22">
        <v>109</v>
      </c>
      <c r="C5384" s="23">
        <v>10</v>
      </c>
      <c r="D5384" t="s" s="24">
        <v>102</v>
      </c>
      <c r="E5384" s="25">
        <v>5.92</v>
      </c>
      <c r="F5384" s="23">
        <v>5</v>
      </c>
      <c r="G5384" s="152" cm="1">
        <f t="array" ref="G5384">SUM(E5384/F5384)</f>
        <v>1.184</v>
      </c>
      <c r="H5384" s="15"/>
    </row>
    <row r="5385" ht="13.65" customHeight="1">
      <c r="A5385" s="21">
        <v>87</v>
      </c>
      <c r="B5385" t="s" s="22">
        <v>110</v>
      </c>
      <c r="C5385" s="23">
        <v>50</v>
      </c>
      <c r="D5385" t="s" s="24">
        <v>102</v>
      </c>
      <c r="E5385" s="25">
        <v>9</v>
      </c>
      <c r="F5385" s="23">
        <v>25</v>
      </c>
      <c r="G5385" s="152" cm="1">
        <f t="array" ref="G5385">SUM(E5385/F5385)</f>
        <v>0.36</v>
      </c>
      <c r="H5385" s="15"/>
    </row>
    <row r="5386" ht="13.65" customHeight="1">
      <c r="A5386" s="21">
        <v>55</v>
      </c>
      <c r="B5386" t="s" s="22">
        <v>111</v>
      </c>
      <c r="C5386" t="s" s="24">
        <v>112</v>
      </c>
      <c r="D5386" t="s" s="24">
        <v>461</v>
      </c>
      <c r="E5386" s="25">
        <v>2.71</v>
      </c>
      <c r="F5386" s="23">
        <v>37</v>
      </c>
      <c r="G5386" s="152" cm="1">
        <f t="array" ref="G5386">SUM(E5386/F5386)</f>
        <v>0.0732432432432432</v>
      </c>
      <c r="H5386" s="15"/>
    </row>
    <row r="5387" ht="13.65" customHeight="1">
      <c r="A5387" s="21">
        <v>10</v>
      </c>
      <c r="B5387" t="s" s="22">
        <v>395</v>
      </c>
      <c r="C5387" t="s" s="24">
        <v>396</v>
      </c>
      <c r="D5387" t="s" s="24">
        <v>397</v>
      </c>
      <c r="E5387" s="25">
        <v>3.92</v>
      </c>
      <c r="F5387" s="23">
        <v>50</v>
      </c>
      <c r="G5387" s="152" cm="1">
        <f t="array" ref="G5387">SUM(E5387/F5387)</f>
        <v>0.0784</v>
      </c>
      <c r="H5387" s="15"/>
    </row>
    <row r="5388" ht="13.65" customHeight="1">
      <c r="A5388" s="21">
        <v>9</v>
      </c>
      <c r="B5388" t="s" s="22">
        <v>398</v>
      </c>
      <c r="C5388" s="23">
        <v>50</v>
      </c>
      <c r="D5388" t="s" s="24">
        <v>102</v>
      </c>
      <c r="E5388" s="25">
        <v>14</v>
      </c>
      <c r="F5388" s="23">
        <v>25</v>
      </c>
      <c r="G5388" s="152" cm="1">
        <f t="array" ref="G5388">SUM(E5388/F5388)</f>
        <v>0.5600000000000001</v>
      </c>
      <c r="H5388" s="15"/>
    </row>
    <row r="5389" ht="13.65" customHeight="1">
      <c r="A5389" s="21">
        <v>6</v>
      </c>
      <c r="B5389" t="s" s="22">
        <v>399</v>
      </c>
      <c r="C5389" s="23">
        <v>100</v>
      </c>
      <c r="D5389" t="s" s="24">
        <v>104</v>
      </c>
      <c r="E5389" s="25">
        <v>19</v>
      </c>
      <c r="F5389" s="23">
        <v>100</v>
      </c>
      <c r="G5389" s="152" cm="1">
        <f t="array" ref="G5389">SUM(E5389/F5389)</f>
        <v>0.19</v>
      </c>
      <c r="H5389" s="15"/>
    </row>
    <row r="5390" ht="13.65" customHeight="1">
      <c r="A5390" s="21">
        <v>23</v>
      </c>
      <c r="B5390" t="s" s="22">
        <v>862</v>
      </c>
      <c r="C5390" s="23">
        <v>1</v>
      </c>
      <c r="D5390" t="s" s="24">
        <v>104</v>
      </c>
      <c r="E5390" s="25">
        <v>11</v>
      </c>
      <c r="F5390" s="23">
        <v>1</v>
      </c>
      <c r="G5390" s="152" cm="1">
        <f t="array" ref="G5390">SUM(E5390/F5390)</f>
        <v>11</v>
      </c>
      <c r="H5390" s="15"/>
    </row>
    <row r="5391" ht="13.65" customHeight="1">
      <c r="A5391" s="21">
        <v>122</v>
      </c>
      <c r="B5391" t="s" s="22">
        <v>489</v>
      </c>
      <c r="C5391" t="s" s="24">
        <v>490</v>
      </c>
      <c r="D5391" t="s" s="24">
        <v>491</v>
      </c>
      <c r="E5391" s="25">
        <v>1.7</v>
      </c>
      <c r="F5391" s="23">
        <v>10</v>
      </c>
      <c r="G5391" s="152" cm="1">
        <f t="array" ref="G5391">SUM(E5391/F5391)</f>
        <v>0.17</v>
      </c>
      <c r="H5391" s="15"/>
    </row>
    <row r="5392" ht="13.65" customHeight="1">
      <c r="A5392" s="21">
        <v>78</v>
      </c>
      <c r="B5392" t="s" s="22">
        <v>492</v>
      </c>
      <c r="C5392" s="23">
        <v>1</v>
      </c>
      <c r="D5392" t="s" s="24">
        <v>104</v>
      </c>
      <c r="E5392" s="25">
        <v>1</v>
      </c>
      <c r="F5392" s="23">
        <v>1</v>
      </c>
      <c r="G5392" s="152" cm="1">
        <f t="array" ref="G5392">SUM(E5392/F5392)</f>
        <v>1</v>
      </c>
      <c r="H5392" s="15"/>
    </row>
    <row r="5393" ht="13.65" customHeight="1">
      <c r="A5393" s="21">
        <v>29</v>
      </c>
      <c r="B5393" t="s" s="22">
        <v>493</v>
      </c>
      <c r="C5393" t="s" s="24">
        <v>500</v>
      </c>
      <c r="D5393" t="s" s="24">
        <v>495</v>
      </c>
      <c r="E5393" s="25">
        <v>74</v>
      </c>
      <c r="F5393" s="23">
        <v>20</v>
      </c>
      <c r="G5393" s="152" cm="1">
        <f t="array" ref="G5393">SUM(E5393/F5393)</f>
        <v>3.7</v>
      </c>
      <c r="H5393" s="15"/>
    </row>
    <row r="5394" ht="13.65" customHeight="1">
      <c r="A5394" s="21">
        <v>36</v>
      </c>
      <c r="B5394" t="s" s="22">
        <v>496</v>
      </c>
      <c r="C5394" t="s" s="24">
        <v>497</v>
      </c>
      <c r="D5394" t="s" s="24">
        <v>498</v>
      </c>
      <c r="E5394" s="25">
        <v>13</v>
      </c>
      <c r="F5394" s="23">
        <v>16</v>
      </c>
      <c r="G5394" s="152" cm="1">
        <f t="array" ref="G5394">SUM(E5394/F5394)</f>
        <v>0.8125</v>
      </c>
      <c r="H5394" s="15"/>
    </row>
    <row r="5395" ht="13.65" customHeight="1">
      <c r="A5395" s="28"/>
      <c r="B5395" s="28"/>
      <c r="C5395" s="27"/>
      <c r="D5395" s="24"/>
      <c r="E5395" s="27"/>
      <c r="F5395" t="s" s="29">
        <v>118</v>
      </c>
      <c r="G5395" s="197" cm="1">
        <f t="array" ref="G5395">SUM(G5380:G5394)</f>
        <v>22.1225432432432</v>
      </c>
      <c r="H5395" s="15"/>
    </row>
    <row r="5396" ht="13.65" customHeight="1">
      <c r="A5396" s="129"/>
      <c r="B5396" s="129"/>
      <c r="C5396" s="129"/>
      <c r="D5396" s="129"/>
      <c r="E5396" s="129"/>
      <c r="F5396" s="31"/>
      <c r="G5396" s="31"/>
      <c r="H5396" s="3"/>
    </row>
    <row r="5397" ht="11.7" customHeight="1">
      <c r="A5397" t="s" s="167">
        <v>136</v>
      </c>
      <c r="B5397" t="s" s="167">
        <v>281</v>
      </c>
      <c r="C5397" t="s" s="167">
        <v>282</v>
      </c>
      <c r="D5397" t="s" s="168">
        <v>283</v>
      </c>
      <c r="E5397" s="169"/>
      <c r="F5397" s="170"/>
      <c r="G5397" s="171"/>
      <c r="H5397" s="171"/>
    </row>
    <row r="5398" ht="13.65" customHeight="1">
      <c r="A5398" s="23">
        <v>40</v>
      </c>
      <c r="B5398" s="172" cm="1">
        <f t="array" ref="B5398">SUM(H256)</f>
        <v>2.47496540404041</v>
      </c>
      <c r="C5398" s="172" cm="1">
        <f t="array" ref="C5398">SUM(G5395)</f>
        <v>22.1225432432432</v>
      </c>
      <c r="D5398" s="199" cm="1">
        <f t="array" ref="D5398">SUM(A5398*B5398)+(C5398)</f>
        <v>121.121159404860</v>
      </c>
      <c r="E5398" s="200"/>
      <c r="F5398" s="15"/>
      <c r="G5398" s="3"/>
      <c r="H5398" s="3"/>
    </row>
    <row r="5399" ht="13.65" customHeight="1">
      <c r="A5399" s="31"/>
      <c r="B5399" s="31"/>
      <c r="C5399" s="31"/>
      <c r="D5399" s="31"/>
      <c r="E5399" s="31"/>
      <c r="F5399" s="3"/>
      <c r="G5399" s="3"/>
      <c r="H5399" s="3"/>
    </row>
    <row r="5400" ht="13.65" customHeight="1">
      <c r="A5400" s="203"/>
      <c r="B5400" s="203"/>
      <c r="C5400" s="203"/>
      <c r="D5400" s="203"/>
      <c r="E5400" s="203"/>
      <c r="F5400" s="203"/>
      <c r="G5400" s="203"/>
      <c r="H5400" s="203"/>
    </row>
    <row r="5401" ht="13.65" customHeight="1">
      <c r="A5401" t="s" s="274">
        <v>185</v>
      </c>
      <c r="B5401" s="275"/>
      <c r="C5401" s="275"/>
      <c r="D5401" s="275"/>
      <c r="E5401" s="280"/>
      <c r="F5401" s="275"/>
      <c r="G5401" s="275"/>
      <c r="H5401" s="277"/>
    </row>
    <row r="5402" ht="13.65" customHeight="1">
      <c r="A5402" s="278"/>
      <c r="B5402" s="278"/>
      <c r="C5402" s="278"/>
      <c r="D5402" s="278"/>
      <c r="E5402" s="278"/>
      <c r="F5402" s="278"/>
      <c r="G5402" s="278"/>
      <c r="H5402" s="278"/>
    </row>
    <row r="5403" ht="13.65" customHeight="1">
      <c r="A5403" s="3"/>
      <c r="B5403" s="3"/>
      <c r="C5403" s="3"/>
      <c r="D5403" s="3"/>
      <c r="E5403" s="3"/>
      <c r="F5403" s="3"/>
      <c r="G5403" s="3"/>
      <c r="H5403" s="3"/>
    </row>
    <row r="5404" ht="13.65" customHeight="1">
      <c r="A5404" t="s" s="5">
        <v>863</v>
      </c>
      <c r="B5404" s="3"/>
      <c r="C5404" s="3"/>
      <c r="D5404" s="3"/>
      <c r="E5404" s="3"/>
      <c r="F5404" s="3"/>
      <c r="G5404" s="3"/>
      <c r="H5404" s="3"/>
    </row>
    <row r="5405" ht="13.65" customHeight="1">
      <c r="A5405" s="11"/>
      <c r="B5405" s="11"/>
      <c r="C5405" s="11"/>
      <c r="D5405" s="11"/>
      <c r="E5405" s="11"/>
      <c r="F5405" s="11"/>
      <c r="G5405" s="11"/>
      <c r="H5405" s="3"/>
    </row>
    <row r="5406" ht="13.65" customHeight="1">
      <c r="A5406" s="12"/>
      <c r="B5406" s="12"/>
      <c r="C5406" s="13"/>
      <c r="D5406" s="14"/>
      <c r="E5406" s="13"/>
      <c r="F5406" s="13"/>
      <c r="G5406" t="s" s="14">
        <v>252</v>
      </c>
      <c r="H5406" s="150"/>
    </row>
    <row r="5407" ht="13.65" customHeight="1">
      <c r="A5407" t="s" s="16">
        <v>93</v>
      </c>
      <c r="B5407" t="s" s="16">
        <v>94</v>
      </c>
      <c r="C5407" t="s" s="16">
        <v>95</v>
      </c>
      <c r="D5407" t="s" s="16">
        <v>96</v>
      </c>
      <c r="E5407" t="s" s="16">
        <v>97</v>
      </c>
      <c r="F5407" t="s" s="16">
        <v>98</v>
      </c>
      <c r="G5407" t="s" s="16">
        <v>99</v>
      </c>
      <c r="H5407" s="15"/>
    </row>
    <row r="5408" ht="13.65" customHeight="1">
      <c r="A5408" s="151"/>
      <c r="B5408" s="151"/>
      <c r="C5408" s="19"/>
      <c r="D5408" s="20"/>
      <c r="E5408" s="19"/>
      <c r="F5408" s="19"/>
      <c r="G5408" t="s" s="20">
        <v>100</v>
      </c>
      <c r="H5408" s="15"/>
    </row>
    <row r="5409" ht="13.65" customHeight="1">
      <c r="A5409" s="21">
        <v>72</v>
      </c>
      <c r="B5409" t="s" s="22">
        <v>101</v>
      </c>
      <c r="C5409" s="23">
        <v>50</v>
      </c>
      <c r="D5409" t="s" s="24">
        <v>274</v>
      </c>
      <c r="E5409" s="25">
        <v>1.93</v>
      </c>
      <c r="F5409" s="23">
        <v>12.5</v>
      </c>
      <c r="G5409" s="152" cm="1">
        <f t="array" ref="G5409">SUM(E5409/F5409)</f>
        <v>0.1544</v>
      </c>
      <c r="H5409" s="15"/>
    </row>
    <row r="5410" ht="13.65" customHeight="1">
      <c r="A5410" s="21">
        <v>123</v>
      </c>
      <c r="B5410" t="s" s="22">
        <v>103</v>
      </c>
      <c r="C5410" s="23">
        <v>40</v>
      </c>
      <c r="D5410" t="s" s="24">
        <v>102</v>
      </c>
      <c r="E5410" s="25">
        <v>3.2</v>
      </c>
      <c r="F5410" s="23">
        <v>20</v>
      </c>
      <c r="G5410" s="152" cm="1">
        <f t="array" ref="G5410">SUM(E5410/F5410)</f>
        <v>0.16</v>
      </c>
      <c r="H5410" s="15"/>
    </row>
    <row r="5411" ht="13.65" customHeight="1">
      <c r="A5411" s="21">
        <v>65</v>
      </c>
      <c r="B5411" t="s" s="22">
        <v>394</v>
      </c>
      <c r="C5411" s="23">
        <v>500</v>
      </c>
      <c r="D5411" t="s" s="24">
        <v>633</v>
      </c>
      <c r="E5411" s="25">
        <v>26</v>
      </c>
      <c r="F5411" s="23">
        <v>16.6</v>
      </c>
      <c r="G5411" s="152" cm="1">
        <f t="array" ref="G5411">SUM(E5411/F5411)</f>
        <v>1.56626506024096</v>
      </c>
      <c r="H5411" s="15"/>
    </row>
    <row r="5412" ht="13.65" customHeight="1">
      <c r="A5412" s="21">
        <v>140</v>
      </c>
      <c r="B5412" t="s" s="22">
        <v>470</v>
      </c>
      <c r="C5412" t="s" s="24">
        <v>108</v>
      </c>
      <c r="D5412" t="s" s="24">
        <v>102</v>
      </c>
      <c r="E5412" s="25">
        <v>1.12</v>
      </c>
      <c r="F5412" t="s" s="24">
        <v>387</v>
      </c>
      <c r="G5412" s="152" cm="1">
        <f t="array" ref="G5412">SUM(E5412*2)</f>
        <v>2.24</v>
      </c>
      <c r="H5412" s="15"/>
    </row>
    <row r="5413" ht="13.65" customHeight="1">
      <c r="A5413" s="21">
        <v>71</v>
      </c>
      <c r="B5413" t="s" s="22">
        <v>109</v>
      </c>
      <c r="C5413" s="23">
        <v>10</v>
      </c>
      <c r="D5413" t="s" s="24">
        <v>102</v>
      </c>
      <c r="E5413" s="25">
        <v>5.92</v>
      </c>
      <c r="F5413" s="23">
        <v>5</v>
      </c>
      <c r="G5413" s="152" cm="1">
        <f t="array" ref="G5413">SUM(E5413/F5413)</f>
        <v>1.184</v>
      </c>
      <c r="H5413" s="15"/>
    </row>
    <row r="5414" ht="13.65" customHeight="1">
      <c r="A5414" s="21">
        <v>87</v>
      </c>
      <c r="B5414" t="s" s="22">
        <v>110</v>
      </c>
      <c r="C5414" s="23">
        <v>50</v>
      </c>
      <c r="D5414" t="s" s="24">
        <v>102</v>
      </c>
      <c r="E5414" s="25">
        <v>9</v>
      </c>
      <c r="F5414" s="23">
        <v>25</v>
      </c>
      <c r="G5414" s="152" cm="1">
        <f t="array" ref="G5414">SUM(E5414/F5414)</f>
        <v>0.36</v>
      </c>
      <c r="H5414" s="15"/>
    </row>
    <row r="5415" ht="13.65" customHeight="1">
      <c r="A5415" s="21">
        <v>55</v>
      </c>
      <c r="B5415" t="s" s="22">
        <v>111</v>
      </c>
      <c r="C5415" t="s" s="24">
        <v>112</v>
      </c>
      <c r="D5415" t="s" s="24">
        <v>461</v>
      </c>
      <c r="E5415" s="25">
        <v>2.71</v>
      </c>
      <c r="F5415" s="23">
        <v>37.5</v>
      </c>
      <c r="G5415" s="152" cm="1">
        <f t="array" ref="G5415">SUM(E5415/F5415)</f>
        <v>0.0722666666666667</v>
      </c>
      <c r="H5415" s="15"/>
    </row>
    <row r="5416" ht="13.65" customHeight="1">
      <c r="A5416" s="21">
        <v>10</v>
      </c>
      <c r="B5416" t="s" s="22">
        <v>395</v>
      </c>
      <c r="C5416" t="s" s="24">
        <v>396</v>
      </c>
      <c r="D5416" t="s" s="24">
        <v>397</v>
      </c>
      <c r="E5416" s="25">
        <v>3.92</v>
      </c>
      <c r="F5416" s="23">
        <v>50</v>
      </c>
      <c r="G5416" s="152" cm="1">
        <f t="array" ref="G5416">SUM(E5416/F5416)</f>
        <v>0.0784</v>
      </c>
      <c r="H5416" s="15"/>
    </row>
    <row r="5417" ht="13.65" customHeight="1">
      <c r="A5417" s="21">
        <v>9</v>
      </c>
      <c r="B5417" t="s" s="22">
        <v>692</v>
      </c>
      <c r="C5417" s="23">
        <v>50</v>
      </c>
      <c r="D5417" t="s" s="24">
        <v>274</v>
      </c>
      <c r="E5417" s="25">
        <v>14</v>
      </c>
      <c r="F5417" s="23">
        <v>12.5</v>
      </c>
      <c r="G5417" s="152" cm="1">
        <f t="array" ref="G5417">SUM(E5417/F5417)</f>
        <v>1.12</v>
      </c>
      <c r="H5417" s="15"/>
    </row>
    <row r="5418" ht="13.65" customHeight="1">
      <c r="A5418" s="21">
        <v>6</v>
      </c>
      <c r="B5418" t="s" s="22">
        <v>399</v>
      </c>
      <c r="C5418" s="23">
        <v>100</v>
      </c>
      <c r="D5418" t="s" s="24">
        <v>104</v>
      </c>
      <c r="E5418" s="25">
        <v>19</v>
      </c>
      <c r="F5418" s="23">
        <v>100</v>
      </c>
      <c r="G5418" s="152" cm="1">
        <f t="array" ref="G5418">SUM(E5418/F5418)</f>
        <v>0.19</v>
      </c>
      <c r="H5418" s="15"/>
    </row>
    <row r="5419" ht="13.65" customHeight="1">
      <c r="A5419" s="21">
        <v>23</v>
      </c>
      <c r="B5419" t="s" s="22">
        <v>488</v>
      </c>
      <c r="C5419" s="23">
        <v>1</v>
      </c>
      <c r="D5419" t="s" s="24">
        <v>104</v>
      </c>
      <c r="E5419" s="25">
        <v>11</v>
      </c>
      <c r="F5419" s="23">
        <v>1</v>
      </c>
      <c r="G5419" s="152" cm="1">
        <f t="array" ref="G5419">SUM(E5419/F5419)</f>
        <v>11</v>
      </c>
      <c r="H5419" s="15"/>
    </row>
    <row r="5420" ht="13.65" customHeight="1">
      <c r="A5420" s="21">
        <v>119</v>
      </c>
      <c r="B5420" t="s" s="22">
        <v>467</v>
      </c>
      <c r="C5420" s="23">
        <v>1</v>
      </c>
      <c r="D5420" t="s" s="24">
        <v>468</v>
      </c>
      <c r="E5420" s="25">
        <v>0.45</v>
      </c>
      <c r="F5420" s="23">
        <v>1</v>
      </c>
      <c r="G5420" s="152" cm="1">
        <f t="array" ref="G5420">SUM(E5420/F5420)</f>
        <v>0.45</v>
      </c>
      <c r="H5420" s="15"/>
    </row>
    <row r="5421" ht="13.65" customHeight="1">
      <c r="A5421" s="21">
        <v>122</v>
      </c>
      <c r="B5421" t="s" s="22">
        <v>489</v>
      </c>
      <c r="C5421" t="s" s="24">
        <v>490</v>
      </c>
      <c r="D5421" t="s" s="24">
        <v>390</v>
      </c>
      <c r="E5421" s="25">
        <v>1.7</v>
      </c>
      <c r="F5421" s="23">
        <v>50</v>
      </c>
      <c r="G5421" s="152" cm="1">
        <f t="array" ref="G5421">SUM(E5421/F5421)</f>
        <v>0.034</v>
      </c>
      <c r="H5421" s="15"/>
    </row>
    <row r="5422" ht="13.65" customHeight="1">
      <c r="A5422" s="21">
        <v>56</v>
      </c>
      <c r="B5422" t="s" s="22">
        <v>471</v>
      </c>
      <c r="C5422" s="23">
        <v>1</v>
      </c>
      <c r="D5422" t="s" s="24">
        <v>104</v>
      </c>
      <c r="E5422" s="25">
        <v>3.5</v>
      </c>
      <c r="F5422" s="23">
        <v>1</v>
      </c>
      <c r="G5422" s="152" cm="1">
        <f t="array" ref="G5422">SUM(E5422/F5422)</f>
        <v>3.5</v>
      </c>
      <c r="H5422" s="15"/>
    </row>
    <row r="5423" ht="13.65" customHeight="1">
      <c r="A5423" s="21">
        <v>78</v>
      </c>
      <c r="B5423" t="s" s="22">
        <v>492</v>
      </c>
      <c r="C5423" s="23">
        <v>1</v>
      </c>
      <c r="D5423" t="s" s="24">
        <v>104</v>
      </c>
      <c r="E5423" s="25">
        <v>1</v>
      </c>
      <c r="F5423" s="23">
        <v>1</v>
      </c>
      <c r="G5423" s="152" cm="1">
        <f t="array" ref="G5423">SUM(E5423/F5423)</f>
        <v>1</v>
      </c>
      <c r="H5423" s="15"/>
    </row>
    <row r="5424" ht="13.65" customHeight="1">
      <c r="A5424" s="21">
        <v>36</v>
      </c>
      <c r="B5424" t="s" s="22">
        <v>496</v>
      </c>
      <c r="C5424" t="s" s="24">
        <v>497</v>
      </c>
      <c r="D5424" t="s" s="24">
        <v>498</v>
      </c>
      <c r="E5424" s="25">
        <v>13</v>
      </c>
      <c r="F5424" s="23">
        <v>16</v>
      </c>
      <c r="G5424" s="152" cm="1">
        <f t="array" ref="G5424">SUM(E5424/F5424)</f>
        <v>0.8125</v>
      </c>
      <c r="H5424" s="15"/>
    </row>
    <row r="5425" ht="13.65" customHeight="1">
      <c r="A5425" s="21">
        <v>64</v>
      </c>
      <c r="B5425" t="s" s="22">
        <v>864</v>
      </c>
      <c r="C5425" t="s" s="24">
        <v>390</v>
      </c>
      <c r="D5425" t="s" s="24">
        <v>753</v>
      </c>
      <c r="E5425" s="25">
        <v>2.2</v>
      </c>
      <c r="F5425" s="23">
        <v>2</v>
      </c>
      <c r="G5425" s="152" cm="1">
        <f t="array" ref="G5425">SUM(E5425/F5425)</f>
        <v>1.1</v>
      </c>
      <c r="H5425" s="15"/>
    </row>
    <row r="5426" ht="13.65" customHeight="1">
      <c r="A5426" s="28"/>
      <c r="B5426" s="28"/>
      <c r="C5426" s="27"/>
      <c r="D5426" s="24"/>
      <c r="E5426" s="27"/>
      <c r="F5426" t="s" s="29">
        <v>118</v>
      </c>
      <c r="G5426" s="197" cm="1">
        <f t="array" ref="G5426">SUM(G5409:G5425)</f>
        <v>25.0218317269076</v>
      </c>
      <c r="H5426" s="15"/>
    </row>
    <row r="5427" ht="13.65" customHeight="1">
      <c r="A5427" s="129"/>
      <c r="B5427" s="129"/>
      <c r="C5427" s="129"/>
      <c r="D5427" s="129"/>
      <c r="E5427" s="129"/>
      <c r="F5427" s="31"/>
      <c r="G5427" s="31"/>
      <c r="H5427" s="3"/>
    </row>
    <row r="5428" ht="11.7" customHeight="1">
      <c r="A5428" t="s" s="167">
        <v>136</v>
      </c>
      <c r="B5428" t="s" s="167">
        <v>281</v>
      </c>
      <c r="C5428" t="s" s="167">
        <v>282</v>
      </c>
      <c r="D5428" t="s" s="168">
        <v>283</v>
      </c>
      <c r="E5428" s="169"/>
      <c r="F5428" s="170"/>
      <c r="G5428" s="171"/>
      <c r="H5428" s="171"/>
    </row>
    <row r="5429" ht="13.65" customHeight="1">
      <c r="A5429" s="23">
        <v>70</v>
      </c>
      <c r="B5429" s="172" cm="1">
        <f t="array" ref="B5429">SUM(H256)</f>
        <v>2.47496540404041</v>
      </c>
      <c r="C5429" s="172" cm="1">
        <f t="array" ref="C5429">SUM(G5426)</f>
        <v>25.0218317269076</v>
      </c>
      <c r="D5429" s="199" cm="1">
        <f t="array" ref="D5429">SUM(A5429*B5429)+(C5429)</f>
        <v>198.269410009736</v>
      </c>
      <c r="E5429" s="200"/>
      <c r="F5429" s="15"/>
      <c r="G5429" s="3"/>
      <c r="H5429" s="3"/>
    </row>
    <row r="5430" ht="13.65" customHeight="1">
      <c r="A5430" s="31"/>
      <c r="B5430" s="31"/>
      <c r="C5430" s="31"/>
      <c r="D5430" s="31"/>
      <c r="E5430" s="31"/>
      <c r="F5430" s="3"/>
      <c r="G5430" s="3"/>
      <c r="H5430" s="3"/>
    </row>
    <row r="5431" ht="13.65" customHeight="1">
      <c r="A5431" s="3"/>
      <c r="B5431" s="3"/>
      <c r="C5431" s="3"/>
      <c r="D5431" s="3"/>
      <c r="E5431" s="3"/>
      <c r="F5431" s="3"/>
      <c r="G5431" s="3"/>
      <c r="H5431" s="3"/>
    </row>
    <row r="5432" ht="13.65" customHeight="1">
      <c r="A5432" t="s" s="5">
        <v>865</v>
      </c>
      <c r="B5432" s="3"/>
      <c r="C5432" s="3"/>
      <c r="D5432" s="3"/>
      <c r="E5432" s="3"/>
      <c r="F5432" s="3"/>
      <c r="G5432" s="3"/>
      <c r="H5432" s="3"/>
    </row>
    <row r="5433" ht="13.65" customHeight="1">
      <c r="A5433" s="11"/>
      <c r="B5433" s="11"/>
      <c r="C5433" s="11"/>
      <c r="D5433" s="11"/>
      <c r="E5433" s="11"/>
      <c r="F5433" s="11"/>
      <c r="G5433" s="11"/>
      <c r="H5433" s="3"/>
    </row>
    <row r="5434" ht="13.65" customHeight="1">
      <c r="A5434" s="12"/>
      <c r="B5434" s="12"/>
      <c r="C5434" s="13"/>
      <c r="D5434" s="14"/>
      <c r="E5434" s="13"/>
      <c r="F5434" s="13"/>
      <c r="G5434" t="s" s="14">
        <v>252</v>
      </c>
      <c r="H5434" s="150"/>
    </row>
    <row r="5435" ht="13.65" customHeight="1">
      <c r="A5435" t="s" s="16">
        <v>93</v>
      </c>
      <c r="B5435" t="s" s="16">
        <v>94</v>
      </c>
      <c r="C5435" t="s" s="16">
        <v>95</v>
      </c>
      <c r="D5435" t="s" s="16">
        <v>96</v>
      </c>
      <c r="E5435" t="s" s="16">
        <v>97</v>
      </c>
      <c r="F5435" t="s" s="16">
        <v>98</v>
      </c>
      <c r="G5435" t="s" s="16">
        <v>99</v>
      </c>
      <c r="H5435" s="15"/>
    </row>
    <row r="5436" ht="13.65" customHeight="1">
      <c r="A5436" s="151"/>
      <c r="B5436" s="151"/>
      <c r="C5436" s="19"/>
      <c r="D5436" s="20"/>
      <c r="E5436" s="19"/>
      <c r="F5436" s="19"/>
      <c r="G5436" t="s" s="20">
        <v>100</v>
      </c>
      <c r="H5436" s="15"/>
    </row>
    <row r="5437" ht="13.65" customHeight="1">
      <c r="A5437" s="21">
        <v>72</v>
      </c>
      <c r="B5437" t="s" s="22">
        <v>101</v>
      </c>
      <c r="C5437" s="23">
        <v>50</v>
      </c>
      <c r="D5437" t="s" s="24">
        <v>274</v>
      </c>
      <c r="E5437" s="25">
        <v>1.93</v>
      </c>
      <c r="F5437" s="23">
        <v>12.5</v>
      </c>
      <c r="G5437" s="152" cm="1">
        <f t="array" ref="G5437">SUM(E5437/F5437)</f>
        <v>0.1544</v>
      </c>
      <c r="H5437" s="15"/>
    </row>
    <row r="5438" ht="13.65" customHeight="1">
      <c r="A5438" s="21">
        <v>123</v>
      </c>
      <c r="B5438" t="s" s="22">
        <v>103</v>
      </c>
      <c r="C5438" s="23">
        <v>40</v>
      </c>
      <c r="D5438" t="s" s="24">
        <v>102</v>
      </c>
      <c r="E5438" s="25">
        <v>3.2</v>
      </c>
      <c r="F5438" s="23">
        <v>20</v>
      </c>
      <c r="G5438" s="152" cm="1">
        <f t="array" ref="G5438">SUM(E5438/F5438)</f>
        <v>0.16</v>
      </c>
      <c r="H5438" s="15"/>
    </row>
    <row r="5439" ht="13.65" customHeight="1">
      <c r="A5439" s="21">
        <v>65</v>
      </c>
      <c r="B5439" t="s" s="22">
        <v>394</v>
      </c>
      <c r="C5439" s="23">
        <v>500</v>
      </c>
      <c r="D5439" t="s" s="24">
        <v>633</v>
      </c>
      <c r="E5439" s="25">
        <v>26</v>
      </c>
      <c r="F5439" s="23">
        <v>16.6</v>
      </c>
      <c r="G5439" s="152" cm="1">
        <f t="array" ref="G5439">SUM(E5439/F5439)</f>
        <v>1.56626506024096</v>
      </c>
      <c r="H5439" s="15"/>
    </row>
    <row r="5440" ht="13.65" customHeight="1">
      <c r="A5440" s="21">
        <v>140</v>
      </c>
      <c r="B5440" t="s" s="22">
        <v>470</v>
      </c>
      <c r="C5440" t="s" s="24">
        <v>108</v>
      </c>
      <c r="D5440" t="s" s="24">
        <v>102</v>
      </c>
      <c r="E5440" s="25">
        <v>1.12</v>
      </c>
      <c r="F5440" t="s" s="24">
        <v>387</v>
      </c>
      <c r="G5440" s="152" cm="1">
        <f t="array" ref="G5440">SUM(E5440*2)</f>
        <v>2.24</v>
      </c>
      <c r="H5440" s="15"/>
    </row>
    <row r="5441" ht="13.65" customHeight="1">
      <c r="A5441" s="21">
        <v>71</v>
      </c>
      <c r="B5441" t="s" s="22">
        <v>109</v>
      </c>
      <c r="C5441" s="23">
        <v>10</v>
      </c>
      <c r="D5441" t="s" s="24">
        <v>102</v>
      </c>
      <c r="E5441" s="25">
        <v>5.92</v>
      </c>
      <c r="F5441" s="23">
        <v>5</v>
      </c>
      <c r="G5441" s="152" cm="1">
        <f t="array" ref="G5441">SUM(E5441/F5441)</f>
        <v>1.184</v>
      </c>
      <c r="H5441" s="15"/>
    </row>
    <row r="5442" ht="13.65" customHeight="1">
      <c r="A5442" s="21">
        <v>87</v>
      </c>
      <c r="B5442" t="s" s="22">
        <v>110</v>
      </c>
      <c r="C5442" s="23">
        <v>50</v>
      </c>
      <c r="D5442" t="s" s="24">
        <v>102</v>
      </c>
      <c r="E5442" s="25">
        <v>9</v>
      </c>
      <c r="F5442" s="23">
        <v>25</v>
      </c>
      <c r="G5442" s="152" cm="1">
        <f t="array" ref="G5442">SUM(E5442/F5442)</f>
        <v>0.36</v>
      </c>
      <c r="H5442" s="15"/>
    </row>
    <row r="5443" ht="13.65" customHeight="1">
      <c r="A5443" s="21">
        <v>55</v>
      </c>
      <c r="B5443" t="s" s="22">
        <v>111</v>
      </c>
      <c r="C5443" t="s" s="24">
        <v>112</v>
      </c>
      <c r="D5443" t="s" s="24">
        <v>461</v>
      </c>
      <c r="E5443" s="25">
        <v>2.71</v>
      </c>
      <c r="F5443" s="23">
        <v>37.5</v>
      </c>
      <c r="G5443" s="152" cm="1">
        <f t="array" ref="G5443">SUM(E5443/F5443)</f>
        <v>0.0722666666666667</v>
      </c>
      <c r="H5443" s="15"/>
    </row>
    <row r="5444" ht="13.65" customHeight="1">
      <c r="A5444" s="21">
        <v>10</v>
      </c>
      <c r="B5444" t="s" s="22">
        <v>395</v>
      </c>
      <c r="C5444" t="s" s="24">
        <v>396</v>
      </c>
      <c r="D5444" t="s" s="24">
        <v>397</v>
      </c>
      <c r="E5444" s="25">
        <v>3.92</v>
      </c>
      <c r="F5444" s="23">
        <v>50</v>
      </c>
      <c r="G5444" s="152" cm="1">
        <f t="array" ref="G5444">SUM(E5444/F5444)</f>
        <v>0.0784</v>
      </c>
      <c r="H5444" s="15"/>
    </row>
    <row r="5445" ht="13.65" customHeight="1">
      <c r="A5445" s="21">
        <v>9</v>
      </c>
      <c r="B5445" t="s" s="22">
        <v>692</v>
      </c>
      <c r="C5445" s="23">
        <v>50</v>
      </c>
      <c r="D5445" t="s" s="24">
        <v>274</v>
      </c>
      <c r="E5445" s="25">
        <v>14</v>
      </c>
      <c r="F5445" s="23">
        <v>12.5</v>
      </c>
      <c r="G5445" s="152" cm="1">
        <f t="array" ref="G5445">SUM(E5445/F5445)</f>
        <v>1.12</v>
      </c>
      <c r="H5445" s="15"/>
    </row>
    <row r="5446" ht="13.65" customHeight="1">
      <c r="A5446" s="21">
        <v>6</v>
      </c>
      <c r="B5446" t="s" s="22">
        <v>399</v>
      </c>
      <c r="C5446" s="23">
        <v>100</v>
      </c>
      <c r="D5446" t="s" s="24">
        <v>104</v>
      </c>
      <c r="E5446" s="25">
        <v>19</v>
      </c>
      <c r="F5446" s="23">
        <v>100</v>
      </c>
      <c r="G5446" s="152" cm="1">
        <f t="array" ref="G5446">SUM(E5446/F5446)</f>
        <v>0.19</v>
      </c>
      <c r="H5446" s="15"/>
    </row>
    <row r="5447" ht="13.65" customHeight="1">
      <c r="A5447" s="21">
        <v>23</v>
      </c>
      <c r="B5447" t="s" s="22">
        <v>488</v>
      </c>
      <c r="C5447" s="23">
        <v>1</v>
      </c>
      <c r="D5447" t="s" s="24">
        <v>104</v>
      </c>
      <c r="E5447" s="25">
        <v>11</v>
      </c>
      <c r="F5447" s="23">
        <v>1</v>
      </c>
      <c r="G5447" s="152" cm="1">
        <f t="array" ref="G5447">SUM(E5447/F5447)</f>
        <v>11</v>
      </c>
      <c r="H5447" s="15"/>
    </row>
    <row r="5448" ht="13.65" customHeight="1">
      <c r="A5448" s="21">
        <v>119</v>
      </c>
      <c r="B5448" t="s" s="22">
        <v>467</v>
      </c>
      <c r="C5448" s="23">
        <v>1</v>
      </c>
      <c r="D5448" t="s" s="24">
        <v>468</v>
      </c>
      <c r="E5448" s="25">
        <v>0.45</v>
      </c>
      <c r="F5448" s="23">
        <v>1</v>
      </c>
      <c r="G5448" s="152" cm="1">
        <f t="array" ref="G5448">SUM(E5448/F5448)</f>
        <v>0.45</v>
      </c>
      <c r="H5448" s="15"/>
    </row>
    <row r="5449" ht="13.65" customHeight="1">
      <c r="A5449" s="21">
        <v>122</v>
      </c>
      <c r="B5449" t="s" s="22">
        <v>489</v>
      </c>
      <c r="C5449" t="s" s="24">
        <v>490</v>
      </c>
      <c r="D5449" t="s" s="24">
        <v>648</v>
      </c>
      <c r="E5449" s="25">
        <v>1.7</v>
      </c>
      <c r="F5449" s="23">
        <v>16</v>
      </c>
      <c r="G5449" s="152" cm="1">
        <f t="array" ref="G5449">SUM(E5449/F5449)</f>
        <v>0.10625</v>
      </c>
      <c r="H5449" s="15"/>
    </row>
    <row r="5450" ht="13.65" customHeight="1">
      <c r="A5450" s="21">
        <v>56</v>
      </c>
      <c r="B5450" t="s" s="22">
        <v>471</v>
      </c>
      <c r="C5450" s="23">
        <v>1</v>
      </c>
      <c r="D5450" t="s" s="24">
        <v>104</v>
      </c>
      <c r="E5450" s="25">
        <v>3.5</v>
      </c>
      <c r="F5450" s="23">
        <v>1</v>
      </c>
      <c r="G5450" s="152" cm="1">
        <f t="array" ref="G5450">SUM(E5450/F5450)</f>
        <v>3.5</v>
      </c>
      <c r="H5450" s="15"/>
    </row>
    <row r="5451" ht="13.65" customHeight="1">
      <c r="A5451" s="21">
        <v>78</v>
      </c>
      <c r="B5451" t="s" s="22">
        <v>492</v>
      </c>
      <c r="C5451" s="23">
        <v>1</v>
      </c>
      <c r="D5451" t="s" s="24">
        <v>104</v>
      </c>
      <c r="E5451" s="25">
        <v>1</v>
      </c>
      <c r="F5451" s="23">
        <v>1</v>
      </c>
      <c r="G5451" s="152" cm="1">
        <f t="array" ref="G5451">SUM(E5451/F5451)</f>
        <v>1</v>
      </c>
      <c r="H5451" s="15"/>
    </row>
    <row r="5452" ht="13.65" customHeight="1">
      <c r="A5452" s="21">
        <v>36</v>
      </c>
      <c r="B5452" t="s" s="22">
        <v>496</v>
      </c>
      <c r="C5452" t="s" s="24">
        <v>497</v>
      </c>
      <c r="D5452" t="s" s="24">
        <v>498</v>
      </c>
      <c r="E5452" s="25">
        <v>13</v>
      </c>
      <c r="F5452" s="23">
        <v>16</v>
      </c>
      <c r="G5452" s="152" cm="1">
        <f t="array" ref="G5452">SUM(E5452/F5452)</f>
        <v>0.8125</v>
      </c>
      <c r="H5452" s="15"/>
    </row>
    <row r="5453" ht="13.65" customHeight="1">
      <c r="A5453" s="28"/>
      <c r="B5453" s="28"/>
      <c r="C5453" s="27"/>
      <c r="D5453" s="24"/>
      <c r="E5453" s="27"/>
      <c r="F5453" t="s" s="29">
        <v>118</v>
      </c>
      <c r="G5453" s="197" cm="1">
        <f t="array" ref="G5453">SUM(G5437:G5452)</f>
        <v>23.9940817269076</v>
      </c>
      <c r="H5453" s="15"/>
    </row>
    <row r="5454" ht="13.65" customHeight="1">
      <c r="A5454" s="129"/>
      <c r="B5454" s="129"/>
      <c r="C5454" s="129"/>
      <c r="D5454" s="129"/>
      <c r="E5454" s="129"/>
      <c r="F5454" s="31"/>
      <c r="G5454" s="31"/>
      <c r="H5454" s="3"/>
    </row>
    <row r="5455" ht="11.7" customHeight="1">
      <c r="A5455" t="s" s="167">
        <v>136</v>
      </c>
      <c r="B5455" t="s" s="167">
        <v>281</v>
      </c>
      <c r="C5455" t="s" s="167">
        <v>282</v>
      </c>
      <c r="D5455" t="s" s="168">
        <v>283</v>
      </c>
      <c r="E5455" s="169"/>
      <c r="F5455" s="170"/>
      <c r="G5455" s="171"/>
      <c r="H5455" s="171"/>
    </row>
    <row r="5456" ht="13.65" customHeight="1">
      <c r="A5456" s="23">
        <v>80</v>
      </c>
      <c r="B5456" s="172" cm="1">
        <f t="array" ref="B5456">SUM(H256)</f>
        <v>2.47496540404041</v>
      </c>
      <c r="C5456" s="172" cm="1">
        <f t="array" ref="C5456">SUM(G5453)</f>
        <v>23.9940817269076</v>
      </c>
      <c r="D5456" s="199" cm="1">
        <f t="array" ref="D5456">SUM(A5456*B5456)+(C5456)</f>
        <v>221.991314050140</v>
      </c>
      <c r="E5456" s="200"/>
      <c r="F5456" s="15"/>
      <c r="G5456" s="3"/>
      <c r="H5456" s="3"/>
    </row>
    <row r="5457" ht="13.65" customHeight="1">
      <c r="A5457" s="31"/>
      <c r="B5457" s="31"/>
      <c r="C5457" s="31"/>
      <c r="D5457" s="31"/>
      <c r="E5457" s="31"/>
      <c r="F5457" s="3"/>
      <c r="G5457" s="3"/>
      <c r="H5457" s="3"/>
    </row>
    <row r="5458" ht="13.65" customHeight="1">
      <c r="A5458" s="203"/>
      <c r="B5458" s="203"/>
      <c r="C5458" s="203"/>
      <c r="D5458" s="203"/>
      <c r="E5458" s="203"/>
      <c r="F5458" s="203"/>
      <c r="G5458" s="203"/>
      <c r="H5458" s="203"/>
    </row>
    <row r="5459" ht="13.65" customHeight="1">
      <c r="A5459" t="s" s="274">
        <v>185</v>
      </c>
      <c r="B5459" s="275"/>
      <c r="C5459" s="275"/>
      <c r="D5459" s="275"/>
      <c r="E5459" s="280"/>
      <c r="F5459" s="275"/>
      <c r="G5459" s="275"/>
      <c r="H5459" s="277"/>
    </row>
    <row r="5460" ht="13.65" customHeight="1">
      <c r="A5460" s="278"/>
      <c r="B5460" s="278"/>
      <c r="C5460" s="278"/>
      <c r="D5460" s="278"/>
      <c r="E5460" s="278"/>
      <c r="F5460" s="278"/>
      <c r="G5460" s="278"/>
      <c r="H5460" s="278"/>
    </row>
    <row r="5461" ht="13.65" customHeight="1">
      <c r="A5461" s="3"/>
      <c r="B5461" s="3"/>
      <c r="C5461" s="3"/>
      <c r="D5461" s="3"/>
      <c r="E5461" s="3"/>
      <c r="F5461" s="3"/>
      <c r="G5461" s="3"/>
      <c r="H5461" s="3"/>
    </row>
    <row r="5462" ht="13.65" customHeight="1">
      <c r="A5462" t="s" s="5">
        <v>866</v>
      </c>
      <c r="B5462" s="3"/>
      <c r="C5462" s="3"/>
      <c r="D5462" s="3"/>
      <c r="E5462" s="3"/>
      <c r="F5462" s="3"/>
      <c r="G5462" s="3"/>
      <c r="H5462" s="3"/>
    </row>
    <row r="5463" ht="13.65" customHeight="1">
      <c r="A5463" s="11"/>
      <c r="B5463" s="11"/>
      <c r="C5463" s="11"/>
      <c r="D5463" s="11"/>
      <c r="E5463" s="11"/>
      <c r="F5463" s="11"/>
      <c r="G5463" s="11"/>
      <c r="H5463" s="3"/>
    </row>
    <row r="5464" ht="13.65" customHeight="1">
      <c r="A5464" s="12"/>
      <c r="B5464" s="12"/>
      <c r="C5464" s="13"/>
      <c r="D5464" s="14"/>
      <c r="E5464" s="13"/>
      <c r="F5464" s="13"/>
      <c r="G5464" t="s" s="14">
        <v>252</v>
      </c>
      <c r="H5464" s="150"/>
    </row>
    <row r="5465" ht="13.65" customHeight="1">
      <c r="A5465" t="s" s="16">
        <v>93</v>
      </c>
      <c r="B5465" t="s" s="16">
        <v>94</v>
      </c>
      <c r="C5465" t="s" s="16">
        <v>95</v>
      </c>
      <c r="D5465" t="s" s="16">
        <v>96</v>
      </c>
      <c r="E5465" t="s" s="16">
        <v>97</v>
      </c>
      <c r="F5465" t="s" s="16">
        <v>98</v>
      </c>
      <c r="G5465" t="s" s="16">
        <v>99</v>
      </c>
      <c r="H5465" s="15"/>
    </row>
    <row r="5466" ht="13.65" customHeight="1">
      <c r="A5466" s="151"/>
      <c r="B5466" s="151"/>
      <c r="C5466" s="19"/>
      <c r="D5466" s="20"/>
      <c r="E5466" s="19"/>
      <c r="F5466" s="19"/>
      <c r="G5466" t="s" s="20">
        <v>100</v>
      </c>
      <c r="H5466" s="15"/>
    </row>
    <row r="5467" ht="13.65" customHeight="1">
      <c r="A5467" s="21">
        <v>72</v>
      </c>
      <c r="B5467" t="s" s="22">
        <v>101</v>
      </c>
      <c r="C5467" s="23">
        <v>50</v>
      </c>
      <c r="D5467" t="s" s="24">
        <v>274</v>
      </c>
      <c r="E5467" s="25">
        <v>1.93</v>
      </c>
      <c r="F5467" s="23">
        <v>12.5</v>
      </c>
      <c r="G5467" s="152" cm="1">
        <f t="array" ref="G5467">SUM(E5467/F5467)</f>
        <v>0.1544</v>
      </c>
      <c r="H5467" s="15"/>
    </row>
    <row r="5468" ht="13.65" customHeight="1">
      <c r="A5468" s="21">
        <v>123</v>
      </c>
      <c r="B5468" t="s" s="22">
        <v>103</v>
      </c>
      <c r="C5468" s="23">
        <v>40</v>
      </c>
      <c r="D5468" t="s" s="24">
        <v>102</v>
      </c>
      <c r="E5468" s="25">
        <v>3.2</v>
      </c>
      <c r="F5468" s="23">
        <v>20</v>
      </c>
      <c r="G5468" s="152" cm="1">
        <f t="array" ref="G5468">SUM(E5468/F5468)</f>
        <v>0.16</v>
      </c>
      <c r="H5468" s="15"/>
    </row>
    <row r="5469" ht="13.65" customHeight="1">
      <c r="A5469" s="21">
        <v>65</v>
      </c>
      <c r="B5469" t="s" s="22">
        <v>394</v>
      </c>
      <c r="C5469" s="23">
        <v>500</v>
      </c>
      <c r="D5469" t="s" s="24">
        <v>633</v>
      </c>
      <c r="E5469" s="25">
        <v>26</v>
      </c>
      <c r="F5469" s="23">
        <v>16.6</v>
      </c>
      <c r="G5469" s="152" cm="1">
        <f t="array" ref="G5469">SUM(E5469/F5469)</f>
        <v>1.56626506024096</v>
      </c>
      <c r="H5469" s="15"/>
    </row>
    <row r="5470" ht="13.65" customHeight="1">
      <c r="A5470" s="21">
        <v>140</v>
      </c>
      <c r="B5470" t="s" s="22">
        <v>470</v>
      </c>
      <c r="C5470" t="s" s="24">
        <v>108</v>
      </c>
      <c r="D5470" t="s" s="24">
        <v>102</v>
      </c>
      <c r="E5470" s="25">
        <v>1.12</v>
      </c>
      <c r="F5470" t="s" s="24">
        <v>387</v>
      </c>
      <c r="G5470" s="152" cm="1">
        <f t="array" ref="G5470">SUM(E5470*2)</f>
        <v>2.24</v>
      </c>
      <c r="H5470" s="15"/>
    </row>
    <row r="5471" ht="13.65" customHeight="1">
      <c r="A5471" s="21">
        <v>71</v>
      </c>
      <c r="B5471" t="s" s="22">
        <v>109</v>
      </c>
      <c r="C5471" s="23">
        <v>10</v>
      </c>
      <c r="D5471" t="s" s="24">
        <v>102</v>
      </c>
      <c r="E5471" s="25">
        <v>5.92</v>
      </c>
      <c r="F5471" s="23">
        <v>5</v>
      </c>
      <c r="G5471" s="152" cm="1">
        <f t="array" ref="G5471">SUM(E5471/F5471)</f>
        <v>1.184</v>
      </c>
      <c r="H5471" s="15"/>
    </row>
    <row r="5472" ht="13.65" customHeight="1">
      <c r="A5472" s="21">
        <v>87</v>
      </c>
      <c r="B5472" t="s" s="22">
        <v>110</v>
      </c>
      <c r="C5472" s="23">
        <v>50</v>
      </c>
      <c r="D5472" t="s" s="24">
        <v>102</v>
      </c>
      <c r="E5472" s="25">
        <v>9</v>
      </c>
      <c r="F5472" s="23">
        <v>25</v>
      </c>
      <c r="G5472" s="152" cm="1">
        <f t="array" ref="G5472">SUM(E5472/F5472)</f>
        <v>0.36</v>
      </c>
      <c r="H5472" s="15"/>
    </row>
    <row r="5473" ht="13.65" customHeight="1">
      <c r="A5473" s="21">
        <v>55</v>
      </c>
      <c r="B5473" t="s" s="22">
        <v>111</v>
      </c>
      <c r="C5473" t="s" s="24">
        <v>112</v>
      </c>
      <c r="D5473" t="s" s="24">
        <v>461</v>
      </c>
      <c r="E5473" s="25">
        <v>2.71</v>
      </c>
      <c r="F5473" s="23">
        <v>37.5</v>
      </c>
      <c r="G5473" s="152" cm="1">
        <f t="array" ref="G5473">SUM(E5473/F5473)</f>
        <v>0.0722666666666667</v>
      </c>
      <c r="H5473" s="15"/>
    </row>
    <row r="5474" ht="13.65" customHeight="1">
      <c r="A5474" s="21">
        <v>10</v>
      </c>
      <c r="B5474" t="s" s="22">
        <v>395</v>
      </c>
      <c r="C5474" t="s" s="24">
        <v>396</v>
      </c>
      <c r="D5474" t="s" s="24">
        <v>397</v>
      </c>
      <c r="E5474" s="25">
        <v>3.92</v>
      </c>
      <c r="F5474" s="23">
        <v>50</v>
      </c>
      <c r="G5474" s="152" cm="1">
        <f t="array" ref="G5474">SUM(E5474/F5474)</f>
        <v>0.0784</v>
      </c>
      <c r="H5474" s="15"/>
    </row>
    <row r="5475" ht="13.65" customHeight="1">
      <c r="A5475" s="21">
        <v>9</v>
      </c>
      <c r="B5475" t="s" s="22">
        <v>692</v>
      </c>
      <c r="C5475" s="23">
        <v>50</v>
      </c>
      <c r="D5475" t="s" s="24">
        <v>274</v>
      </c>
      <c r="E5475" s="25">
        <v>14</v>
      </c>
      <c r="F5475" s="23">
        <v>12.5</v>
      </c>
      <c r="G5475" s="152" cm="1">
        <f t="array" ref="G5475">SUM(E5475/F5475)</f>
        <v>1.12</v>
      </c>
      <c r="H5475" s="15"/>
    </row>
    <row r="5476" ht="13.65" customHeight="1">
      <c r="A5476" s="21">
        <v>6</v>
      </c>
      <c r="B5476" t="s" s="22">
        <v>399</v>
      </c>
      <c r="C5476" s="23">
        <v>100</v>
      </c>
      <c r="D5476" t="s" s="24">
        <v>104</v>
      </c>
      <c r="E5476" s="25">
        <v>19</v>
      </c>
      <c r="F5476" s="23">
        <v>100</v>
      </c>
      <c r="G5476" s="152" cm="1">
        <f t="array" ref="G5476">SUM(E5476/F5476)</f>
        <v>0.19</v>
      </c>
      <c r="H5476" s="15"/>
    </row>
    <row r="5477" ht="13.65" customHeight="1">
      <c r="A5477" s="21">
        <v>23</v>
      </c>
      <c r="B5477" t="s" s="22">
        <v>488</v>
      </c>
      <c r="C5477" s="23">
        <v>1</v>
      </c>
      <c r="D5477" t="s" s="24">
        <v>104</v>
      </c>
      <c r="E5477" s="25">
        <v>11</v>
      </c>
      <c r="F5477" s="23">
        <v>1</v>
      </c>
      <c r="G5477" s="152" cm="1">
        <f t="array" ref="G5477">SUM(E5477/F5477)</f>
        <v>11</v>
      </c>
      <c r="H5477" s="15"/>
    </row>
    <row r="5478" ht="13.65" customHeight="1">
      <c r="A5478" s="21">
        <v>119</v>
      </c>
      <c r="B5478" t="s" s="22">
        <v>467</v>
      </c>
      <c r="C5478" s="23">
        <v>1</v>
      </c>
      <c r="D5478" t="s" s="24">
        <v>468</v>
      </c>
      <c r="E5478" s="25">
        <v>0.45</v>
      </c>
      <c r="F5478" s="23">
        <v>1</v>
      </c>
      <c r="G5478" s="152" cm="1">
        <f t="array" ref="G5478">SUM(E5478/F5478)</f>
        <v>0.45</v>
      </c>
      <c r="H5478" s="15"/>
    </row>
    <row r="5479" ht="13.65" customHeight="1">
      <c r="A5479" s="21">
        <v>122</v>
      </c>
      <c r="B5479" t="s" s="22">
        <v>489</v>
      </c>
      <c r="C5479" t="s" s="24">
        <v>490</v>
      </c>
      <c r="D5479" t="s" s="24">
        <v>648</v>
      </c>
      <c r="E5479" s="25">
        <v>1.7</v>
      </c>
      <c r="F5479" s="23">
        <v>16</v>
      </c>
      <c r="G5479" s="152" cm="1">
        <f t="array" ref="G5479">SUM(E5479/F5479)</f>
        <v>0.10625</v>
      </c>
      <c r="H5479" s="15"/>
    </row>
    <row r="5480" ht="13.65" customHeight="1">
      <c r="A5480" s="21">
        <v>56</v>
      </c>
      <c r="B5480" t="s" s="22">
        <v>471</v>
      </c>
      <c r="C5480" s="23">
        <v>1</v>
      </c>
      <c r="D5480" t="s" s="24">
        <v>104</v>
      </c>
      <c r="E5480" s="25">
        <v>3.5</v>
      </c>
      <c r="F5480" s="23">
        <v>1</v>
      </c>
      <c r="G5480" s="152" cm="1">
        <f t="array" ref="G5480">SUM(E5480/F5480)</f>
        <v>3.5</v>
      </c>
      <c r="H5480" s="15"/>
    </row>
    <row r="5481" ht="13.65" customHeight="1">
      <c r="A5481" s="21">
        <v>78</v>
      </c>
      <c r="B5481" t="s" s="22">
        <v>492</v>
      </c>
      <c r="C5481" s="23">
        <v>1</v>
      </c>
      <c r="D5481" t="s" s="24">
        <v>104</v>
      </c>
      <c r="E5481" s="25">
        <v>1</v>
      </c>
      <c r="F5481" s="23">
        <v>1</v>
      </c>
      <c r="G5481" s="152" cm="1">
        <f t="array" ref="G5481">SUM(E5481/F5481)</f>
        <v>1</v>
      </c>
      <c r="H5481" s="15"/>
    </row>
    <row r="5482" ht="13.65" customHeight="1">
      <c r="A5482" s="21">
        <v>36</v>
      </c>
      <c r="B5482" t="s" s="22">
        <v>496</v>
      </c>
      <c r="C5482" t="s" s="24">
        <v>497</v>
      </c>
      <c r="D5482" t="s" s="24">
        <v>498</v>
      </c>
      <c r="E5482" s="25">
        <v>13</v>
      </c>
      <c r="F5482" s="23">
        <v>16</v>
      </c>
      <c r="G5482" s="152" cm="1">
        <f t="array" ref="G5482">SUM(E5482/F5482)</f>
        <v>0.8125</v>
      </c>
      <c r="H5482" s="15"/>
    </row>
    <row r="5483" ht="13.65" customHeight="1">
      <c r="A5483" s="21">
        <v>16</v>
      </c>
      <c r="B5483" t="s" s="22">
        <v>693</v>
      </c>
      <c r="C5483" s="23">
        <v>6</v>
      </c>
      <c r="D5483" t="s" s="24">
        <v>694</v>
      </c>
      <c r="E5483" s="25">
        <v>41</v>
      </c>
      <c r="F5483" s="23">
        <v>10</v>
      </c>
      <c r="G5483" s="152" cm="1">
        <f t="array" ref="G5483">SUM(E5483/F5483)</f>
        <v>4.1</v>
      </c>
      <c r="H5483" s="15"/>
    </row>
    <row r="5484" ht="13.65" customHeight="1">
      <c r="A5484" s="28"/>
      <c r="B5484" s="28"/>
      <c r="C5484" s="27"/>
      <c r="D5484" s="24"/>
      <c r="E5484" s="27"/>
      <c r="F5484" t="s" s="29">
        <v>118</v>
      </c>
      <c r="G5484" s="197" cm="1">
        <f t="array" ref="G5484">SUM(G5467:G5483)</f>
        <v>28.0940817269076</v>
      </c>
      <c r="H5484" s="15"/>
    </row>
    <row r="5485" ht="13.65" customHeight="1">
      <c r="A5485" s="129"/>
      <c r="B5485" s="129"/>
      <c r="C5485" s="129"/>
      <c r="D5485" s="129"/>
      <c r="E5485" s="129"/>
      <c r="F5485" s="31"/>
      <c r="G5485" s="31"/>
      <c r="H5485" s="3"/>
    </row>
    <row r="5486" ht="11.7" customHeight="1">
      <c r="A5486" t="s" s="167">
        <v>136</v>
      </c>
      <c r="B5486" t="s" s="167">
        <v>281</v>
      </c>
      <c r="C5486" t="s" s="167">
        <v>282</v>
      </c>
      <c r="D5486" t="s" s="168">
        <v>283</v>
      </c>
      <c r="E5486" s="169"/>
      <c r="F5486" s="170"/>
      <c r="G5486" s="171"/>
      <c r="H5486" s="171"/>
    </row>
    <row r="5487" ht="13.65" customHeight="1">
      <c r="A5487" s="23">
        <v>95</v>
      </c>
      <c r="B5487" s="172" cm="1">
        <f t="array" ref="B5487">SUM(H256)</f>
        <v>2.47496540404041</v>
      </c>
      <c r="C5487" s="172" cm="1">
        <f t="array" ref="C5487">SUM(G5484)</f>
        <v>28.0940817269076</v>
      </c>
      <c r="D5487" s="199" cm="1">
        <f t="array" ref="D5487">SUM(A5487*B5487)+(C5487)</f>
        <v>263.215795110747</v>
      </c>
      <c r="E5487" s="200"/>
      <c r="F5487" s="15"/>
      <c r="G5487" s="3"/>
      <c r="H5487" s="3"/>
    </row>
    <row r="5488" ht="13.65" customHeight="1">
      <c r="A5488" s="31"/>
      <c r="B5488" s="31"/>
      <c r="C5488" s="31"/>
      <c r="D5488" s="31"/>
      <c r="E5488" s="31"/>
      <c r="F5488" s="3"/>
      <c r="G5488" s="3"/>
      <c r="H5488" s="3"/>
    </row>
    <row r="5489" ht="13.65" customHeight="1">
      <c r="A5489" s="3"/>
      <c r="B5489" s="3"/>
      <c r="C5489" s="3"/>
      <c r="D5489" s="3"/>
      <c r="E5489" s="3"/>
      <c r="F5489" s="3"/>
      <c r="G5489" s="3"/>
      <c r="H5489" s="3"/>
    </row>
    <row r="5490" ht="13.65" customHeight="1">
      <c r="A5490" t="s" s="5">
        <v>867</v>
      </c>
      <c r="B5490" s="3"/>
      <c r="C5490" s="3"/>
      <c r="D5490" s="3"/>
      <c r="E5490" s="3"/>
      <c r="F5490" s="3"/>
      <c r="G5490" s="3"/>
      <c r="H5490" s="3"/>
    </row>
    <row r="5491" ht="13.65" customHeight="1">
      <c r="A5491" s="11"/>
      <c r="B5491" s="11"/>
      <c r="C5491" s="11"/>
      <c r="D5491" s="11"/>
      <c r="E5491" s="11"/>
      <c r="F5491" s="11"/>
      <c r="G5491" s="11"/>
      <c r="H5491" s="3"/>
    </row>
    <row r="5492" ht="13.65" customHeight="1">
      <c r="A5492" s="12"/>
      <c r="B5492" s="12"/>
      <c r="C5492" s="13"/>
      <c r="D5492" s="14"/>
      <c r="E5492" s="13"/>
      <c r="F5492" s="13"/>
      <c r="G5492" t="s" s="14">
        <v>252</v>
      </c>
      <c r="H5492" s="150"/>
    </row>
    <row r="5493" ht="13.65" customHeight="1">
      <c r="A5493" t="s" s="16">
        <v>93</v>
      </c>
      <c r="B5493" t="s" s="16">
        <v>94</v>
      </c>
      <c r="C5493" t="s" s="16">
        <v>95</v>
      </c>
      <c r="D5493" t="s" s="16">
        <v>96</v>
      </c>
      <c r="E5493" t="s" s="16">
        <v>97</v>
      </c>
      <c r="F5493" t="s" s="16">
        <v>98</v>
      </c>
      <c r="G5493" t="s" s="16">
        <v>99</v>
      </c>
      <c r="H5493" s="15"/>
    </row>
    <row r="5494" ht="13.65" customHeight="1">
      <c r="A5494" s="151"/>
      <c r="B5494" s="151"/>
      <c r="C5494" s="19"/>
      <c r="D5494" s="20"/>
      <c r="E5494" s="19"/>
      <c r="F5494" s="19"/>
      <c r="G5494" t="s" s="20">
        <v>100</v>
      </c>
      <c r="H5494" s="15"/>
    </row>
    <row r="5495" ht="13.65" customHeight="1">
      <c r="A5495" s="21">
        <v>72</v>
      </c>
      <c r="B5495" t="s" s="22">
        <v>101</v>
      </c>
      <c r="C5495" s="23">
        <v>50</v>
      </c>
      <c r="D5495" t="s" s="24">
        <v>274</v>
      </c>
      <c r="E5495" s="25">
        <v>1.93</v>
      </c>
      <c r="F5495" s="23">
        <v>12.5</v>
      </c>
      <c r="G5495" s="152" cm="1">
        <f t="array" ref="G5495">SUM(E5495/F5495)</f>
        <v>0.1544</v>
      </c>
      <c r="H5495" s="15"/>
    </row>
    <row r="5496" ht="13.65" customHeight="1">
      <c r="A5496" s="21">
        <v>123</v>
      </c>
      <c r="B5496" t="s" s="22">
        <v>103</v>
      </c>
      <c r="C5496" s="23">
        <v>40</v>
      </c>
      <c r="D5496" t="s" s="24">
        <v>102</v>
      </c>
      <c r="E5496" s="25">
        <v>3.2</v>
      </c>
      <c r="F5496" s="23">
        <v>20</v>
      </c>
      <c r="G5496" s="152" cm="1">
        <f t="array" ref="G5496">SUM(E5496/F5496)</f>
        <v>0.16</v>
      </c>
      <c r="H5496" s="15"/>
    </row>
    <row r="5497" ht="13.65" customHeight="1">
      <c r="A5497" s="21">
        <v>65</v>
      </c>
      <c r="B5497" t="s" s="22">
        <v>394</v>
      </c>
      <c r="C5497" s="23">
        <v>500</v>
      </c>
      <c r="D5497" t="s" s="24">
        <v>633</v>
      </c>
      <c r="E5497" s="25">
        <v>26</v>
      </c>
      <c r="F5497" s="23">
        <v>16.6</v>
      </c>
      <c r="G5497" s="152" cm="1">
        <f t="array" ref="G5497">SUM(E5497/F5497)</f>
        <v>1.56626506024096</v>
      </c>
      <c r="H5497" s="15"/>
    </row>
    <row r="5498" ht="13.65" customHeight="1">
      <c r="A5498" s="21">
        <v>140</v>
      </c>
      <c r="B5498" t="s" s="22">
        <v>470</v>
      </c>
      <c r="C5498" t="s" s="24">
        <v>108</v>
      </c>
      <c r="D5498" t="s" s="24">
        <v>102</v>
      </c>
      <c r="E5498" s="25">
        <v>1.12</v>
      </c>
      <c r="F5498" t="s" s="24">
        <v>387</v>
      </c>
      <c r="G5498" s="152" cm="1">
        <f t="array" ref="G5498">SUM(E5498*2)</f>
        <v>2.24</v>
      </c>
      <c r="H5498" s="15"/>
    </row>
    <row r="5499" ht="13.65" customHeight="1">
      <c r="A5499" s="21">
        <v>71</v>
      </c>
      <c r="B5499" t="s" s="22">
        <v>109</v>
      </c>
      <c r="C5499" s="23">
        <v>10</v>
      </c>
      <c r="D5499" t="s" s="24">
        <v>102</v>
      </c>
      <c r="E5499" s="25">
        <v>5.92</v>
      </c>
      <c r="F5499" s="23">
        <v>5</v>
      </c>
      <c r="G5499" s="152" cm="1">
        <f t="array" ref="G5499">SUM(E5499/F5499)</f>
        <v>1.184</v>
      </c>
      <c r="H5499" s="15"/>
    </row>
    <row r="5500" ht="13.65" customHeight="1">
      <c r="A5500" s="21">
        <v>87</v>
      </c>
      <c r="B5500" t="s" s="22">
        <v>110</v>
      </c>
      <c r="C5500" s="23">
        <v>50</v>
      </c>
      <c r="D5500" t="s" s="24">
        <v>102</v>
      </c>
      <c r="E5500" s="25">
        <v>9</v>
      </c>
      <c r="F5500" s="23">
        <v>25</v>
      </c>
      <c r="G5500" s="152" cm="1">
        <f t="array" ref="G5500">SUM(E5500/F5500)</f>
        <v>0.36</v>
      </c>
      <c r="H5500" s="15"/>
    </row>
    <row r="5501" ht="13.65" customHeight="1">
      <c r="A5501" s="21">
        <v>55</v>
      </c>
      <c r="B5501" t="s" s="22">
        <v>111</v>
      </c>
      <c r="C5501" t="s" s="24">
        <v>112</v>
      </c>
      <c r="D5501" t="s" s="24">
        <v>461</v>
      </c>
      <c r="E5501" s="25">
        <v>2.71</v>
      </c>
      <c r="F5501" s="23">
        <v>37.5</v>
      </c>
      <c r="G5501" s="152" cm="1">
        <f t="array" ref="G5501">SUM(E5501/F5501)</f>
        <v>0.0722666666666667</v>
      </c>
      <c r="H5501" s="15"/>
    </row>
    <row r="5502" ht="13.65" customHeight="1">
      <c r="A5502" s="21">
        <v>10</v>
      </c>
      <c r="B5502" t="s" s="22">
        <v>395</v>
      </c>
      <c r="C5502" t="s" s="24">
        <v>396</v>
      </c>
      <c r="D5502" t="s" s="24">
        <v>397</v>
      </c>
      <c r="E5502" s="25">
        <v>3.92</v>
      </c>
      <c r="F5502" s="23">
        <v>50</v>
      </c>
      <c r="G5502" s="152" cm="1">
        <f t="array" ref="G5502">SUM(E5502/F5502)</f>
        <v>0.0784</v>
      </c>
      <c r="H5502" s="15"/>
    </row>
    <row r="5503" ht="13.65" customHeight="1">
      <c r="A5503" s="21">
        <v>9</v>
      </c>
      <c r="B5503" t="s" s="22">
        <v>692</v>
      </c>
      <c r="C5503" s="23">
        <v>50</v>
      </c>
      <c r="D5503" t="s" s="24">
        <v>274</v>
      </c>
      <c r="E5503" s="25">
        <v>14</v>
      </c>
      <c r="F5503" s="23">
        <v>12.5</v>
      </c>
      <c r="G5503" s="152" cm="1">
        <f t="array" ref="G5503">SUM(E5503/F5503)</f>
        <v>1.12</v>
      </c>
      <c r="H5503" s="15"/>
    </row>
    <row r="5504" ht="13.65" customHeight="1">
      <c r="A5504" s="21">
        <v>6</v>
      </c>
      <c r="B5504" t="s" s="22">
        <v>399</v>
      </c>
      <c r="C5504" s="23">
        <v>100</v>
      </c>
      <c r="D5504" t="s" s="24">
        <v>104</v>
      </c>
      <c r="E5504" s="25">
        <v>19</v>
      </c>
      <c r="F5504" s="23">
        <v>100</v>
      </c>
      <c r="G5504" s="152" cm="1">
        <f t="array" ref="G5504">SUM(E5504/F5504)</f>
        <v>0.19</v>
      </c>
      <c r="H5504" s="15"/>
    </row>
    <row r="5505" ht="13.65" customHeight="1">
      <c r="A5505" s="21">
        <v>23</v>
      </c>
      <c r="B5505" t="s" s="22">
        <v>488</v>
      </c>
      <c r="C5505" s="23">
        <v>1</v>
      </c>
      <c r="D5505" t="s" s="24">
        <v>104</v>
      </c>
      <c r="E5505" s="25">
        <v>11</v>
      </c>
      <c r="F5505" s="23">
        <v>1</v>
      </c>
      <c r="G5505" s="152" cm="1">
        <f t="array" ref="G5505">SUM(E5505/F5505)</f>
        <v>11</v>
      </c>
      <c r="H5505" s="15"/>
    </row>
    <row r="5506" ht="13.65" customHeight="1">
      <c r="A5506" s="21">
        <v>119</v>
      </c>
      <c r="B5506" t="s" s="22">
        <v>467</v>
      </c>
      <c r="C5506" s="23">
        <v>1</v>
      </c>
      <c r="D5506" t="s" s="24">
        <v>468</v>
      </c>
      <c r="E5506" s="25">
        <v>0.45</v>
      </c>
      <c r="F5506" s="23">
        <v>1</v>
      </c>
      <c r="G5506" s="152" cm="1">
        <f t="array" ref="G5506">SUM(E5506/F5506)</f>
        <v>0.45</v>
      </c>
      <c r="H5506" s="15"/>
    </row>
    <row r="5507" ht="13.65" customHeight="1">
      <c r="A5507" s="21">
        <v>122</v>
      </c>
      <c r="B5507" t="s" s="22">
        <v>489</v>
      </c>
      <c r="C5507" t="s" s="24">
        <v>490</v>
      </c>
      <c r="D5507" t="s" s="24">
        <v>648</v>
      </c>
      <c r="E5507" s="25">
        <v>1.7</v>
      </c>
      <c r="F5507" s="23">
        <v>16</v>
      </c>
      <c r="G5507" s="152" cm="1">
        <f t="array" ref="G5507">SUM(E5507/F5507)</f>
        <v>0.10625</v>
      </c>
      <c r="H5507" s="15"/>
    </row>
    <row r="5508" ht="13.65" customHeight="1">
      <c r="A5508" s="21">
        <v>56</v>
      </c>
      <c r="B5508" t="s" s="22">
        <v>471</v>
      </c>
      <c r="C5508" s="23">
        <v>1</v>
      </c>
      <c r="D5508" t="s" s="24">
        <v>104</v>
      </c>
      <c r="E5508" s="25">
        <v>3.5</v>
      </c>
      <c r="F5508" s="23">
        <v>1</v>
      </c>
      <c r="G5508" s="152" cm="1">
        <f t="array" ref="G5508">SUM(E5508/F5508)</f>
        <v>3.5</v>
      </c>
      <c r="H5508" s="15"/>
    </row>
    <row r="5509" ht="13.65" customHeight="1">
      <c r="A5509" s="21">
        <v>78</v>
      </c>
      <c r="B5509" t="s" s="22">
        <v>492</v>
      </c>
      <c r="C5509" s="23">
        <v>1</v>
      </c>
      <c r="D5509" t="s" s="24">
        <v>104</v>
      </c>
      <c r="E5509" s="25">
        <v>1</v>
      </c>
      <c r="F5509" s="23">
        <v>1</v>
      </c>
      <c r="G5509" s="152" cm="1">
        <f t="array" ref="G5509">SUM(E5509/F5509)</f>
        <v>1</v>
      </c>
      <c r="H5509" s="15"/>
    </row>
    <row r="5510" ht="13.65" customHeight="1">
      <c r="A5510" s="21">
        <v>36</v>
      </c>
      <c r="B5510" t="s" s="22">
        <v>496</v>
      </c>
      <c r="C5510" t="s" s="24">
        <v>497</v>
      </c>
      <c r="D5510" t="s" s="24">
        <v>498</v>
      </c>
      <c r="E5510" s="25">
        <v>13</v>
      </c>
      <c r="F5510" s="23">
        <v>16</v>
      </c>
      <c r="G5510" s="152" cm="1">
        <f t="array" ref="G5510">SUM(E5510/F5510)</f>
        <v>0.8125</v>
      </c>
      <c r="H5510" s="15"/>
    </row>
    <row r="5511" ht="13.65" customHeight="1">
      <c r="A5511" s="21">
        <v>16</v>
      </c>
      <c r="B5511" t="s" s="22">
        <v>693</v>
      </c>
      <c r="C5511" s="23">
        <v>6</v>
      </c>
      <c r="D5511" t="s" s="24">
        <v>694</v>
      </c>
      <c r="E5511" s="25">
        <v>41</v>
      </c>
      <c r="F5511" s="23">
        <v>10</v>
      </c>
      <c r="G5511" s="152" cm="1">
        <f t="array" ref="G5511">SUM(E5511/F5511)</f>
        <v>4.1</v>
      </c>
      <c r="H5511" s="15"/>
    </row>
    <row r="5512" ht="13.65" customHeight="1">
      <c r="A5512" s="28"/>
      <c r="B5512" s="28"/>
      <c r="C5512" s="27"/>
      <c r="D5512" s="24"/>
      <c r="E5512" s="27"/>
      <c r="F5512" t="s" s="29">
        <v>118</v>
      </c>
      <c r="G5512" s="197" cm="1">
        <f t="array" ref="G5512">SUM(G5495:G5511)</f>
        <v>28.0940817269076</v>
      </c>
      <c r="H5512" s="15"/>
    </row>
    <row r="5513" ht="13.65" customHeight="1">
      <c r="A5513" s="129"/>
      <c r="B5513" s="129"/>
      <c r="C5513" s="129"/>
      <c r="D5513" s="129"/>
      <c r="E5513" s="129"/>
      <c r="F5513" s="31"/>
      <c r="G5513" s="31"/>
      <c r="H5513" s="3"/>
    </row>
    <row r="5514" ht="11.7" customHeight="1">
      <c r="A5514" t="s" s="167">
        <v>136</v>
      </c>
      <c r="B5514" t="s" s="167">
        <v>281</v>
      </c>
      <c r="C5514" t="s" s="167">
        <v>282</v>
      </c>
      <c r="D5514" t="s" s="168">
        <v>283</v>
      </c>
      <c r="E5514" s="169"/>
      <c r="F5514" s="170"/>
      <c r="G5514" s="171"/>
      <c r="H5514" s="171"/>
    </row>
    <row r="5515" ht="13.65" customHeight="1">
      <c r="A5515" s="23">
        <v>70</v>
      </c>
      <c r="B5515" s="172" cm="1">
        <f t="array" ref="B5515">SUM(H256)</f>
        <v>2.47496540404041</v>
      </c>
      <c r="C5515" s="172" cm="1">
        <f t="array" ref="C5515">SUM(G5512)</f>
        <v>28.0940817269076</v>
      </c>
      <c r="D5515" s="199" cm="1">
        <f t="array" ref="D5515">SUM(A5515*B5515)+(C5515)</f>
        <v>201.341660009736</v>
      </c>
      <c r="E5515" s="200"/>
      <c r="F5515" s="15"/>
      <c r="G5515" s="3"/>
      <c r="H5515" s="3"/>
    </row>
    <row r="5516" ht="13.65" customHeight="1">
      <c r="A5516" s="31"/>
      <c r="B5516" s="31"/>
      <c r="C5516" s="31"/>
      <c r="D5516" s="31"/>
      <c r="E5516" s="31"/>
      <c r="F5516" s="3"/>
      <c r="G5516" s="3"/>
      <c r="H5516" s="3"/>
    </row>
    <row r="5517" ht="13.65" customHeight="1">
      <c r="A5517" s="203"/>
      <c r="B5517" s="203"/>
      <c r="C5517" s="203"/>
      <c r="D5517" s="203"/>
      <c r="E5517" s="203"/>
      <c r="F5517" s="203"/>
      <c r="G5517" s="203"/>
      <c r="H5517" s="203"/>
    </row>
    <row r="5518" ht="13.65" customHeight="1">
      <c r="A5518" t="s" s="274">
        <v>185</v>
      </c>
      <c r="B5518" s="275"/>
      <c r="C5518" s="275"/>
      <c r="D5518" s="275"/>
      <c r="E5518" s="280"/>
      <c r="F5518" s="275"/>
      <c r="G5518" s="275"/>
      <c r="H5518" s="277"/>
    </row>
    <row r="5519" ht="13.65" customHeight="1">
      <c r="A5519" s="278"/>
      <c r="B5519" s="278"/>
      <c r="C5519" s="278"/>
      <c r="D5519" s="278"/>
      <c r="E5519" s="278"/>
      <c r="F5519" s="278"/>
      <c r="G5519" s="278"/>
      <c r="H5519" s="278"/>
    </row>
    <row r="5520" ht="13.65" customHeight="1">
      <c r="A5520" s="3"/>
      <c r="B5520" s="3"/>
      <c r="C5520" s="3"/>
      <c r="D5520" s="3"/>
      <c r="E5520" s="3"/>
      <c r="F5520" s="3"/>
      <c r="G5520" s="3"/>
      <c r="H5520" s="3"/>
    </row>
    <row r="5521" ht="13.65" customHeight="1">
      <c r="A5521" t="s" s="5">
        <v>868</v>
      </c>
      <c r="B5521" s="3"/>
      <c r="C5521" s="3"/>
      <c r="D5521" s="3"/>
      <c r="E5521" s="3"/>
      <c r="F5521" s="3"/>
      <c r="G5521" s="3"/>
      <c r="H5521" s="3"/>
    </row>
    <row r="5522" ht="13.65" customHeight="1">
      <c r="A5522" s="11"/>
      <c r="B5522" s="11"/>
      <c r="C5522" s="11"/>
      <c r="D5522" s="11"/>
      <c r="E5522" s="11"/>
      <c r="F5522" s="11"/>
      <c r="G5522" s="11"/>
      <c r="H5522" s="3"/>
    </row>
    <row r="5523" ht="13.65" customHeight="1">
      <c r="A5523" s="12"/>
      <c r="B5523" s="12"/>
      <c r="C5523" s="13"/>
      <c r="D5523" s="14"/>
      <c r="E5523" s="13"/>
      <c r="F5523" s="13"/>
      <c r="G5523" t="s" s="14">
        <v>252</v>
      </c>
      <c r="H5523" s="150"/>
    </row>
    <row r="5524" ht="13.65" customHeight="1">
      <c r="A5524" t="s" s="16">
        <v>93</v>
      </c>
      <c r="B5524" t="s" s="16">
        <v>94</v>
      </c>
      <c r="C5524" t="s" s="16">
        <v>95</v>
      </c>
      <c r="D5524" t="s" s="16">
        <v>96</v>
      </c>
      <c r="E5524" t="s" s="16">
        <v>97</v>
      </c>
      <c r="F5524" t="s" s="16">
        <v>98</v>
      </c>
      <c r="G5524" t="s" s="16">
        <v>99</v>
      </c>
      <c r="H5524" s="15"/>
    </row>
    <row r="5525" ht="13.65" customHeight="1">
      <c r="A5525" s="151"/>
      <c r="B5525" s="151"/>
      <c r="C5525" s="19"/>
      <c r="D5525" s="20"/>
      <c r="E5525" s="19"/>
      <c r="F5525" s="19"/>
      <c r="G5525" t="s" s="20">
        <v>100</v>
      </c>
      <c r="H5525" s="15"/>
    </row>
    <row r="5526" ht="13.65" customHeight="1">
      <c r="A5526" s="21">
        <v>72</v>
      </c>
      <c r="B5526" t="s" s="22">
        <v>101</v>
      </c>
      <c r="C5526" s="23">
        <v>50</v>
      </c>
      <c r="D5526" t="s" s="24">
        <v>274</v>
      </c>
      <c r="E5526" s="25">
        <v>1.93</v>
      </c>
      <c r="F5526" s="23">
        <v>12.5</v>
      </c>
      <c r="G5526" s="152" cm="1">
        <f t="array" ref="G5526">SUM(E5526/F5526)</f>
        <v>0.1544</v>
      </c>
      <c r="H5526" s="15"/>
    </row>
    <row r="5527" ht="13.65" customHeight="1">
      <c r="A5527" s="21">
        <v>123</v>
      </c>
      <c r="B5527" t="s" s="22">
        <v>103</v>
      </c>
      <c r="C5527" s="23">
        <v>40</v>
      </c>
      <c r="D5527" t="s" s="24">
        <v>102</v>
      </c>
      <c r="E5527" s="25">
        <v>3.2</v>
      </c>
      <c r="F5527" s="23">
        <v>20</v>
      </c>
      <c r="G5527" s="152" cm="1">
        <f t="array" ref="G5527">SUM(E5527/F5527)</f>
        <v>0.16</v>
      </c>
      <c r="H5527" s="15"/>
    </row>
    <row r="5528" ht="13.65" customHeight="1">
      <c r="A5528" s="21">
        <v>65</v>
      </c>
      <c r="B5528" t="s" s="22">
        <v>394</v>
      </c>
      <c r="C5528" s="23">
        <v>500</v>
      </c>
      <c r="D5528" t="s" s="24">
        <v>663</v>
      </c>
      <c r="E5528" s="25">
        <v>26</v>
      </c>
      <c r="F5528" s="23">
        <v>12.5</v>
      </c>
      <c r="G5528" s="152" cm="1">
        <f t="array" ref="G5528">SUM(E5528/F5528)</f>
        <v>2.08</v>
      </c>
      <c r="H5528" s="15"/>
    </row>
    <row r="5529" ht="13.65" customHeight="1">
      <c r="A5529" s="21">
        <v>140</v>
      </c>
      <c r="B5529" t="s" s="22">
        <v>470</v>
      </c>
      <c r="C5529" t="s" s="24">
        <v>108</v>
      </c>
      <c r="D5529" t="s" s="24">
        <v>102</v>
      </c>
      <c r="E5529" s="25">
        <v>1.12</v>
      </c>
      <c r="F5529" t="s" s="24">
        <v>387</v>
      </c>
      <c r="G5529" s="152" cm="1">
        <f t="array" ref="G5529">SUM(E5529*2)</f>
        <v>2.24</v>
      </c>
      <c r="H5529" s="15"/>
    </row>
    <row r="5530" ht="13.65" customHeight="1">
      <c r="A5530" s="21">
        <v>71</v>
      </c>
      <c r="B5530" t="s" s="22">
        <v>109</v>
      </c>
      <c r="C5530" s="23">
        <v>10</v>
      </c>
      <c r="D5530" t="s" s="24">
        <v>102</v>
      </c>
      <c r="E5530" s="25">
        <v>5.92</v>
      </c>
      <c r="F5530" s="23">
        <v>5</v>
      </c>
      <c r="G5530" s="152" cm="1">
        <f t="array" ref="G5530">SUM(E5530/F5530)</f>
        <v>1.184</v>
      </c>
      <c r="H5530" s="15"/>
    </row>
    <row r="5531" ht="13.65" customHeight="1">
      <c r="A5531" s="21">
        <v>87</v>
      </c>
      <c r="B5531" t="s" s="22">
        <v>110</v>
      </c>
      <c r="C5531" s="23">
        <v>50</v>
      </c>
      <c r="D5531" t="s" s="24">
        <v>102</v>
      </c>
      <c r="E5531" s="25">
        <v>9</v>
      </c>
      <c r="F5531" s="23">
        <v>25</v>
      </c>
      <c r="G5531" s="152" cm="1">
        <f t="array" ref="G5531">SUM(E5531/F5531)</f>
        <v>0.36</v>
      </c>
      <c r="H5531" s="15"/>
    </row>
    <row r="5532" ht="13.65" customHeight="1">
      <c r="A5532" s="21">
        <v>55</v>
      </c>
      <c r="B5532" t="s" s="22">
        <v>111</v>
      </c>
      <c r="C5532" t="s" s="24">
        <v>112</v>
      </c>
      <c r="D5532" t="s" s="24">
        <v>461</v>
      </c>
      <c r="E5532" s="25">
        <v>2.71</v>
      </c>
      <c r="F5532" s="23">
        <v>37.5</v>
      </c>
      <c r="G5532" s="152" cm="1">
        <f t="array" ref="G5532">SUM(E5532/F5532)</f>
        <v>0.0722666666666667</v>
      </c>
      <c r="H5532" s="15"/>
    </row>
    <row r="5533" ht="13.65" customHeight="1">
      <c r="A5533" s="21">
        <v>10</v>
      </c>
      <c r="B5533" t="s" s="22">
        <v>395</v>
      </c>
      <c r="C5533" t="s" s="24">
        <v>396</v>
      </c>
      <c r="D5533" t="s" s="24">
        <v>401</v>
      </c>
      <c r="E5533" s="25">
        <v>3.92</v>
      </c>
      <c r="F5533" s="23">
        <v>30</v>
      </c>
      <c r="G5533" s="152" cm="1">
        <f t="array" ref="G5533">SUM(E5533/F5533)</f>
        <v>0.130666666666667</v>
      </c>
      <c r="H5533" s="15"/>
    </row>
    <row r="5534" ht="13.65" customHeight="1">
      <c r="A5534" s="21">
        <v>9</v>
      </c>
      <c r="B5534" t="s" s="22">
        <v>692</v>
      </c>
      <c r="C5534" s="23">
        <v>50</v>
      </c>
      <c r="D5534" t="s" s="24">
        <v>405</v>
      </c>
      <c r="E5534" s="25">
        <v>14</v>
      </c>
      <c r="F5534" s="23">
        <v>8</v>
      </c>
      <c r="G5534" s="152" cm="1">
        <f t="array" ref="G5534">SUM(E5534/F5534)</f>
        <v>1.75</v>
      </c>
      <c r="H5534" s="15"/>
    </row>
    <row r="5535" ht="13.65" customHeight="1">
      <c r="A5535" s="21">
        <v>6</v>
      </c>
      <c r="B5535" t="s" s="22">
        <v>399</v>
      </c>
      <c r="C5535" s="23">
        <v>100</v>
      </c>
      <c r="D5535" t="s" s="24">
        <v>274</v>
      </c>
      <c r="E5535" s="25">
        <v>19</v>
      </c>
      <c r="F5535" s="23">
        <v>25</v>
      </c>
      <c r="G5535" s="152" cm="1">
        <f t="array" ref="G5535">SUM(E5535/F5535)</f>
        <v>0.76</v>
      </c>
      <c r="H5535" s="15"/>
    </row>
    <row r="5536" ht="13.65" customHeight="1">
      <c r="A5536" s="21">
        <v>23</v>
      </c>
      <c r="B5536" t="s" s="22">
        <v>488</v>
      </c>
      <c r="C5536" s="23">
        <v>1</v>
      </c>
      <c r="D5536" t="s" s="24">
        <v>104</v>
      </c>
      <c r="E5536" s="25">
        <v>11</v>
      </c>
      <c r="F5536" s="23">
        <v>1</v>
      </c>
      <c r="G5536" s="152" cm="1">
        <f t="array" ref="G5536">SUM(E5536/F5536)</f>
        <v>11</v>
      </c>
      <c r="H5536" s="15"/>
    </row>
    <row r="5537" ht="13.65" customHeight="1">
      <c r="A5537" s="21">
        <v>119</v>
      </c>
      <c r="B5537" t="s" s="22">
        <v>467</v>
      </c>
      <c r="C5537" s="23">
        <v>1</v>
      </c>
      <c r="D5537" t="s" s="24">
        <v>468</v>
      </c>
      <c r="E5537" s="25">
        <v>0.45</v>
      </c>
      <c r="F5537" s="23">
        <v>1</v>
      </c>
      <c r="G5537" s="152" cm="1">
        <f t="array" ref="G5537">SUM(E5537/F5537)</f>
        <v>0.45</v>
      </c>
      <c r="H5537" s="15"/>
    </row>
    <row r="5538" ht="13.65" customHeight="1">
      <c r="A5538" s="21">
        <v>122</v>
      </c>
      <c r="B5538" t="s" s="22">
        <v>489</v>
      </c>
      <c r="C5538" t="s" s="24">
        <v>490</v>
      </c>
      <c r="D5538" t="s" s="24">
        <v>648</v>
      </c>
      <c r="E5538" s="25">
        <v>1.7</v>
      </c>
      <c r="F5538" s="23">
        <v>16</v>
      </c>
      <c r="G5538" s="152" cm="1">
        <f t="array" ref="G5538">SUM(E5538/F5538)</f>
        <v>0.10625</v>
      </c>
      <c r="H5538" s="15"/>
    </row>
    <row r="5539" ht="13.65" customHeight="1">
      <c r="A5539" s="21">
        <v>56</v>
      </c>
      <c r="B5539" t="s" s="22">
        <v>471</v>
      </c>
      <c r="C5539" s="23">
        <v>1</v>
      </c>
      <c r="D5539" t="s" s="24">
        <v>104</v>
      </c>
      <c r="E5539" s="25">
        <v>3.5</v>
      </c>
      <c r="F5539" s="23">
        <v>1</v>
      </c>
      <c r="G5539" s="152" cm="1">
        <f t="array" ref="G5539">SUM(E5539/F5539)</f>
        <v>3.5</v>
      </c>
      <c r="H5539" s="15"/>
    </row>
    <row r="5540" ht="13.65" customHeight="1">
      <c r="A5540" s="21">
        <v>78</v>
      </c>
      <c r="B5540" t="s" s="22">
        <v>492</v>
      </c>
      <c r="C5540" s="23">
        <v>1</v>
      </c>
      <c r="D5540" t="s" s="24">
        <v>104</v>
      </c>
      <c r="E5540" s="25">
        <v>1</v>
      </c>
      <c r="F5540" s="23">
        <v>1</v>
      </c>
      <c r="G5540" s="152" cm="1">
        <f t="array" ref="G5540">SUM(E5540/F5540)</f>
        <v>1</v>
      </c>
      <c r="H5540" s="15"/>
    </row>
    <row r="5541" ht="13.65" customHeight="1">
      <c r="A5541" s="21">
        <v>36</v>
      </c>
      <c r="B5541" t="s" s="22">
        <v>496</v>
      </c>
      <c r="C5541" t="s" s="24">
        <v>497</v>
      </c>
      <c r="D5541" t="s" s="24">
        <v>498</v>
      </c>
      <c r="E5541" s="25">
        <v>13</v>
      </c>
      <c r="F5541" s="23">
        <v>16</v>
      </c>
      <c r="G5541" s="152" cm="1">
        <f t="array" ref="G5541">SUM(E5541/F5541)</f>
        <v>0.8125</v>
      </c>
      <c r="H5541" s="15"/>
    </row>
    <row r="5542" ht="13.65" customHeight="1">
      <c r="A5542" s="21">
        <v>16</v>
      </c>
      <c r="B5542" t="s" s="22">
        <v>693</v>
      </c>
      <c r="C5542" s="23">
        <v>6</v>
      </c>
      <c r="D5542" t="s" s="24">
        <v>694</v>
      </c>
      <c r="E5542" s="25">
        <v>41</v>
      </c>
      <c r="F5542" s="23">
        <v>10</v>
      </c>
      <c r="G5542" s="152" cm="1">
        <f t="array" ref="G5542">SUM(E5542/F5542)</f>
        <v>4.1</v>
      </c>
      <c r="H5542" s="15"/>
    </row>
    <row r="5543" ht="13.65" customHeight="1">
      <c r="A5543" s="28"/>
      <c r="B5543" s="28"/>
      <c r="C5543" s="27"/>
      <c r="D5543" s="24"/>
      <c r="E5543" s="27"/>
      <c r="F5543" t="s" s="29">
        <v>118</v>
      </c>
      <c r="G5543" s="197" cm="1">
        <f t="array" ref="G5543">SUM(G5526:G5542)</f>
        <v>29.8600833333333</v>
      </c>
      <c r="H5543" s="15"/>
    </row>
    <row r="5544" ht="13.65" customHeight="1">
      <c r="A5544" s="129"/>
      <c r="B5544" s="129"/>
      <c r="C5544" s="129"/>
      <c r="D5544" s="129"/>
      <c r="E5544" s="129"/>
      <c r="F5544" s="31"/>
      <c r="G5544" s="31"/>
      <c r="H5544" s="3"/>
    </row>
    <row r="5545" ht="11.7" customHeight="1">
      <c r="A5545" t="s" s="167">
        <v>136</v>
      </c>
      <c r="B5545" t="s" s="167">
        <v>281</v>
      </c>
      <c r="C5545" t="s" s="167">
        <v>282</v>
      </c>
      <c r="D5545" t="s" s="168">
        <v>283</v>
      </c>
      <c r="E5545" s="169"/>
      <c r="F5545" s="170"/>
      <c r="G5545" s="171"/>
      <c r="H5545" s="171"/>
    </row>
    <row r="5546" ht="13.65" customHeight="1">
      <c r="A5546" s="23">
        <v>120</v>
      </c>
      <c r="B5546" s="172" cm="1">
        <f t="array" ref="B5546">SUM(H256)</f>
        <v>2.47496540404041</v>
      </c>
      <c r="C5546" s="172" cm="1">
        <f t="array" ref="C5546">SUM(G5543)</f>
        <v>29.8600833333333</v>
      </c>
      <c r="D5546" s="199" cm="1">
        <f t="array" ref="D5546">SUM(A5546*B5546)+(C5546)</f>
        <v>326.855931818183</v>
      </c>
      <c r="E5546" s="200"/>
      <c r="F5546" s="15"/>
      <c r="G5546" s="3"/>
      <c r="H5546" s="3"/>
    </row>
    <row r="5547" ht="13.65" customHeight="1">
      <c r="A5547" s="31"/>
      <c r="B5547" s="31"/>
      <c r="C5547" s="31"/>
      <c r="D5547" s="31"/>
      <c r="E5547" s="31"/>
      <c r="F5547" s="3"/>
      <c r="G5547" s="3"/>
      <c r="H5547" s="3"/>
    </row>
    <row r="5548" ht="13.65" customHeight="1">
      <c r="A5548" s="3"/>
      <c r="B5548" s="3"/>
      <c r="C5548" s="3"/>
      <c r="D5548" s="3"/>
      <c r="E5548" s="3"/>
      <c r="F5548" s="3"/>
      <c r="G5548" s="3"/>
      <c r="H5548" s="3"/>
    </row>
    <row r="5549" ht="13.65" customHeight="1">
      <c r="A5549" t="s" s="5">
        <v>869</v>
      </c>
      <c r="B5549" s="3"/>
      <c r="C5549" s="3"/>
      <c r="D5549" s="3"/>
      <c r="E5549" s="3"/>
      <c r="F5549" s="3"/>
      <c r="G5549" s="3"/>
      <c r="H5549" s="3"/>
    </row>
    <row r="5550" ht="13.65" customHeight="1">
      <c r="A5550" s="11"/>
      <c r="B5550" s="11"/>
      <c r="C5550" s="11"/>
      <c r="D5550" s="11"/>
      <c r="E5550" s="11"/>
      <c r="F5550" s="11"/>
      <c r="G5550" s="11"/>
      <c r="H5550" s="3"/>
    </row>
    <row r="5551" ht="13.65" customHeight="1">
      <c r="A5551" s="12"/>
      <c r="B5551" s="12"/>
      <c r="C5551" s="13"/>
      <c r="D5551" s="14"/>
      <c r="E5551" s="13"/>
      <c r="F5551" s="13"/>
      <c r="G5551" t="s" s="14">
        <v>252</v>
      </c>
      <c r="H5551" s="150"/>
    </row>
    <row r="5552" ht="13.65" customHeight="1">
      <c r="A5552" t="s" s="16">
        <v>93</v>
      </c>
      <c r="B5552" t="s" s="16">
        <v>94</v>
      </c>
      <c r="C5552" t="s" s="16">
        <v>95</v>
      </c>
      <c r="D5552" t="s" s="16">
        <v>96</v>
      </c>
      <c r="E5552" t="s" s="16">
        <v>97</v>
      </c>
      <c r="F5552" t="s" s="16">
        <v>98</v>
      </c>
      <c r="G5552" t="s" s="16">
        <v>99</v>
      </c>
      <c r="H5552" s="15"/>
    </row>
    <row r="5553" ht="13.65" customHeight="1">
      <c r="A5553" s="151"/>
      <c r="B5553" s="151"/>
      <c r="C5553" s="19"/>
      <c r="D5553" s="20"/>
      <c r="E5553" s="19"/>
      <c r="F5553" s="19"/>
      <c r="G5553" t="s" s="20">
        <v>100</v>
      </c>
      <c r="H5553" s="15"/>
    </row>
    <row r="5554" ht="13.65" customHeight="1">
      <c r="A5554" s="21">
        <v>72</v>
      </c>
      <c r="B5554" t="s" s="22">
        <v>101</v>
      </c>
      <c r="C5554" s="23">
        <v>50</v>
      </c>
      <c r="D5554" t="s" s="24">
        <v>274</v>
      </c>
      <c r="E5554" s="25">
        <v>1.93</v>
      </c>
      <c r="F5554" s="23">
        <v>12.5</v>
      </c>
      <c r="G5554" s="152" cm="1">
        <f t="array" ref="G5554">SUM(E5554/F5554)</f>
        <v>0.1544</v>
      </c>
      <c r="H5554" s="15"/>
    </row>
    <row r="5555" ht="13.65" customHeight="1">
      <c r="A5555" s="21">
        <v>123</v>
      </c>
      <c r="B5555" t="s" s="22">
        <v>103</v>
      </c>
      <c r="C5555" s="23">
        <v>40</v>
      </c>
      <c r="D5555" t="s" s="24">
        <v>102</v>
      </c>
      <c r="E5555" s="25">
        <v>3.2</v>
      </c>
      <c r="F5555" s="23">
        <v>20</v>
      </c>
      <c r="G5555" s="152" cm="1">
        <f t="array" ref="G5555">SUM(E5555/F5555)</f>
        <v>0.16</v>
      </c>
      <c r="H5555" s="15"/>
    </row>
    <row r="5556" ht="13.65" customHeight="1">
      <c r="A5556" s="21">
        <v>65</v>
      </c>
      <c r="B5556" t="s" s="22">
        <v>394</v>
      </c>
      <c r="C5556" s="23">
        <v>500</v>
      </c>
      <c r="D5556" t="s" s="24">
        <v>633</v>
      </c>
      <c r="E5556" s="25">
        <v>26</v>
      </c>
      <c r="F5556" s="23">
        <v>16.6</v>
      </c>
      <c r="G5556" s="152" cm="1">
        <f t="array" ref="G5556">SUM(E5556/F5556)</f>
        <v>1.56626506024096</v>
      </c>
      <c r="H5556" s="15"/>
    </row>
    <row r="5557" ht="13.65" customHeight="1">
      <c r="A5557" s="21">
        <v>140</v>
      </c>
      <c r="B5557" t="s" s="22">
        <v>470</v>
      </c>
      <c r="C5557" t="s" s="24">
        <v>108</v>
      </c>
      <c r="D5557" t="s" s="24">
        <v>102</v>
      </c>
      <c r="E5557" s="25">
        <v>1.12</v>
      </c>
      <c r="F5557" t="s" s="24">
        <v>387</v>
      </c>
      <c r="G5557" s="152" cm="1">
        <f t="array" ref="G5557">SUM(E5557*2)</f>
        <v>2.24</v>
      </c>
      <c r="H5557" s="15"/>
    </row>
    <row r="5558" ht="13.65" customHeight="1">
      <c r="A5558" s="21">
        <v>71</v>
      </c>
      <c r="B5558" t="s" s="22">
        <v>109</v>
      </c>
      <c r="C5558" s="23">
        <v>10</v>
      </c>
      <c r="D5558" t="s" s="24">
        <v>102</v>
      </c>
      <c r="E5558" s="25">
        <v>5.92</v>
      </c>
      <c r="F5558" s="23">
        <v>5</v>
      </c>
      <c r="G5558" s="152" cm="1">
        <f t="array" ref="G5558">SUM(E5558/F5558)</f>
        <v>1.184</v>
      </c>
      <c r="H5558" s="15"/>
    </row>
    <row r="5559" ht="13.65" customHeight="1">
      <c r="A5559" s="21">
        <v>87</v>
      </c>
      <c r="B5559" t="s" s="22">
        <v>110</v>
      </c>
      <c r="C5559" s="23">
        <v>50</v>
      </c>
      <c r="D5559" t="s" s="24">
        <v>102</v>
      </c>
      <c r="E5559" s="25">
        <v>9</v>
      </c>
      <c r="F5559" s="23">
        <v>25</v>
      </c>
      <c r="G5559" s="152" cm="1">
        <f t="array" ref="G5559">SUM(E5559/F5559)</f>
        <v>0.36</v>
      </c>
      <c r="H5559" s="15"/>
    </row>
    <row r="5560" ht="13.65" customHeight="1">
      <c r="A5560" s="21">
        <v>55</v>
      </c>
      <c r="B5560" t="s" s="22">
        <v>111</v>
      </c>
      <c r="C5560" t="s" s="24">
        <v>112</v>
      </c>
      <c r="D5560" t="s" s="24">
        <v>461</v>
      </c>
      <c r="E5560" s="25">
        <v>2.71</v>
      </c>
      <c r="F5560" s="23">
        <v>37.5</v>
      </c>
      <c r="G5560" s="152" cm="1">
        <f t="array" ref="G5560">SUM(E5560/F5560)</f>
        <v>0.0722666666666667</v>
      </c>
      <c r="H5560" s="15"/>
    </row>
    <row r="5561" ht="13.65" customHeight="1">
      <c r="A5561" s="21">
        <v>10</v>
      </c>
      <c r="B5561" t="s" s="22">
        <v>395</v>
      </c>
      <c r="C5561" t="s" s="24">
        <v>396</v>
      </c>
      <c r="D5561" t="s" s="24">
        <v>397</v>
      </c>
      <c r="E5561" s="25">
        <v>3.92</v>
      </c>
      <c r="F5561" s="23">
        <v>50</v>
      </c>
      <c r="G5561" s="152" cm="1">
        <f t="array" ref="G5561">SUM(E5561/F5561)</f>
        <v>0.0784</v>
      </c>
      <c r="H5561" s="15"/>
    </row>
    <row r="5562" ht="13.65" customHeight="1">
      <c r="A5562" s="21">
        <v>9</v>
      </c>
      <c r="B5562" t="s" s="22">
        <v>692</v>
      </c>
      <c r="C5562" s="23">
        <v>50</v>
      </c>
      <c r="D5562" t="s" s="24">
        <v>274</v>
      </c>
      <c r="E5562" s="25">
        <v>14</v>
      </c>
      <c r="F5562" s="23">
        <v>12.5</v>
      </c>
      <c r="G5562" s="152" cm="1">
        <f t="array" ref="G5562">SUM(E5562/F5562)</f>
        <v>1.12</v>
      </c>
      <c r="H5562" s="15"/>
    </row>
    <row r="5563" ht="13.65" customHeight="1">
      <c r="A5563" s="21">
        <v>6</v>
      </c>
      <c r="B5563" t="s" s="22">
        <v>399</v>
      </c>
      <c r="C5563" s="23">
        <v>100</v>
      </c>
      <c r="D5563" t="s" s="24">
        <v>104</v>
      </c>
      <c r="E5563" s="25">
        <v>19</v>
      </c>
      <c r="F5563" s="23">
        <v>100</v>
      </c>
      <c r="G5563" s="152" cm="1">
        <f t="array" ref="G5563">SUM(E5563/F5563)</f>
        <v>0.19</v>
      </c>
      <c r="H5563" s="15"/>
    </row>
    <row r="5564" ht="13.65" customHeight="1">
      <c r="A5564" s="21">
        <v>23</v>
      </c>
      <c r="B5564" t="s" s="22">
        <v>488</v>
      </c>
      <c r="C5564" s="23">
        <v>1</v>
      </c>
      <c r="D5564" t="s" s="24">
        <v>104</v>
      </c>
      <c r="E5564" s="25">
        <v>11</v>
      </c>
      <c r="F5564" s="23">
        <v>1</v>
      </c>
      <c r="G5564" s="152" cm="1">
        <f t="array" ref="G5564">SUM(E5564/F5564)</f>
        <v>11</v>
      </c>
      <c r="H5564" s="15"/>
    </row>
    <row r="5565" ht="13.65" customHeight="1">
      <c r="A5565" s="21">
        <v>119</v>
      </c>
      <c r="B5565" t="s" s="22">
        <v>467</v>
      </c>
      <c r="C5565" s="23">
        <v>1</v>
      </c>
      <c r="D5565" t="s" s="24">
        <v>468</v>
      </c>
      <c r="E5565" s="25">
        <v>0.45</v>
      </c>
      <c r="F5565" s="23">
        <v>1</v>
      </c>
      <c r="G5565" s="152" cm="1">
        <f t="array" ref="G5565">SUM(E5565/F5565)</f>
        <v>0.45</v>
      </c>
      <c r="H5565" s="15"/>
    </row>
    <row r="5566" ht="13.65" customHeight="1">
      <c r="A5566" s="21">
        <v>122</v>
      </c>
      <c r="B5566" t="s" s="22">
        <v>489</v>
      </c>
      <c r="C5566" t="s" s="24">
        <v>490</v>
      </c>
      <c r="D5566" t="s" s="24">
        <v>648</v>
      </c>
      <c r="E5566" s="25">
        <v>1.7</v>
      </c>
      <c r="F5566" s="23">
        <v>16</v>
      </c>
      <c r="G5566" s="152" cm="1">
        <f t="array" ref="G5566">SUM(E5566/F5566)</f>
        <v>0.10625</v>
      </c>
      <c r="H5566" s="15"/>
    </row>
    <row r="5567" ht="13.65" customHeight="1">
      <c r="A5567" s="21">
        <v>56</v>
      </c>
      <c r="B5567" t="s" s="22">
        <v>471</v>
      </c>
      <c r="C5567" s="23">
        <v>1</v>
      </c>
      <c r="D5567" t="s" s="24">
        <v>104</v>
      </c>
      <c r="E5567" s="25">
        <v>3.5</v>
      </c>
      <c r="F5567" s="23">
        <v>1</v>
      </c>
      <c r="G5567" s="152" cm="1">
        <f t="array" ref="G5567">SUM(E5567/F5567)</f>
        <v>3.5</v>
      </c>
      <c r="H5567" s="15"/>
    </row>
    <row r="5568" ht="13.65" customHeight="1">
      <c r="A5568" s="21">
        <v>78</v>
      </c>
      <c r="B5568" t="s" s="22">
        <v>492</v>
      </c>
      <c r="C5568" s="23">
        <v>1</v>
      </c>
      <c r="D5568" t="s" s="24">
        <v>104</v>
      </c>
      <c r="E5568" s="25">
        <v>1</v>
      </c>
      <c r="F5568" s="23">
        <v>1</v>
      </c>
      <c r="G5568" s="152" cm="1">
        <f t="array" ref="G5568">SUM(E5568/F5568)</f>
        <v>1</v>
      </c>
      <c r="H5568" s="15"/>
    </row>
    <row r="5569" ht="13.65" customHeight="1">
      <c r="A5569" s="21">
        <v>36</v>
      </c>
      <c r="B5569" t="s" s="22">
        <v>496</v>
      </c>
      <c r="C5569" t="s" s="24">
        <v>497</v>
      </c>
      <c r="D5569" t="s" s="24">
        <v>498</v>
      </c>
      <c r="E5569" s="25">
        <v>13</v>
      </c>
      <c r="F5569" s="23">
        <v>16</v>
      </c>
      <c r="G5569" s="152" cm="1">
        <f t="array" ref="G5569">SUM(E5569/F5569)</f>
        <v>0.8125</v>
      </c>
      <c r="H5569" s="15"/>
    </row>
    <row r="5570" ht="13.65" customHeight="1">
      <c r="A5570" s="21">
        <v>16</v>
      </c>
      <c r="B5570" t="s" s="22">
        <v>693</v>
      </c>
      <c r="C5570" s="23">
        <v>6</v>
      </c>
      <c r="D5570" t="s" s="24">
        <v>694</v>
      </c>
      <c r="E5570" s="25">
        <v>41</v>
      </c>
      <c r="F5570" s="23">
        <v>10</v>
      </c>
      <c r="G5570" s="152" cm="1">
        <f t="array" ref="G5570">SUM(E5570/F5570)</f>
        <v>4.1</v>
      </c>
      <c r="H5570" s="15"/>
    </row>
    <row r="5571" ht="13.65" customHeight="1">
      <c r="A5571" s="28"/>
      <c r="B5571" s="28"/>
      <c r="C5571" s="27"/>
      <c r="D5571" s="24"/>
      <c r="E5571" s="27"/>
      <c r="F5571" t="s" s="29">
        <v>118</v>
      </c>
      <c r="G5571" s="197" cm="1">
        <f t="array" ref="G5571">SUM(G5554:G5570)</f>
        <v>28.0940817269076</v>
      </c>
      <c r="H5571" s="15"/>
    </row>
    <row r="5572" ht="13.65" customHeight="1">
      <c r="A5572" s="129"/>
      <c r="B5572" s="129"/>
      <c r="C5572" s="129"/>
      <c r="D5572" s="129"/>
      <c r="E5572" s="129"/>
      <c r="F5572" s="31"/>
      <c r="G5572" s="31"/>
      <c r="H5572" s="3"/>
    </row>
    <row r="5573" ht="11.7" customHeight="1">
      <c r="A5573" t="s" s="167">
        <v>136</v>
      </c>
      <c r="B5573" t="s" s="167">
        <v>281</v>
      </c>
      <c r="C5573" t="s" s="167">
        <v>282</v>
      </c>
      <c r="D5573" t="s" s="168">
        <v>283</v>
      </c>
      <c r="E5573" s="169"/>
      <c r="F5573" s="170"/>
      <c r="G5573" s="171"/>
      <c r="H5573" s="171"/>
    </row>
    <row r="5574" ht="13.65" customHeight="1">
      <c r="A5574" s="23">
        <v>130</v>
      </c>
      <c r="B5574" s="172" cm="1">
        <f t="array" ref="B5574">SUM(H256)</f>
        <v>2.47496540404041</v>
      </c>
      <c r="C5574" s="172" cm="1">
        <f t="array" ref="C5574">SUM(G5571)</f>
        <v>28.0940817269076</v>
      </c>
      <c r="D5574" s="199" cm="1">
        <f t="array" ref="D5574">SUM(A5574*B5574)+(C5574)</f>
        <v>349.839584252161</v>
      </c>
      <c r="E5574" s="200"/>
      <c r="F5574" s="15"/>
      <c r="G5574" s="3"/>
      <c r="H5574" s="3"/>
    </row>
    <row r="5575" ht="13.65" customHeight="1">
      <c r="A5575" s="31"/>
      <c r="B5575" s="31"/>
      <c r="C5575" s="31"/>
      <c r="D5575" s="31"/>
      <c r="E5575" s="31"/>
      <c r="F5575" s="3"/>
      <c r="G5575" s="3"/>
      <c r="H5575" s="3"/>
    </row>
    <row r="5576" ht="13.65" customHeight="1">
      <c r="A5576" s="203"/>
      <c r="B5576" s="203"/>
      <c r="C5576" s="203"/>
      <c r="D5576" s="203"/>
      <c r="E5576" s="203"/>
      <c r="F5576" s="203"/>
      <c r="G5576" s="203"/>
      <c r="H5576" s="203"/>
    </row>
    <row r="5577" ht="13.65" customHeight="1">
      <c r="A5577" t="s" s="274">
        <v>185</v>
      </c>
      <c r="B5577" s="275"/>
      <c r="C5577" s="275"/>
      <c r="D5577" s="275"/>
      <c r="E5577" s="280"/>
      <c r="F5577" s="275"/>
      <c r="G5577" s="275"/>
      <c r="H5577" s="277"/>
    </row>
    <row r="5578" ht="13.65" customHeight="1">
      <c r="A5578" s="278"/>
      <c r="B5578" s="278"/>
      <c r="C5578" s="278"/>
      <c r="D5578" s="278"/>
      <c r="E5578" s="278"/>
      <c r="F5578" s="278"/>
      <c r="G5578" s="278"/>
      <c r="H5578" s="278"/>
    </row>
    <row r="5579" ht="13.65" customHeight="1">
      <c r="A5579" s="3"/>
      <c r="B5579" s="3"/>
      <c r="C5579" s="3"/>
      <c r="D5579" s="3"/>
      <c r="E5579" s="3"/>
      <c r="F5579" s="3"/>
      <c r="G5579" s="3"/>
      <c r="H5579" s="3"/>
    </row>
    <row r="5580" ht="13.65" customHeight="1">
      <c r="A5580" t="s" s="5">
        <v>870</v>
      </c>
      <c r="B5580" s="3"/>
      <c r="C5580" s="3"/>
      <c r="D5580" s="3"/>
      <c r="E5580" s="3"/>
      <c r="F5580" s="3"/>
      <c r="G5580" s="3"/>
      <c r="H5580" s="3"/>
    </row>
    <row r="5581" ht="13.65" customHeight="1">
      <c r="A5581" s="11"/>
      <c r="B5581" s="11"/>
      <c r="C5581" s="11"/>
      <c r="D5581" s="11"/>
      <c r="E5581" s="11"/>
      <c r="F5581" s="11"/>
      <c r="G5581" s="11"/>
      <c r="H5581" s="3"/>
    </row>
    <row r="5582" ht="13.65" customHeight="1">
      <c r="A5582" s="12"/>
      <c r="B5582" s="12"/>
      <c r="C5582" s="13"/>
      <c r="D5582" s="14"/>
      <c r="E5582" s="13"/>
      <c r="F5582" s="13"/>
      <c r="G5582" t="s" s="14">
        <v>252</v>
      </c>
      <c r="H5582" s="150"/>
    </row>
    <row r="5583" ht="13.65" customHeight="1">
      <c r="A5583" t="s" s="16">
        <v>93</v>
      </c>
      <c r="B5583" t="s" s="16">
        <v>94</v>
      </c>
      <c r="C5583" t="s" s="16">
        <v>95</v>
      </c>
      <c r="D5583" t="s" s="16">
        <v>96</v>
      </c>
      <c r="E5583" t="s" s="16">
        <v>97</v>
      </c>
      <c r="F5583" t="s" s="16">
        <v>98</v>
      </c>
      <c r="G5583" t="s" s="16">
        <v>99</v>
      </c>
      <c r="H5583" s="15"/>
    </row>
    <row r="5584" ht="13.65" customHeight="1">
      <c r="A5584" s="151"/>
      <c r="B5584" s="151"/>
      <c r="C5584" s="19"/>
      <c r="D5584" s="20"/>
      <c r="E5584" s="19"/>
      <c r="F5584" s="19"/>
      <c r="G5584" t="s" s="20">
        <v>100</v>
      </c>
      <c r="H5584" s="15"/>
    </row>
    <row r="5585" ht="13.65" customHeight="1">
      <c r="A5585" s="21">
        <v>72</v>
      </c>
      <c r="B5585" t="s" s="22">
        <v>101</v>
      </c>
      <c r="C5585" s="23">
        <v>50</v>
      </c>
      <c r="D5585" t="s" s="24">
        <v>274</v>
      </c>
      <c r="E5585" s="25">
        <v>1.93</v>
      </c>
      <c r="F5585" s="23">
        <v>12.5</v>
      </c>
      <c r="G5585" s="152" cm="1">
        <f t="array" ref="G5585">SUM(E5585/F5585)</f>
        <v>0.1544</v>
      </c>
      <c r="H5585" s="15"/>
    </row>
    <row r="5586" ht="13.65" customHeight="1">
      <c r="A5586" s="21">
        <v>123</v>
      </c>
      <c r="B5586" t="s" s="22">
        <v>103</v>
      </c>
      <c r="C5586" s="23">
        <v>40</v>
      </c>
      <c r="D5586" t="s" s="24">
        <v>102</v>
      </c>
      <c r="E5586" s="25">
        <v>3.2</v>
      </c>
      <c r="F5586" s="23">
        <v>20</v>
      </c>
      <c r="G5586" s="152" cm="1">
        <f t="array" ref="G5586">SUM(E5586/F5586)</f>
        <v>0.16</v>
      </c>
      <c r="H5586" s="15"/>
    </row>
    <row r="5587" ht="13.65" customHeight="1">
      <c r="A5587" s="21">
        <v>65</v>
      </c>
      <c r="B5587" t="s" s="22">
        <v>394</v>
      </c>
      <c r="C5587" s="23">
        <v>500</v>
      </c>
      <c r="D5587" t="s" s="24">
        <v>633</v>
      </c>
      <c r="E5587" s="25">
        <v>26</v>
      </c>
      <c r="F5587" s="23">
        <v>16.6</v>
      </c>
      <c r="G5587" s="152" cm="1">
        <f t="array" ref="G5587">SUM(E5587/F5587)</f>
        <v>1.56626506024096</v>
      </c>
      <c r="H5587" s="15"/>
    </row>
    <row r="5588" ht="13.65" customHeight="1">
      <c r="A5588" s="21">
        <v>140</v>
      </c>
      <c r="B5588" t="s" s="22">
        <v>470</v>
      </c>
      <c r="C5588" t="s" s="24">
        <v>108</v>
      </c>
      <c r="D5588" t="s" s="24">
        <v>102</v>
      </c>
      <c r="E5588" s="25">
        <v>1.12</v>
      </c>
      <c r="F5588" t="s" s="24">
        <v>387</v>
      </c>
      <c r="G5588" s="152" cm="1">
        <f t="array" ref="G5588">SUM(E5588*2)</f>
        <v>2.24</v>
      </c>
      <c r="H5588" s="15"/>
    </row>
    <row r="5589" ht="13.65" customHeight="1">
      <c r="A5589" s="21">
        <v>71</v>
      </c>
      <c r="B5589" t="s" s="22">
        <v>109</v>
      </c>
      <c r="C5589" s="23">
        <v>10</v>
      </c>
      <c r="D5589" t="s" s="24">
        <v>102</v>
      </c>
      <c r="E5589" s="25">
        <v>5.92</v>
      </c>
      <c r="F5589" s="23">
        <v>5</v>
      </c>
      <c r="G5589" s="152" cm="1">
        <f t="array" ref="G5589">SUM(E5589/F5589)</f>
        <v>1.184</v>
      </c>
      <c r="H5589" s="15"/>
    </row>
    <row r="5590" ht="13.65" customHeight="1">
      <c r="A5590" s="21">
        <v>87</v>
      </c>
      <c r="B5590" t="s" s="22">
        <v>110</v>
      </c>
      <c r="C5590" s="23">
        <v>50</v>
      </c>
      <c r="D5590" t="s" s="24">
        <v>102</v>
      </c>
      <c r="E5590" s="25">
        <v>9</v>
      </c>
      <c r="F5590" s="23">
        <v>25</v>
      </c>
      <c r="G5590" s="152" cm="1">
        <f t="array" ref="G5590">SUM(E5590/F5590)</f>
        <v>0.36</v>
      </c>
      <c r="H5590" s="15"/>
    </row>
    <row r="5591" ht="13.65" customHeight="1">
      <c r="A5591" s="21">
        <v>55</v>
      </c>
      <c r="B5591" t="s" s="22">
        <v>111</v>
      </c>
      <c r="C5591" t="s" s="24">
        <v>112</v>
      </c>
      <c r="D5591" t="s" s="24">
        <v>461</v>
      </c>
      <c r="E5591" s="25">
        <v>2.71</v>
      </c>
      <c r="F5591" s="23">
        <v>37.5</v>
      </c>
      <c r="G5591" s="152" cm="1">
        <f t="array" ref="G5591">SUM(E5591/F5591)</f>
        <v>0.0722666666666667</v>
      </c>
      <c r="H5591" s="15"/>
    </row>
    <row r="5592" ht="13.65" customHeight="1">
      <c r="A5592" s="21">
        <v>10</v>
      </c>
      <c r="B5592" t="s" s="22">
        <v>395</v>
      </c>
      <c r="C5592" t="s" s="24">
        <v>396</v>
      </c>
      <c r="D5592" t="s" s="24">
        <v>397</v>
      </c>
      <c r="E5592" s="25">
        <v>3.92</v>
      </c>
      <c r="F5592" s="23">
        <v>50</v>
      </c>
      <c r="G5592" s="152" cm="1">
        <f t="array" ref="G5592">SUM(E5592/F5592)</f>
        <v>0.0784</v>
      </c>
      <c r="H5592" s="15"/>
    </row>
    <row r="5593" ht="13.65" customHeight="1">
      <c r="A5593" s="21">
        <v>9</v>
      </c>
      <c r="B5593" t="s" s="22">
        <v>692</v>
      </c>
      <c r="C5593" s="23">
        <v>50</v>
      </c>
      <c r="D5593" t="s" s="24">
        <v>274</v>
      </c>
      <c r="E5593" s="25">
        <v>14</v>
      </c>
      <c r="F5593" s="23">
        <v>12.5</v>
      </c>
      <c r="G5593" s="152" cm="1">
        <f t="array" ref="G5593">SUM(E5593/F5593)</f>
        <v>1.12</v>
      </c>
      <c r="H5593" s="15"/>
    </row>
    <row r="5594" ht="13.65" customHeight="1">
      <c r="A5594" s="21">
        <v>6</v>
      </c>
      <c r="B5594" t="s" s="22">
        <v>399</v>
      </c>
      <c r="C5594" s="23">
        <v>100</v>
      </c>
      <c r="D5594" t="s" s="24">
        <v>104</v>
      </c>
      <c r="E5594" s="25">
        <v>19</v>
      </c>
      <c r="F5594" s="23">
        <v>100</v>
      </c>
      <c r="G5594" s="152" cm="1">
        <f t="array" ref="G5594">SUM(E5594/F5594)</f>
        <v>0.19</v>
      </c>
      <c r="H5594" s="15"/>
    </row>
    <row r="5595" ht="13.65" customHeight="1">
      <c r="A5595" s="21">
        <v>23</v>
      </c>
      <c r="B5595" t="s" s="22">
        <v>488</v>
      </c>
      <c r="C5595" s="23">
        <v>1</v>
      </c>
      <c r="D5595" t="s" s="24">
        <v>104</v>
      </c>
      <c r="E5595" s="25">
        <v>11</v>
      </c>
      <c r="F5595" s="23">
        <v>1</v>
      </c>
      <c r="G5595" s="152" cm="1">
        <f t="array" ref="G5595">SUM(E5595/F5595)</f>
        <v>11</v>
      </c>
      <c r="H5595" s="15"/>
    </row>
    <row r="5596" ht="13.65" customHeight="1">
      <c r="A5596" s="21">
        <v>119</v>
      </c>
      <c r="B5596" t="s" s="22">
        <v>467</v>
      </c>
      <c r="C5596" s="23">
        <v>1</v>
      </c>
      <c r="D5596" t="s" s="24">
        <v>468</v>
      </c>
      <c r="E5596" s="25">
        <v>0.45</v>
      </c>
      <c r="F5596" s="23">
        <v>1</v>
      </c>
      <c r="G5596" s="152" cm="1">
        <f t="array" ref="G5596">SUM(E5596/F5596)</f>
        <v>0.45</v>
      </c>
      <c r="H5596" s="15"/>
    </row>
    <row r="5597" ht="13.65" customHeight="1">
      <c r="A5597" s="21">
        <v>122</v>
      </c>
      <c r="B5597" t="s" s="22">
        <v>489</v>
      </c>
      <c r="C5597" t="s" s="24">
        <v>490</v>
      </c>
      <c r="D5597" t="s" s="24">
        <v>648</v>
      </c>
      <c r="E5597" s="25">
        <v>1.7</v>
      </c>
      <c r="F5597" s="23">
        <v>16</v>
      </c>
      <c r="G5597" s="152" cm="1">
        <f t="array" ref="G5597">SUM(E5597/F5597)</f>
        <v>0.10625</v>
      </c>
      <c r="H5597" s="15"/>
    </row>
    <row r="5598" ht="13.65" customHeight="1">
      <c r="A5598" s="21">
        <v>136</v>
      </c>
      <c r="B5598" t="s" s="22">
        <v>696</v>
      </c>
      <c r="C5598" t="s" s="24">
        <v>408</v>
      </c>
      <c r="D5598" t="s" s="24">
        <v>495</v>
      </c>
      <c r="E5598" s="25">
        <v>243</v>
      </c>
      <c r="F5598" s="23">
        <v>20</v>
      </c>
      <c r="G5598" s="152" cm="1">
        <f t="array" ref="G5598">SUM(E5598/F5598)</f>
        <v>12.15</v>
      </c>
      <c r="H5598" s="15"/>
    </row>
    <row r="5599" ht="13.65" customHeight="1">
      <c r="A5599" s="21">
        <v>56</v>
      </c>
      <c r="B5599" t="s" s="22">
        <v>471</v>
      </c>
      <c r="C5599" s="23">
        <v>1</v>
      </c>
      <c r="D5599" t="s" s="24">
        <v>104</v>
      </c>
      <c r="E5599" s="25">
        <v>3.5</v>
      </c>
      <c r="F5599" s="23">
        <v>1</v>
      </c>
      <c r="G5599" s="152" cm="1">
        <f t="array" ref="G5599">SUM(E5599/F5599)</f>
        <v>3.5</v>
      </c>
      <c r="H5599" s="15"/>
    </row>
    <row r="5600" ht="13.65" customHeight="1">
      <c r="A5600" s="21">
        <v>78</v>
      </c>
      <c r="B5600" t="s" s="22">
        <v>492</v>
      </c>
      <c r="C5600" s="23">
        <v>1</v>
      </c>
      <c r="D5600" t="s" s="24">
        <v>104</v>
      </c>
      <c r="E5600" s="25">
        <v>1</v>
      </c>
      <c r="F5600" s="23">
        <v>1</v>
      </c>
      <c r="G5600" s="152" cm="1">
        <f t="array" ref="G5600">SUM(E5600/F5600)</f>
        <v>1</v>
      </c>
      <c r="H5600" s="15"/>
    </row>
    <row r="5601" ht="13.65" customHeight="1">
      <c r="A5601" s="21">
        <v>36</v>
      </c>
      <c r="B5601" t="s" s="22">
        <v>496</v>
      </c>
      <c r="C5601" t="s" s="24">
        <v>497</v>
      </c>
      <c r="D5601" t="s" s="24">
        <v>498</v>
      </c>
      <c r="E5601" s="25">
        <v>13</v>
      </c>
      <c r="F5601" s="23">
        <v>16</v>
      </c>
      <c r="G5601" s="152" cm="1">
        <f t="array" ref="G5601">SUM(E5601/F5601)</f>
        <v>0.8125</v>
      </c>
      <c r="H5601" s="15"/>
    </row>
    <row r="5602" ht="13.65" customHeight="1">
      <c r="A5602" s="21">
        <v>16</v>
      </c>
      <c r="B5602" t="s" s="22">
        <v>693</v>
      </c>
      <c r="C5602" s="23">
        <v>6</v>
      </c>
      <c r="D5602" t="s" s="24">
        <v>694</v>
      </c>
      <c r="E5602" s="25">
        <v>41</v>
      </c>
      <c r="F5602" s="23">
        <v>10</v>
      </c>
      <c r="G5602" s="152" cm="1">
        <f t="array" ref="G5602">SUM(E5602/F5602)</f>
        <v>4.1</v>
      </c>
      <c r="H5602" s="15"/>
    </row>
    <row r="5603" ht="13.65" customHeight="1">
      <c r="A5603" s="28"/>
      <c r="B5603" s="28"/>
      <c r="C5603" s="27"/>
      <c r="D5603" s="24"/>
      <c r="E5603" s="27"/>
      <c r="F5603" t="s" s="29">
        <v>118</v>
      </c>
      <c r="G5603" s="197" cm="1">
        <f t="array" ref="G5603">SUM(G5585:G5602)</f>
        <v>40.2440817269076</v>
      </c>
      <c r="H5603" s="15"/>
    </row>
    <row r="5604" ht="13.65" customHeight="1">
      <c r="A5604" s="129"/>
      <c r="B5604" s="129"/>
      <c r="C5604" s="129"/>
      <c r="D5604" s="129"/>
      <c r="E5604" s="129"/>
      <c r="F5604" s="31"/>
      <c r="G5604" s="31"/>
      <c r="H5604" s="3"/>
    </row>
    <row r="5605" ht="11.7" customHeight="1">
      <c r="A5605" t="s" s="167">
        <v>136</v>
      </c>
      <c r="B5605" t="s" s="167">
        <v>281</v>
      </c>
      <c r="C5605" t="s" s="167">
        <v>282</v>
      </c>
      <c r="D5605" t="s" s="168">
        <v>283</v>
      </c>
      <c r="E5605" s="169"/>
      <c r="F5605" s="170"/>
      <c r="G5605" s="171"/>
      <c r="H5605" s="171"/>
    </row>
    <row r="5606" ht="13.65" customHeight="1">
      <c r="A5606" s="23">
        <v>140</v>
      </c>
      <c r="B5606" s="172" cm="1">
        <f t="array" ref="B5606">SUM(H256)</f>
        <v>2.47496540404041</v>
      </c>
      <c r="C5606" s="172" cm="1">
        <f t="array" ref="C5606">SUM(G5603)</f>
        <v>40.2440817269076</v>
      </c>
      <c r="D5606" s="199" cm="1">
        <f t="array" ref="D5606">SUM(A5606*B5606)+(C5606)</f>
        <v>386.739238292565</v>
      </c>
      <c r="E5606" s="200"/>
      <c r="F5606" s="15"/>
      <c r="G5606" s="3"/>
      <c r="H5606" s="3"/>
    </row>
    <row r="5607" ht="13.65" customHeight="1">
      <c r="A5607" s="31"/>
      <c r="B5607" s="31"/>
      <c r="C5607" s="31"/>
      <c r="D5607" s="31"/>
      <c r="E5607" s="31"/>
      <c r="F5607" s="3"/>
      <c r="G5607" s="3"/>
      <c r="H5607" s="3"/>
    </row>
    <row r="5608" ht="13.65" customHeight="1">
      <c r="A5608" s="3"/>
      <c r="B5608" s="3"/>
      <c r="C5608" s="3"/>
      <c r="D5608" s="3"/>
      <c r="E5608" s="3"/>
      <c r="F5608" s="3"/>
      <c r="G5608" s="3"/>
      <c r="H5608" s="3"/>
    </row>
    <row r="5609" ht="13.65" customHeight="1">
      <c r="A5609" t="s" s="5">
        <v>871</v>
      </c>
      <c r="B5609" s="3"/>
      <c r="C5609" s="3"/>
      <c r="D5609" s="3"/>
      <c r="E5609" s="3"/>
      <c r="F5609" s="3"/>
      <c r="G5609" s="3"/>
      <c r="H5609" s="3"/>
    </row>
    <row r="5610" ht="13.65" customHeight="1">
      <c r="A5610" s="11"/>
      <c r="B5610" s="11"/>
      <c r="C5610" s="11"/>
      <c r="D5610" s="11"/>
      <c r="E5610" s="11"/>
      <c r="F5610" s="11"/>
      <c r="G5610" s="11"/>
      <c r="H5610" s="3"/>
    </row>
    <row r="5611" ht="13.65" customHeight="1">
      <c r="A5611" s="12"/>
      <c r="B5611" s="12"/>
      <c r="C5611" s="13"/>
      <c r="D5611" s="14"/>
      <c r="E5611" s="13"/>
      <c r="F5611" s="13"/>
      <c r="G5611" t="s" s="14">
        <v>252</v>
      </c>
      <c r="H5611" s="150"/>
    </row>
    <row r="5612" ht="13.65" customHeight="1">
      <c r="A5612" t="s" s="16">
        <v>93</v>
      </c>
      <c r="B5612" t="s" s="16">
        <v>94</v>
      </c>
      <c r="C5612" t="s" s="16">
        <v>95</v>
      </c>
      <c r="D5612" t="s" s="16">
        <v>96</v>
      </c>
      <c r="E5612" t="s" s="16">
        <v>97</v>
      </c>
      <c r="F5612" t="s" s="16">
        <v>98</v>
      </c>
      <c r="G5612" t="s" s="16">
        <v>99</v>
      </c>
      <c r="H5612" s="15"/>
    </row>
    <row r="5613" ht="13.65" customHeight="1">
      <c r="A5613" s="151"/>
      <c r="B5613" s="151"/>
      <c r="C5613" s="19"/>
      <c r="D5613" s="20"/>
      <c r="E5613" s="19"/>
      <c r="F5613" s="19"/>
      <c r="G5613" t="s" s="20">
        <v>100</v>
      </c>
      <c r="H5613" s="15"/>
    </row>
    <row r="5614" ht="13.65" customHeight="1">
      <c r="A5614" s="21">
        <v>72</v>
      </c>
      <c r="B5614" t="s" s="22">
        <v>101</v>
      </c>
      <c r="C5614" s="23">
        <v>50</v>
      </c>
      <c r="D5614" t="s" s="24">
        <v>274</v>
      </c>
      <c r="E5614" s="25">
        <v>1.93</v>
      </c>
      <c r="F5614" s="23">
        <v>12.5</v>
      </c>
      <c r="G5614" s="152" cm="1">
        <f t="array" ref="G5614">SUM(E5614/F5614)</f>
        <v>0.1544</v>
      </c>
      <c r="H5614" s="15"/>
    </row>
    <row r="5615" ht="13.65" customHeight="1">
      <c r="A5615" s="21">
        <v>123</v>
      </c>
      <c r="B5615" t="s" s="22">
        <v>103</v>
      </c>
      <c r="C5615" s="23">
        <v>40</v>
      </c>
      <c r="D5615" t="s" s="24">
        <v>102</v>
      </c>
      <c r="E5615" s="25">
        <v>3.2</v>
      </c>
      <c r="F5615" s="23">
        <v>20</v>
      </c>
      <c r="G5615" s="152" cm="1">
        <f t="array" ref="G5615">SUM(E5615/F5615)</f>
        <v>0.16</v>
      </c>
      <c r="H5615" s="15"/>
    </row>
    <row r="5616" ht="13.65" customHeight="1">
      <c r="A5616" s="21">
        <v>65</v>
      </c>
      <c r="B5616" t="s" s="22">
        <v>394</v>
      </c>
      <c r="C5616" s="23">
        <v>500</v>
      </c>
      <c r="D5616" t="s" s="24">
        <v>633</v>
      </c>
      <c r="E5616" s="25">
        <v>26</v>
      </c>
      <c r="F5616" s="23">
        <v>16.6</v>
      </c>
      <c r="G5616" s="152" cm="1">
        <f t="array" ref="G5616">SUM(E5616/F5616)</f>
        <v>1.56626506024096</v>
      </c>
      <c r="H5616" s="15"/>
    </row>
    <row r="5617" ht="13.65" customHeight="1">
      <c r="A5617" s="21">
        <v>140</v>
      </c>
      <c r="B5617" t="s" s="22">
        <v>470</v>
      </c>
      <c r="C5617" t="s" s="24">
        <v>108</v>
      </c>
      <c r="D5617" t="s" s="24">
        <v>102</v>
      </c>
      <c r="E5617" s="25">
        <v>1.12</v>
      </c>
      <c r="F5617" t="s" s="24">
        <v>387</v>
      </c>
      <c r="G5617" s="152" cm="1">
        <f t="array" ref="G5617">SUM(E5617*2)</f>
        <v>2.24</v>
      </c>
      <c r="H5617" s="15"/>
    </row>
    <row r="5618" ht="13.65" customHeight="1">
      <c r="A5618" s="21">
        <v>71</v>
      </c>
      <c r="B5618" t="s" s="22">
        <v>109</v>
      </c>
      <c r="C5618" s="23">
        <v>10</v>
      </c>
      <c r="D5618" t="s" s="24">
        <v>102</v>
      </c>
      <c r="E5618" s="25">
        <v>5.92</v>
      </c>
      <c r="F5618" s="23">
        <v>5</v>
      </c>
      <c r="G5618" s="152" cm="1">
        <f t="array" ref="G5618">SUM(E5618/F5618)</f>
        <v>1.184</v>
      </c>
      <c r="H5618" s="15"/>
    </row>
    <row r="5619" ht="13.65" customHeight="1">
      <c r="A5619" s="21">
        <v>87</v>
      </c>
      <c r="B5619" t="s" s="22">
        <v>110</v>
      </c>
      <c r="C5619" s="23">
        <v>50</v>
      </c>
      <c r="D5619" t="s" s="24">
        <v>102</v>
      </c>
      <c r="E5619" s="25">
        <v>9</v>
      </c>
      <c r="F5619" s="23">
        <v>25</v>
      </c>
      <c r="G5619" s="152" cm="1">
        <f t="array" ref="G5619">SUM(E5619/F5619)</f>
        <v>0.36</v>
      </c>
      <c r="H5619" s="15"/>
    </row>
    <row r="5620" ht="13.65" customHeight="1">
      <c r="A5620" s="21">
        <v>55</v>
      </c>
      <c r="B5620" t="s" s="22">
        <v>111</v>
      </c>
      <c r="C5620" t="s" s="24">
        <v>112</v>
      </c>
      <c r="D5620" t="s" s="24">
        <v>461</v>
      </c>
      <c r="E5620" s="25">
        <v>2.71</v>
      </c>
      <c r="F5620" s="23">
        <v>37.5</v>
      </c>
      <c r="G5620" s="152" cm="1">
        <f t="array" ref="G5620">SUM(E5620/F5620)</f>
        <v>0.0722666666666667</v>
      </c>
      <c r="H5620" s="15"/>
    </row>
    <row r="5621" ht="13.65" customHeight="1">
      <c r="A5621" s="21">
        <v>10</v>
      </c>
      <c r="B5621" t="s" s="22">
        <v>395</v>
      </c>
      <c r="C5621" t="s" s="24">
        <v>396</v>
      </c>
      <c r="D5621" t="s" s="24">
        <v>397</v>
      </c>
      <c r="E5621" s="25">
        <v>3.92</v>
      </c>
      <c r="F5621" s="23">
        <v>50</v>
      </c>
      <c r="G5621" s="152" cm="1">
        <f t="array" ref="G5621">SUM(E5621/F5621)</f>
        <v>0.0784</v>
      </c>
      <c r="H5621" s="15"/>
    </row>
    <row r="5622" ht="13.65" customHeight="1">
      <c r="A5622" s="21">
        <v>9</v>
      </c>
      <c r="B5622" t="s" s="22">
        <v>692</v>
      </c>
      <c r="C5622" s="23">
        <v>50</v>
      </c>
      <c r="D5622" t="s" s="24">
        <v>274</v>
      </c>
      <c r="E5622" s="25">
        <v>14</v>
      </c>
      <c r="F5622" s="23">
        <v>12.5</v>
      </c>
      <c r="G5622" s="152" cm="1">
        <f t="array" ref="G5622">SUM(E5622/F5622)</f>
        <v>1.12</v>
      </c>
      <c r="H5622" s="15"/>
    </row>
    <row r="5623" ht="13.65" customHeight="1">
      <c r="A5623" s="21">
        <v>6</v>
      </c>
      <c r="B5623" t="s" s="22">
        <v>399</v>
      </c>
      <c r="C5623" s="23">
        <v>100</v>
      </c>
      <c r="D5623" t="s" s="24">
        <v>104</v>
      </c>
      <c r="E5623" s="25">
        <v>19</v>
      </c>
      <c r="F5623" s="23">
        <v>100</v>
      </c>
      <c r="G5623" s="152" cm="1">
        <f t="array" ref="G5623">SUM(E5623/F5623)</f>
        <v>0.19</v>
      </c>
      <c r="H5623" s="15"/>
    </row>
    <row r="5624" ht="13.65" customHeight="1">
      <c r="A5624" s="21">
        <v>23</v>
      </c>
      <c r="B5624" t="s" s="22">
        <v>488</v>
      </c>
      <c r="C5624" s="23">
        <v>1</v>
      </c>
      <c r="D5624" t="s" s="24">
        <v>104</v>
      </c>
      <c r="E5624" s="25">
        <v>11</v>
      </c>
      <c r="F5624" s="23">
        <v>1</v>
      </c>
      <c r="G5624" s="152" cm="1">
        <f t="array" ref="G5624">SUM(E5624/F5624)</f>
        <v>11</v>
      </c>
      <c r="H5624" s="15"/>
    </row>
    <row r="5625" ht="13.65" customHeight="1">
      <c r="A5625" s="21">
        <v>119</v>
      </c>
      <c r="B5625" t="s" s="22">
        <v>467</v>
      </c>
      <c r="C5625" s="23">
        <v>1</v>
      </c>
      <c r="D5625" t="s" s="24">
        <v>468</v>
      </c>
      <c r="E5625" s="25">
        <v>0.45</v>
      </c>
      <c r="F5625" s="23">
        <v>1</v>
      </c>
      <c r="G5625" s="152" cm="1">
        <f t="array" ref="G5625">SUM(E5625/F5625)</f>
        <v>0.45</v>
      </c>
      <c r="H5625" s="15"/>
    </row>
    <row r="5626" ht="13.65" customHeight="1">
      <c r="A5626" s="21">
        <v>122</v>
      </c>
      <c r="B5626" t="s" s="22">
        <v>489</v>
      </c>
      <c r="C5626" t="s" s="24">
        <v>490</v>
      </c>
      <c r="D5626" t="s" s="24">
        <v>390</v>
      </c>
      <c r="E5626" s="25">
        <v>1.7</v>
      </c>
      <c r="F5626" s="23">
        <v>50</v>
      </c>
      <c r="G5626" s="152" cm="1">
        <f t="array" ref="G5626">SUM(E5626/F5626)</f>
        <v>0.034</v>
      </c>
      <c r="H5626" s="15"/>
    </row>
    <row r="5627" ht="13.65" customHeight="1">
      <c r="A5627" s="21">
        <v>56</v>
      </c>
      <c r="B5627" t="s" s="22">
        <v>471</v>
      </c>
      <c r="C5627" s="23">
        <v>1</v>
      </c>
      <c r="D5627" t="s" s="24">
        <v>104</v>
      </c>
      <c r="E5627" s="25">
        <v>3.5</v>
      </c>
      <c r="F5627" s="23">
        <v>1</v>
      </c>
      <c r="G5627" s="152" cm="1">
        <f t="array" ref="G5627">SUM(E5627/F5627)</f>
        <v>3.5</v>
      </c>
      <c r="H5627" s="15"/>
    </row>
    <row r="5628" ht="13.65" customHeight="1">
      <c r="A5628" s="21">
        <v>78</v>
      </c>
      <c r="B5628" t="s" s="22">
        <v>492</v>
      </c>
      <c r="C5628" s="23">
        <v>1</v>
      </c>
      <c r="D5628" t="s" s="24">
        <v>104</v>
      </c>
      <c r="E5628" s="25">
        <v>1</v>
      </c>
      <c r="F5628" s="23">
        <v>1</v>
      </c>
      <c r="G5628" s="152" cm="1">
        <f t="array" ref="G5628">SUM(E5628/F5628)</f>
        <v>1</v>
      </c>
      <c r="H5628" s="15"/>
    </row>
    <row r="5629" ht="13.65" customHeight="1">
      <c r="A5629" s="21">
        <v>36</v>
      </c>
      <c r="B5629" t="s" s="22">
        <v>496</v>
      </c>
      <c r="C5629" t="s" s="24">
        <v>497</v>
      </c>
      <c r="D5629" t="s" s="24">
        <v>498</v>
      </c>
      <c r="E5629" s="25">
        <v>13</v>
      </c>
      <c r="F5629" s="23">
        <v>16</v>
      </c>
      <c r="G5629" s="152" cm="1">
        <f t="array" ref="G5629">SUM(E5629/F5629)</f>
        <v>0.8125</v>
      </c>
      <c r="H5629" s="15"/>
    </row>
    <row r="5630" ht="13.65" customHeight="1">
      <c r="A5630" s="21">
        <v>16</v>
      </c>
      <c r="B5630" t="s" s="22">
        <v>693</v>
      </c>
      <c r="C5630" s="23">
        <v>6</v>
      </c>
      <c r="D5630" t="s" s="24">
        <v>694</v>
      </c>
      <c r="E5630" s="25">
        <v>41</v>
      </c>
      <c r="F5630" s="23">
        <v>10</v>
      </c>
      <c r="G5630" s="152" cm="1">
        <f t="array" ref="G5630">SUM(E5630/F5630)</f>
        <v>4.1</v>
      </c>
      <c r="H5630" s="15"/>
    </row>
    <row r="5631" ht="13.65" customHeight="1">
      <c r="A5631" s="28"/>
      <c r="B5631" s="28"/>
      <c r="C5631" s="27"/>
      <c r="D5631" s="24"/>
      <c r="E5631" s="27"/>
      <c r="F5631" t="s" s="29">
        <v>118</v>
      </c>
      <c r="G5631" s="197" cm="1">
        <f t="array" ref="G5631">SUM(G5614:G5630)</f>
        <v>28.0218317269076</v>
      </c>
      <c r="H5631" s="15"/>
    </row>
    <row r="5632" ht="13.65" customHeight="1">
      <c r="A5632" s="129"/>
      <c r="B5632" s="129"/>
      <c r="C5632" s="129"/>
      <c r="D5632" s="129"/>
      <c r="E5632" s="129"/>
      <c r="F5632" s="31"/>
      <c r="G5632" s="31"/>
      <c r="H5632" s="3"/>
    </row>
    <row r="5633" ht="11.7" customHeight="1">
      <c r="A5633" t="s" s="167">
        <v>136</v>
      </c>
      <c r="B5633" t="s" s="167">
        <v>281</v>
      </c>
      <c r="C5633" t="s" s="167">
        <v>282</v>
      </c>
      <c r="D5633" t="s" s="168">
        <v>283</v>
      </c>
      <c r="E5633" s="169"/>
      <c r="F5633" s="170"/>
      <c r="G5633" s="171"/>
      <c r="H5633" s="171"/>
    </row>
    <row r="5634" ht="13.65" customHeight="1">
      <c r="A5634" s="23">
        <v>160</v>
      </c>
      <c r="B5634" s="172" cm="1">
        <f t="array" ref="B5634">SUM(H256)</f>
        <v>2.47496540404041</v>
      </c>
      <c r="C5634" s="172" cm="1">
        <f t="array" ref="C5634">SUM(G5631)</f>
        <v>28.0218317269076</v>
      </c>
      <c r="D5634" s="199" cm="1">
        <f t="array" ref="D5634">SUM(A5634*B5634)+(C5634)</f>
        <v>424.016296373373</v>
      </c>
      <c r="E5634" s="200"/>
      <c r="F5634" s="15"/>
      <c r="G5634" s="3"/>
      <c r="H5634" s="3"/>
    </row>
    <row r="5635" ht="13.65" customHeight="1">
      <c r="A5635" s="31"/>
      <c r="B5635" s="31"/>
      <c r="C5635" s="31"/>
      <c r="D5635" s="31"/>
      <c r="E5635" s="31"/>
      <c r="F5635" s="3"/>
      <c r="G5635" s="3"/>
      <c r="H5635" s="3"/>
    </row>
    <row r="5636" ht="13.65" customHeight="1">
      <c r="A5636" s="203"/>
      <c r="B5636" s="203"/>
      <c r="C5636" s="203"/>
      <c r="D5636" s="203"/>
      <c r="E5636" s="203"/>
      <c r="F5636" s="203"/>
      <c r="G5636" s="203"/>
      <c r="H5636" s="203"/>
    </row>
    <row r="5637" ht="13.65" customHeight="1">
      <c r="A5637" t="s" s="274">
        <v>185</v>
      </c>
      <c r="B5637" s="275"/>
      <c r="C5637" s="275"/>
      <c r="D5637" s="275"/>
      <c r="E5637" s="280"/>
      <c r="F5637" s="275"/>
      <c r="G5637" s="275"/>
      <c r="H5637" s="277"/>
    </row>
    <row r="5638" ht="13.65" customHeight="1">
      <c r="A5638" s="278"/>
      <c r="B5638" s="278"/>
      <c r="C5638" s="278"/>
      <c r="D5638" s="278"/>
      <c r="E5638" s="278"/>
      <c r="F5638" s="278"/>
      <c r="G5638" s="278"/>
      <c r="H5638" s="278"/>
    </row>
    <row r="5639" ht="13.65" customHeight="1">
      <c r="A5639" s="3"/>
      <c r="B5639" s="3"/>
      <c r="C5639" s="3"/>
      <c r="D5639" s="3"/>
      <c r="E5639" s="3"/>
      <c r="F5639" s="3"/>
      <c r="G5639" s="3"/>
      <c r="H5639" s="3"/>
    </row>
    <row r="5640" ht="13.65" customHeight="1">
      <c r="A5640" t="s" s="5">
        <v>872</v>
      </c>
      <c r="B5640" s="3"/>
      <c r="C5640" s="3"/>
      <c r="D5640" s="3"/>
      <c r="E5640" s="3"/>
      <c r="F5640" s="3"/>
      <c r="G5640" s="3"/>
      <c r="H5640" s="3"/>
    </row>
    <row r="5641" ht="13.65" customHeight="1">
      <c r="A5641" s="11"/>
      <c r="B5641" s="11"/>
      <c r="C5641" s="11"/>
      <c r="D5641" s="11"/>
      <c r="E5641" s="11"/>
      <c r="F5641" s="11"/>
      <c r="G5641" s="11"/>
      <c r="H5641" s="3"/>
    </row>
    <row r="5642" ht="13.65" customHeight="1">
      <c r="A5642" s="12"/>
      <c r="B5642" s="12"/>
      <c r="C5642" s="13"/>
      <c r="D5642" s="14"/>
      <c r="E5642" s="13"/>
      <c r="F5642" s="13"/>
      <c r="G5642" t="s" s="14">
        <v>252</v>
      </c>
      <c r="H5642" s="150"/>
    </row>
    <row r="5643" ht="13.65" customHeight="1">
      <c r="A5643" t="s" s="16">
        <v>93</v>
      </c>
      <c r="B5643" t="s" s="16">
        <v>94</v>
      </c>
      <c r="C5643" t="s" s="16">
        <v>95</v>
      </c>
      <c r="D5643" t="s" s="16">
        <v>96</v>
      </c>
      <c r="E5643" t="s" s="16">
        <v>97</v>
      </c>
      <c r="F5643" t="s" s="16">
        <v>98</v>
      </c>
      <c r="G5643" t="s" s="16">
        <v>99</v>
      </c>
      <c r="H5643" s="15"/>
    </row>
    <row r="5644" ht="13.65" customHeight="1">
      <c r="A5644" s="151"/>
      <c r="B5644" s="151"/>
      <c r="C5644" s="19"/>
      <c r="D5644" s="20"/>
      <c r="E5644" s="19"/>
      <c r="F5644" s="19"/>
      <c r="G5644" t="s" s="20">
        <v>100</v>
      </c>
      <c r="H5644" s="15"/>
    </row>
    <row r="5645" ht="13.65" customHeight="1">
      <c r="A5645" s="21">
        <v>72</v>
      </c>
      <c r="B5645" t="s" s="22">
        <v>101</v>
      </c>
      <c r="C5645" s="23">
        <v>50</v>
      </c>
      <c r="D5645" t="s" s="24">
        <v>274</v>
      </c>
      <c r="E5645" s="25">
        <v>1.93</v>
      </c>
      <c r="F5645" s="23">
        <v>12.5</v>
      </c>
      <c r="G5645" s="152" cm="1">
        <f t="array" ref="G5645">SUM(E5645/F5645)</f>
        <v>0.1544</v>
      </c>
      <c r="H5645" s="15"/>
    </row>
    <row r="5646" ht="13.65" customHeight="1">
      <c r="A5646" s="21">
        <v>123</v>
      </c>
      <c r="B5646" t="s" s="22">
        <v>103</v>
      </c>
      <c r="C5646" s="23">
        <v>40</v>
      </c>
      <c r="D5646" t="s" s="24">
        <v>102</v>
      </c>
      <c r="E5646" s="25">
        <v>3.2</v>
      </c>
      <c r="F5646" s="23">
        <v>20</v>
      </c>
      <c r="G5646" s="152" cm="1">
        <f t="array" ref="G5646">SUM(E5646/F5646)</f>
        <v>0.16</v>
      </c>
      <c r="H5646" s="15"/>
    </row>
    <row r="5647" ht="13.65" customHeight="1">
      <c r="A5647" s="21">
        <v>65</v>
      </c>
      <c r="B5647" t="s" s="22">
        <v>394</v>
      </c>
      <c r="C5647" s="23">
        <v>500</v>
      </c>
      <c r="D5647" t="s" s="24">
        <v>633</v>
      </c>
      <c r="E5647" s="25">
        <v>26</v>
      </c>
      <c r="F5647" s="23">
        <v>16.6</v>
      </c>
      <c r="G5647" s="152" cm="1">
        <f t="array" ref="G5647">SUM(E5647/F5647)</f>
        <v>1.56626506024096</v>
      </c>
      <c r="H5647" s="15"/>
    </row>
    <row r="5648" ht="13.65" customHeight="1">
      <c r="A5648" s="21">
        <v>140</v>
      </c>
      <c r="B5648" t="s" s="22">
        <v>470</v>
      </c>
      <c r="C5648" t="s" s="24">
        <v>108</v>
      </c>
      <c r="D5648" t="s" s="24">
        <v>102</v>
      </c>
      <c r="E5648" s="25">
        <v>1.12</v>
      </c>
      <c r="F5648" t="s" s="24">
        <v>387</v>
      </c>
      <c r="G5648" s="152" cm="1">
        <f t="array" ref="G5648">SUM(E5648*2)</f>
        <v>2.24</v>
      </c>
      <c r="H5648" s="15"/>
    </row>
    <row r="5649" ht="13.65" customHeight="1">
      <c r="A5649" s="21">
        <v>71</v>
      </c>
      <c r="B5649" t="s" s="22">
        <v>109</v>
      </c>
      <c r="C5649" s="23">
        <v>10</v>
      </c>
      <c r="D5649" t="s" s="24">
        <v>102</v>
      </c>
      <c r="E5649" s="25">
        <v>5.92</v>
      </c>
      <c r="F5649" s="23">
        <v>5</v>
      </c>
      <c r="G5649" s="152" cm="1">
        <f t="array" ref="G5649">SUM(E5649/F5649)</f>
        <v>1.184</v>
      </c>
      <c r="H5649" s="15"/>
    </row>
    <row r="5650" ht="13.65" customHeight="1">
      <c r="A5650" s="21">
        <v>87</v>
      </c>
      <c r="B5650" t="s" s="22">
        <v>110</v>
      </c>
      <c r="C5650" s="23">
        <v>50</v>
      </c>
      <c r="D5650" t="s" s="24">
        <v>102</v>
      </c>
      <c r="E5650" s="25">
        <v>9</v>
      </c>
      <c r="F5650" s="23">
        <v>25</v>
      </c>
      <c r="G5650" s="152" cm="1">
        <f t="array" ref="G5650">SUM(E5650/F5650)</f>
        <v>0.36</v>
      </c>
      <c r="H5650" s="15"/>
    </row>
    <row r="5651" ht="13.65" customHeight="1">
      <c r="A5651" s="21">
        <v>55</v>
      </c>
      <c r="B5651" t="s" s="22">
        <v>111</v>
      </c>
      <c r="C5651" t="s" s="24">
        <v>112</v>
      </c>
      <c r="D5651" t="s" s="24">
        <v>461</v>
      </c>
      <c r="E5651" s="25">
        <v>2.71</v>
      </c>
      <c r="F5651" s="23">
        <v>37.5</v>
      </c>
      <c r="G5651" s="152" cm="1">
        <f t="array" ref="G5651">SUM(E5651/F5651)</f>
        <v>0.0722666666666667</v>
      </c>
      <c r="H5651" s="15"/>
    </row>
    <row r="5652" ht="13.65" customHeight="1">
      <c r="A5652" s="21">
        <v>10</v>
      </c>
      <c r="B5652" t="s" s="22">
        <v>395</v>
      </c>
      <c r="C5652" t="s" s="24">
        <v>396</v>
      </c>
      <c r="D5652" t="s" s="24">
        <v>397</v>
      </c>
      <c r="E5652" s="25">
        <v>3.92</v>
      </c>
      <c r="F5652" s="23">
        <v>50</v>
      </c>
      <c r="G5652" s="152" cm="1">
        <f t="array" ref="G5652">SUM(E5652/F5652)</f>
        <v>0.0784</v>
      </c>
      <c r="H5652" s="15"/>
    </row>
    <row r="5653" ht="13.65" customHeight="1">
      <c r="A5653" s="21">
        <v>9</v>
      </c>
      <c r="B5653" t="s" s="22">
        <v>692</v>
      </c>
      <c r="C5653" s="23">
        <v>50</v>
      </c>
      <c r="D5653" t="s" s="24">
        <v>274</v>
      </c>
      <c r="E5653" s="25">
        <v>14</v>
      </c>
      <c r="F5653" s="23">
        <v>12.5</v>
      </c>
      <c r="G5653" s="152" cm="1">
        <f t="array" ref="G5653">SUM(E5653/F5653)</f>
        <v>1.12</v>
      </c>
      <c r="H5653" s="15"/>
    </row>
    <row r="5654" ht="13.65" customHeight="1">
      <c r="A5654" s="21">
        <v>6</v>
      </c>
      <c r="B5654" t="s" s="22">
        <v>399</v>
      </c>
      <c r="C5654" s="23">
        <v>100</v>
      </c>
      <c r="D5654" t="s" s="24">
        <v>104</v>
      </c>
      <c r="E5654" s="25">
        <v>19</v>
      </c>
      <c r="F5654" s="23">
        <v>100</v>
      </c>
      <c r="G5654" s="152" cm="1">
        <f t="array" ref="G5654">SUM(E5654/F5654)</f>
        <v>0.19</v>
      </c>
      <c r="H5654" s="15"/>
    </row>
    <row r="5655" ht="13.65" customHeight="1">
      <c r="A5655" s="21">
        <v>23</v>
      </c>
      <c r="B5655" t="s" s="22">
        <v>488</v>
      </c>
      <c r="C5655" s="23">
        <v>1</v>
      </c>
      <c r="D5655" t="s" s="24">
        <v>104</v>
      </c>
      <c r="E5655" s="25">
        <v>11</v>
      </c>
      <c r="F5655" s="23">
        <v>1</v>
      </c>
      <c r="G5655" s="152" cm="1">
        <f t="array" ref="G5655">SUM(E5655/F5655)</f>
        <v>11</v>
      </c>
      <c r="H5655" s="15"/>
    </row>
    <row r="5656" ht="13.65" customHeight="1">
      <c r="A5656" s="21">
        <v>119</v>
      </c>
      <c r="B5656" t="s" s="22">
        <v>467</v>
      </c>
      <c r="C5656" s="23">
        <v>1</v>
      </c>
      <c r="D5656" t="s" s="24">
        <v>468</v>
      </c>
      <c r="E5656" s="25">
        <v>0.45</v>
      </c>
      <c r="F5656" s="23">
        <v>1</v>
      </c>
      <c r="G5656" s="152" cm="1">
        <f t="array" ref="G5656">SUM(E5656/F5656)</f>
        <v>0.45</v>
      </c>
      <c r="H5656" s="15"/>
    </row>
    <row r="5657" ht="13.65" customHeight="1">
      <c r="A5657" s="21">
        <v>122</v>
      </c>
      <c r="B5657" t="s" s="22">
        <v>489</v>
      </c>
      <c r="C5657" t="s" s="24">
        <v>490</v>
      </c>
      <c r="D5657" t="s" s="24">
        <v>648</v>
      </c>
      <c r="E5657" s="25">
        <v>1.7</v>
      </c>
      <c r="F5657" s="23">
        <v>16</v>
      </c>
      <c r="G5657" s="152" cm="1">
        <f t="array" ref="G5657">SUM(E5657/F5657)</f>
        <v>0.10625</v>
      </c>
      <c r="H5657" s="15"/>
    </row>
    <row r="5658" ht="13.65" customHeight="1">
      <c r="A5658" s="21">
        <v>136</v>
      </c>
      <c r="B5658" t="s" s="22">
        <v>696</v>
      </c>
      <c r="C5658" t="s" s="24">
        <v>408</v>
      </c>
      <c r="D5658" t="s" s="24">
        <v>495</v>
      </c>
      <c r="E5658" s="25">
        <v>243</v>
      </c>
      <c r="F5658" s="23">
        <v>20</v>
      </c>
      <c r="G5658" s="152" cm="1">
        <f t="array" ref="G5658">SUM(E5658/F5658)</f>
        <v>12.15</v>
      </c>
      <c r="H5658" s="15"/>
    </row>
    <row r="5659" ht="13.65" customHeight="1">
      <c r="A5659" s="21">
        <v>56</v>
      </c>
      <c r="B5659" t="s" s="22">
        <v>471</v>
      </c>
      <c r="C5659" s="23">
        <v>1</v>
      </c>
      <c r="D5659" t="s" s="24">
        <v>104</v>
      </c>
      <c r="E5659" s="25">
        <v>3.5</v>
      </c>
      <c r="F5659" s="23">
        <v>1</v>
      </c>
      <c r="G5659" s="152" cm="1">
        <f t="array" ref="G5659">SUM(E5659/F5659)</f>
        <v>3.5</v>
      </c>
      <c r="H5659" s="15"/>
    </row>
    <row r="5660" ht="13.65" customHeight="1">
      <c r="A5660" s="21">
        <v>78</v>
      </c>
      <c r="B5660" t="s" s="22">
        <v>492</v>
      </c>
      <c r="C5660" s="23">
        <v>1</v>
      </c>
      <c r="D5660" t="s" s="24">
        <v>104</v>
      </c>
      <c r="E5660" s="25">
        <v>1</v>
      </c>
      <c r="F5660" s="23">
        <v>1</v>
      </c>
      <c r="G5660" s="152" cm="1">
        <f t="array" ref="G5660">SUM(E5660/F5660)</f>
        <v>1</v>
      </c>
      <c r="H5660" s="15"/>
    </row>
    <row r="5661" ht="13.65" customHeight="1">
      <c r="A5661" s="21">
        <v>36</v>
      </c>
      <c r="B5661" t="s" s="22">
        <v>496</v>
      </c>
      <c r="C5661" t="s" s="24">
        <v>497</v>
      </c>
      <c r="D5661" t="s" s="24">
        <v>648</v>
      </c>
      <c r="E5661" s="25">
        <v>13</v>
      </c>
      <c r="F5661" s="23">
        <v>8</v>
      </c>
      <c r="G5661" s="152" cm="1">
        <f t="array" ref="G5661">SUM(E5661/F5661)</f>
        <v>1.625</v>
      </c>
      <c r="H5661" s="15"/>
    </row>
    <row r="5662" ht="13.65" customHeight="1">
      <c r="A5662" s="21">
        <v>16</v>
      </c>
      <c r="B5662" t="s" s="22">
        <v>693</v>
      </c>
      <c r="C5662" s="23">
        <v>6</v>
      </c>
      <c r="D5662" t="s" s="24">
        <v>694</v>
      </c>
      <c r="E5662" s="25">
        <v>41</v>
      </c>
      <c r="F5662" s="23">
        <v>10</v>
      </c>
      <c r="G5662" s="152" cm="1">
        <f t="array" ref="G5662">SUM(E5662/F5662)</f>
        <v>4.1</v>
      </c>
      <c r="H5662" s="15"/>
    </row>
    <row r="5663" ht="13.65" customHeight="1">
      <c r="A5663" s="28"/>
      <c r="B5663" s="28"/>
      <c r="C5663" s="27"/>
      <c r="D5663" s="24"/>
      <c r="E5663" s="27"/>
      <c r="F5663" t="s" s="29">
        <v>118</v>
      </c>
      <c r="G5663" s="197" cm="1">
        <f t="array" ref="G5663">SUM(G5645:G5662)</f>
        <v>41.0565817269076</v>
      </c>
      <c r="H5663" s="15"/>
    </row>
    <row r="5664" ht="13.65" customHeight="1">
      <c r="A5664" s="129"/>
      <c r="B5664" s="129"/>
      <c r="C5664" s="129"/>
      <c r="D5664" s="129"/>
      <c r="E5664" s="129"/>
      <c r="F5664" s="31"/>
      <c r="G5664" s="31"/>
      <c r="H5664" s="3"/>
    </row>
    <row r="5665" ht="11.7" customHeight="1">
      <c r="A5665" t="s" s="167">
        <v>136</v>
      </c>
      <c r="B5665" t="s" s="167">
        <v>281</v>
      </c>
      <c r="C5665" t="s" s="167">
        <v>282</v>
      </c>
      <c r="D5665" t="s" s="168">
        <v>283</v>
      </c>
      <c r="E5665" s="169"/>
      <c r="F5665" s="170"/>
      <c r="G5665" s="171"/>
      <c r="H5665" s="171"/>
    </row>
    <row r="5666" ht="13.65" customHeight="1">
      <c r="A5666" s="23">
        <v>170</v>
      </c>
      <c r="B5666" s="172" cm="1">
        <f t="array" ref="B5666">SUM(H256)</f>
        <v>2.47496540404041</v>
      </c>
      <c r="C5666" s="172" cm="1">
        <f t="array" ref="C5666">SUM(G5663)</f>
        <v>41.0565817269076</v>
      </c>
      <c r="D5666" s="199" cm="1">
        <f t="array" ref="D5666">SUM(A5666*B5666)+(C5666)</f>
        <v>461.800700413777</v>
      </c>
      <c r="E5666" s="200"/>
      <c r="F5666" s="15"/>
      <c r="G5666" s="3"/>
      <c r="H5666" s="3"/>
    </row>
    <row r="5667" ht="13.65" customHeight="1">
      <c r="A5667" s="31"/>
      <c r="B5667" s="31"/>
      <c r="C5667" s="31"/>
      <c r="D5667" s="31"/>
      <c r="E5667" s="31"/>
      <c r="F5667" s="3"/>
      <c r="G5667" s="3"/>
      <c r="H5667" s="3"/>
    </row>
    <row r="5668" ht="13.65" customHeight="1">
      <c r="A5668" s="3"/>
      <c r="B5668" s="3"/>
      <c r="C5668" s="3"/>
      <c r="D5668" s="3"/>
      <c r="E5668" s="3"/>
      <c r="F5668" s="3"/>
      <c r="G5668" s="3"/>
      <c r="H5668" s="3"/>
    </row>
    <row r="5669" ht="13.65" customHeight="1">
      <c r="A5669" t="s" s="5">
        <v>873</v>
      </c>
      <c r="B5669" s="3"/>
      <c r="C5669" s="3"/>
      <c r="D5669" s="3"/>
      <c r="E5669" s="3"/>
      <c r="F5669" s="3"/>
      <c r="G5669" s="3"/>
      <c r="H5669" s="3"/>
    </row>
    <row r="5670" ht="13.65" customHeight="1">
      <c r="A5670" s="11"/>
      <c r="B5670" s="11"/>
      <c r="C5670" s="11"/>
      <c r="D5670" s="11"/>
      <c r="E5670" s="11"/>
      <c r="F5670" s="11"/>
      <c r="G5670" s="11"/>
      <c r="H5670" s="3"/>
    </row>
    <row r="5671" ht="13.65" customHeight="1">
      <c r="A5671" s="12"/>
      <c r="B5671" s="12"/>
      <c r="C5671" s="13"/>
      <c r="D5671" s="14"/>
      <c r="E5671" s="13"/>
      <c r="F5671" s="13"/>
      <c r="G5671" t="s" s="14">
        <v>252</v>
      </c>
      <c r="H5671" s="150"/>
    </row>
    <row r="5672" ht="13.65" customHeight="1">
      <c r="A5672" t="s" s="16">
        <v>93</v>
      </c>
      <c r="B5672" t="s" s="16">
        <v>94</v>
      </c>
      <c r="C5672" t="s" s="16">
        <v>95</v>
      </c>
      <c r="D5672" t="s" s="16">
        <v>96</v>
      </c>
      <c r="E5672" t="s" s="16">
        <v>97</v>
      </c>
      <c r="F5672" t="s" s="16">
        <v>98</v>
      </c>
      <c r="G5672" t="s" s="16">
        <v>99</v>
      </c>
      <c r="H5672" s="15"/>
    </row>
    <row r="5673" ht="13.65" customHeight="1">
      <c r="A5673" s="151"/>
      <c r="B5673" s="151"/>
      <c r="C5673" s="19"/>
      <c r="D5673" s="20"/>
      <c r="E5673" s="19"/>
      <c r="F5673" s="19"/>
      <c r="G5673" t="s" s="20">
        <v>100</v>
      </c>
      <c r="H5673" s="15"/>
    </row>
    <row r="5674" ht="13.65" customHeight="1">
      <c r="A5674" s="21">
        <v>72</v>
      </c>
      <c r="B5674" t="s" s="22">
        <v>101</v>
      </c>
      <c r="C5674" s="23">
        <v>50</v>
      </c>
      <c r="D5674" t="s" s="24">
        <v>274</v>
      </c>
      <c r="E5674" s="25">
        <v>1.93</v>
      </c>
      <c r="F5674" s="23">
        <v>12.5</v>
      </c>
      <c r="G5674" s="152" cm="1">
        <f t="array" ref="G5674">SUM(E5674/F5674)</f>
        <v>0.1544</v>
      </c>
      <c r="H5674" s="15"/>
    </row>
    <row r="5675" ht="13.65" customHeight="1">
      <c r="A5675" s="21">
        <v>123</v>
      </c>
      <c r="B5675" t="s" s="22">
        <v>103</v>
      </c>
      <c r="C5675" s="23">
        <v>40</v>
      </c>
      <c r="D5675" t="s" s="24">
        <v>102</v>
      </c>
      <c r="E5675" s="25">
        <v>3.2</v>
      </c>
      <c r="F5675" s="23">
        <v>20</v>
      </c>
      <c r="G5675" s="152" cm="1">
        <f t="array" ref="G5675">SUM(E5675/F5675)</f>
        <v>0.16</v>
      </c>
      <c r="H5675" s="15"/>
    </row>
    <row r="5676" ht="13.65" customHeight="1">
      <c r="A5676" s="21">
        <v>65</v>
      </c>
      <c r="B5676" t="s" s="22">
        <v>394</v>
      </c>
      <c r="C5676" s="23">
        <v>500</v>
      </c>
      <c r="D5676" t="s" s="24">
        <v>633</v>
      </c>
      <c r="E5676" s="25">
        <v>26</v>
      </c>
      <c r="F5676" s="23">
        <v>16.6</v>
      </c>
      <c r="G5676" s="152" cm="1">
        <f t="array" ref="G5676">SUM(E5676/F5676)</f>
        <v>1.56626506024096</v>
      </c>
      <c r="H5676" s="15"/>
    </row>
    <row r="5677" ht="13.65" customHeight="1">
      <c r="A5677" s="21">
        <v>140</v>
      </c>
      <c r="B5677" t="s" s="22">
        <v>470</v>
      </c>
      <c r="C5677" t="s" s="24">
        <v>108</v>
      </c>
      <c r="D5677" t="s" s="24">
        <v>102</v>
      </c>
      <c r="E5677" s="25">
        <v>1.12</v>
      </c>
      <c r="F5677" t="s" s="24">
        <v>387</v>
      </c>
      <c r="G5677" s="152" cm="1">
        <f t="array" ref="G5677">SUM(E5677*2)</f>
        <v>2.24</v>
      </c>
      <c r="H5677" s="15"/>
    </row>
    <row r="5678" ht="13.65" customHeight="1">
      <c r="A5678" s="21">
        <v>71</v>
      </c>
      <c r="B5678" t="s" s="22">
        <v>109</v>
      </c>
      <c r="C5678" s="23">
        <v>10</v>
      </c>
      <c r="D5678" t="s" s="24">
        <v>102</v>
      </c>
      <c r="E5678" s="25">
        <v>5.92</v>
      </c>
      <c r="F5678" s="23">
        <v>5</v>
      </c>
      <c r="G5678" s="152" cm="1">
        <f t="array" ref="G5678">SUM(E5678/F5678)</f>
        <v>1.184</v>
      </c>
      <c r="H5678" s="15"/>
    </row>
    <row r="5679" ht="13.65" customHeight="1">
      <c r="A5679" s="21">
        <v>87</v>
      </c>
      <c r="B5679" t="s" s="22">
        <v>110</v>
      </c>
      <c r="C5679" s="23">
        <v>50</v>
      </c>
      <c r="D5679" t="s" s="24">
        <v>102</v>
      </c>
      <c r="E5679" s="25">
        <v>9</v>
      </c>
      <c r="F5679" s="23">
        <v>25</v>
      </c>
      <c r="G5679" s="152" cm="1">
        <f t="array" ref="G5679">SUM(E5679/F5679)</f>
        <v>0.36</v>
      </c>
      <c r="H5679" s="15"/>
    </row>
    <row r="5680" ht="13.65" customHeight="1">
      <c r="A5680" s="21">
        <v>55</v>
      </c>
      <c r="B5680" t="s" s="22">
        <v>111</v>
      </c>
      <c r="C5680" t="s" s="24">
        <v>112</v>
      </c>
      <c r="D5680" t="s" s="24">
        <v>461</v>
      </c>
      <c r="E5680" s="25">
        <v>2.71</v>
      </c>
      <c r="F5680" s="23">
        <v>37.5</v>
      </c>
      <c r="G5680" s="152" cm="1">
        <f t="array" ref="G5680">SUM(E5680/F5680)</f>
        <v>0.0722666666666667</v>
      </c>
      <c r="H5680" s="15"/>
    </row>
    <row r="5681" ht="13.65" customHeight="1">
      <c r="A5681" s="21">
        <v>10</v>
      </c>
      <c r="B5681" t="s" s="22">
        <v>395</v>
      </c>
      <c r="C5681" t="s" s="24">
        <v>396</v>
      </c>
      <c r="D5681" t="s" s="24">
        <v>397</v>
      </c>
      <c r="E5681" s="25">
        <v>3.92</v>
      </c>
      <c r="F5681" s="23">
        <v>50</v>
      </c>
      <c r="G5681" s="152" cm="1">
        <f t="array" ref="G5681">SUM(E5681/F5681)</f>
        <v>0.0784</v>
      </c>
      <c r="H5681" s="15"/>
    </row>
    <row r="5682" ht="13.65" customHeight="1">
      <c r="A5682" s="21">
        <v>9</v>
      </c>
      <c r="B5682" t="s" s="22">
        <v>692</v>
      </c>
      <c r="C5682" s="23">
        <v>50</v>
      </c>
      <c r="D5682" t="s" s="24">
        <v>274</v>
      </c>
      <c r="E5682" s="25">
        <v>14</v>
      </c>
      <c r="F5682" s="23">
        <v>12.5</v>
      </c>
      <c r="G5682" s="152" cm="1">
        <f t="array" ref="G5682">SUM(E5682/F5682)</f>
        <v>1.12</v>
      </c>
      <c r="H5682" s="15"/>
    </row>
    <row r="5683" ht="13.65" customHeight="1">
      <c r="A5683" s="21">
        <v>6</v>
      </c>
      <c r="B5683" t="s" s="22">
        <v>399</v>
      </c>
      <c r="C5683" s="23">
        <v>100</v>
      </c>
      <c r="D5683" t="s" s="24">
        <v>104</v>
      </c>
      <c r="E5683" s="25">
        <v>19</v>
      </c>
      <c r="F5683" s="23">
        <v>100</v>
      </c>
      <c r="G5683" s="152" cm="1">
        <f t="array" ref="G5683">SUM(E5683/F5683)</f>
        <v>0.19</v>
      </c>
      <c r="H5683" s="15"/>
    </row>
    <row r="5684" ht="13.65" customHeight="1">
      <c r="A5684" s="21">
        <v>23</v>
      </c>
      <c r="B5684" t="s" s="22">
        <v>488</v>
      </c>
      <c r="C5684" s="23">
        <v>1</v>
      </c>
      <c r="D5684" t="s" s="24">
        <v>104</v>
      </c>
      <c r="E5684" s="25">
        <v>11</v>
      </c>
      <c r="F5684" s="23">
        <v>1</v>
      </c>
      <c r="G5684" s="152" cm="1">
        <f t="array" ref="G5684">SUM(E5684/F5684)</f>
        <v>11</v>
      </c>
      <c r="H5684" s="15"/>
    </row>
    <row r="5685" ht="13.65" customHeight="1">
      <c r="A5685" s="21">
        <v>119</v>
      </c>
      <c r="B5685" t="s" s="22">
        <v>467</v>
      </c>
      <c r="C5685" s="23">
        <v>1</v>
      </c>
      <c r="D5685" t="s" s="24">
        <v>468</v>
      </c>
      <c r="E5685" s="25">
        <v>0.45</v>
      </c>
      <c r="F5685" s="23">
        <v>1</v>
      </c>
      <c r="G5685" s="152" cm="1">
        <f t="array" ref="G5685">SUM(E5685/F5685)</f>
        <v>0.45</v>
      </c>
      <c r="H5685" s="15"/>
    </row>
    <row r="5686" ht="13.65" customHeight="1">
      <c r="A5686" s="21">
        <v>122</v>
      </c>
      <c r="B5686" t="s" s="22">
        <v>489</v>
      </c>
      <c r="C5686" t="s" s="24">
        <v>490</v>
      </c>
      <c r="D5686" t="s" s="24">
        <v>390</v>
      </c>
      <c r="E5686" s="25">
        <v>1.7</v>
      </c>
      <c r="F5686" s="23">
        <v>50</v>
      </c>
      <c r="G5686" s="152" cm="1">
        <f t="array" ref="G5686">SUM(E5686/F5686)</f>
        <v>0.034</v>
      </c>
      <c r="H5686" s="15"/>
    </row>
    <row r="5687" ht="13.65" customHeight="1">
      <c r="A5687" s="21">
        <v>56</v>
      </c>
      <c r="B5687" t="s" s="22">
        <v>471</v>
      </c>
      <c r="C5687" s="23">
        <v>1</v>
      </c>
      <c r="D5687" t="s" s="24">
        <v>104</v>
      </c>
      <c r="E5687" s="25">
        <v>3.5</v>
      </c>
      <c r="F5687" s="23">
        <v>1</v>
      </c>
      <c r="G5687" s="152" cm="1">
        <f t="array" ref="G5687">SUM(E5687/F5687)</f>
        <v>3.5</v>
      </c>
      <c r="H5687" s="15"/>
    </row>
    <row r="5688" ht="13.65" customHeight="1">
      <c r="A5688" s="21">
        <v>78</v>
      </c>
      <c r="B5688" t="s" s="22">
        <v>492</v>
      </c>
      <c r="C5688" s="23">
        <v>1</v>
      </c>
      <c r="D5688" t="s" s="24">
        <v>104</v>
      </c>
      <c r="E5688" s="25">
        <v>1</v>
      </c>
      <c r="F5688" s="23">
        <v>1</v>
      </c>
      <c r="G5688" s="152" cm="1">
        <f t="array" ref="G5688">SUM(E5688/F5688)</f>
        <v>1</v>
      </c>
      <c r="H5688" s="15"/>
    </row>
    <row r="5689" ht="13.65" customHeight="1">
      <c r="A5689" s="21">
        <v>36</v>
      </c>
      <c r="B5689" t="s" s="22">
        <v>496</v>
      </c>
      <c r="C5689" t="s" s="24">
        <v>497</v>
      </c>
      <c r="D5689" t="s" s="24">
        <v>498</v>
      </c>
      <c r="E5689" s="25">
        <v>13</v>
      </c>
      <c r="F5689" s="23">
        <v>16</v>
      </c>
      <c r="G5689" s="152" cm="1">
        <f t="array" ref="G5689">SUM(E5689/F5689)</f>
        <v>0.8125</v>
      </c>
      <c r="H5689" s="15"/>
    </row>
    <row r="5690" ht="13.65" customHeight="1">
      <c r="A5690" s="21">
        <v>16</v>
      </c>
      <c r="B5690" t="s" s="22">
        <v>693</v>
      </c>
      <c r="C5690" s="23">
        <v>6</v>
      </c>
      <c r="D5690" t="s" s="24">
        <v>694</v>
      </c>
      <c r="E5690" s="25">
        <v>41</v>
      </c>
      <c r="F5690" s="23">
        <v>10</v>
      </c>
      <c r="G5690" s="152" cm="1">
        <f t="array" ref="G5690">SUM(E5690/F5690)</f>
        <v>4.1</v>
      </c>
      <c r="H5690" s="15"/>
    </row>
    <row r="5691" ht="13.65" customHeight="1">
      <c r="A5691" s="28"/>
      <c r="B5691" s="28"/>
      <c r="C5691" s="27"/>
      <c r="D5691" s="24"/>
      <c r="E5691" s="27"/>
      <c r="F5691" t="s" s="29">
        <v>118</v>
      </c>
      <c r="G5691" s="197" cm="1">
        <f t="array" ref="G5691">SUM(G5674:G5690)</f>
        <v>28.0218317269076</v>
      </c>
      <c r="H5691" s="15"/>
    </row>
    <row r="5692" ht="13.65" customHeight="1">
      <c r="A5692" s="129"/>
      <c r="B5692" s="129"/>
      <c r="C5692" s="129"/>
      <c r="D5692" s="129"/>
      <c r="E5692" s="129"/>
      <c r="F5692" s="31"/>
      <c r="G5692" s="31"/>
      <c r="H5692" s="293"/>
    </row>
    <row r="5693" ht="11.7" customHeight="1">
      <c r="A5693" t="s" s="167">
        <v>136</v>
      </c>
      <c r="B5693" t="s" s="167">
        <v>281</v>
      </c>
      <c r="C5693" t="s" s="167">
        <v>282</v>
      </c>
      <c r="D5693" t="s" s="168">
        <v>283</v>
      </c>
      <c r="E5693" s="169"/>
      <c r="F5693" s="170"/>
      <c r="G5693" s="171"/>
      <c r="H5693" s="171"/>
    </row>
    <row r="5694" ht="13.65" customHeight="1">
      <c r="A5694" s="23">
        <v>190</v>
      </c>
      <c r="B5694" s="172" cm="1">
        <f t="array" ref="B5694">SUM(H256)</f>
        <v>2.47496540404041</v>
      </c>
      <c r="C5694" s="172" cm="1">
        <f t="array" ref="C5694">SUM(G5691)</f>
        <v>28.0218317269076</v>
      </c>
      <c r="D5694" s="199" cm="1">
        <f t="array" ref="D5694">SUM(A5694*B5694)+(C5694)</f>
        <v>498.265258494586</v>
      </c>
      <c r="E5694" s="200"/>
      <c r="F5694" s="15"/>
      <c r="G5694" s="3"/>
      <c r="H5694" s="3"/>
    </row>
    <row r="5695" ht="13.65" customHeight="1">
      <c r="A5695" s="31"/>
      <c r="B5695" s="31"/>
      <c r="C5695" s="31"/>
      <c r="D5695" s="31"/>
      <c r="E5695" s="31"/>
      <c r="F5695" s="3"/>
      <c r="G5695" s="3"/>
      <c r="H5695" s="3"/>
    </row>
    <row r="5696" ht="13.65" customHeight="1">
      <c r="A5696" s="203"/>
      <c r="B5696" s="203"/>
      <c r="C5696" s="203"/>
      <c r="D5696" s="203"/>
      <c r="E5696" s="203"/>
      <c r="F5696" s="203"/>
      <c r="G5696" s="203"/>
      <c r="H5696" s="203"/>
    </row>
    <row r="5697" ht="13.65" customHeight="1">
      <c r="A5697" t="s" s="274">
        <v>185</v>
      </c>
      <c r="B5697" s="275"/>
      <c r="C5697" s="275"/>
      <c r="D5697" s="275"/>
      <c r="E5697" s="280"/>
      <c r="F5697" s="275"/>
      <c r="G5697" s="275"/>
      <c r="H5697" s="277"/>
    </row>
    <row r="5698" ht="13.65" customHeight="1">
      <c r="A5698" s="278"/>
      <c r="B5698" s="278"/>
      <c r="C5698" s="278"/>
      <c r="D5698" s="278"/>
      <c r="E5698" s="278"/>
      <c r="F5698" s="278"/>
      <c r="G5698" s="278"/>
      <c r="H5698" s="278"/>
    </row>
    <row r="5699" ht="13.65" customHeight="1">
      <c r="A5699" s="3"/>
      <c r="B5699" s="3"/>
      <c r="C5699" s="3"/>
      <c r="D5699" s="3"/>
      <c r="E5699" s="3"/>
      <c r="F5699" s="3"/>
      <c r="G5699" s="3"/>
      <c r="H5699" s="3"/>
    </row>
    <row r="5700" ht="13.65" customHeight="1">
      <c r="A5700" t="s" s="5">
        <v>874</v>
      </c>
      <c r="B5700" s="3"/>
      <c r="C5700" s="3"/>
      <c r="D5700" s="3"/>
      <c r="E5700" s="3"/>
      <c r="F5700" s="3"/>
      <c r="G5700" s="3"/>
      <c r="H5700" s="3"/>
    </row>
    <row r="5701" ht="13.65" customHeight="1">
      <c r="A5701" s="11"/>
      <c r="B5701" s="11"/>
      <c r="C5701" s="11"/>
      <c r="D5701" s="11"/>
      <c r="E5701" s="11"/>
      <c r="F5701" s="11"/>
      <c r="G5701" s="11"/>
      <c r="H5701" s="3"/>
    </row>
    <row r="5702" ht="13.65" customHeight="1">
      <c r="A5702" s="12"/>
      <c r="B5702" s="12"/>
      <c r="C5702" s="13"/>
      <c r="D5702" s="14"/>
      <c r="E5702" s="13"/>
      <c r="F5702" s="13"/>
      <c r="G5702" t="s" s="14">
        <v>252</v>
      </c>
      <c r="H5702" s="150"/>
    </row>
    <row r="5703" ht="13.65" customHeight="1">
      <c r="A5703" t="s" s="16">
        <v>93</v>
      </c>
      <c r="B5703" t="s" s="16">
        <v>94</v>
      </c>
      <c r="C5703" t="s" s="16">
        <v>95</v>
      </c>
      <c r="D5703" t="s" s="16">
        <v>96</v>
      </c>
      <c r="E5703" t="s" s="16">
        <v>97</v>
      </c>
      <c r="F5703" t="s" s="16">
        <v>98</v>
      </c>
      <c r="G5703" t="s" s="16">
        <v>99</v>
      </c>
      <c r="H5703" s="15"/>
    </row>
    <row r="5704" ht="13.65" customHeight="1">
      <c r="A5704" s="151"/>
      <c r="B5704" s="151"/>
      <c r="C5704" s="19"/>
      <c r="D5704" s="20"/>
      <c r="E5704" s="19"/>
      <c r="F5704" s="19"/>
      <c r="G5704" t="s" s="20">
        <v>100</v>
      </c>
      <c r="H5704" s="15"/>
    </row>
    <row r="5705" ht="13.65" customHeight="1">
      <c r="A5705" s="21">
        <v>72</v>
      </c>
      <c r="B5705" t="s" s="22">
        <v>101</v>
      </c>
      <c r="C5705" s="23">
        <v>50</v>
      </c>
      <c r="D5705" t="s" s="24">
        <v>274</v>
      </c>
      <c r="E5705" s="25">
        <v>1.93</v>
      </c>
      <c r="F5705" s="23">
        <v>12.5</v>
      </c>
      <c r="G5705" s="152" cm="1">
        <f t="array" ref="G5705">SUM(E5705/F5705)</f>
        <v>0.1544</v>
      </c>
      <c r="H5705" s="15"/>
    </row>
    <row r="5706" ht="13.65" customHeight="1">
      <c r="A5706" s="21">
        <v>123</v>
      </c>
      <c r="B5706" t="s" s="22">
        <v>103</v>
      </c>
      <c r="C5706" s="23">
        <v>40</v>
      </c>
      <c r="D5706" t="s" s="24">
        <v>102</v>
      </c>
      <c r="E5706" s="25">
        <v>3.2</v>
      </c>
      <c r="F5706" s="23">
        <v>20</v>
      </c>
      <c r="G5706" s="152" cm="1">
        <f t="array" ref="G5706">SUM(E5706/F5706)</f>
        <v>0.16</v>
      </c>
      <c r="H5706" s="15"/>
    </row>
    <row r="5707" ht="13.65" customHeight="1">
      <c r="A5707" s="21">
        <v>65</v>
      </c>
      <c r="B5707" t="s" s="22">
        <v>394</v>
      </c>
      <c r="C5707" s="23">
        <v>500</v>
      </c>
      <c r="D5707" t="s" s="24">
        <v>633</v>
      </c>
      <c r="E5707" s="25">
        <v>26</v>
      </c>
      <c r="F5707" s="23">
        <v>16.6</v>
      </c>
      <c r="G5707" s="152" cm="1">
        <f t="array" ref="G5707">SUM(E5707/F5707)</f>
        <v>1.56626506024096</v>
      </c>
      <c r="H5707" s="15"/>
    </row>
    <row r="5708" ht="13.65" customHeight="1">
      <c r="A5708" s="21">
        <v>140</v>
      </c>
      <c r="B5708" t="s" s="22">
        <v>470</v>
      </c>
      <c r="C5708" t="s" s="24">
        <v>108</v>
      </c>
      <c r="D5708" t="s" s="24">
        <v>102</v>
      </c>
      <c r="E5708" s="25">
        <v>1.12</v>
      </c>
      <c r="F5708" t="s" s="24">
        <v>387</v>
      </c>
      <c r="G5708" s="152" cm="1">
        <f t="array" ref="G5708">SUM(E5708*2)</f>
        <v>2.24</v>
      </c>
      <c r="H5708" s="15"/>
    </row>
    <row r="5709" ht="13.65" customHeight="1">
      <c r="A5709" s="21">
        <v>71</v>
      </c>
      <c r="B5709" t="s" s="22">
        <v>109</v>
      </c>
      <c r="C5709" s="23">
        <v>10</v>
      </c>
      <c r="D5709" t="s" s="24">
        <v>102</v>
      </c>
      <c r="E5709" s="25">
        <v>5.92</v>
      </c>
      <c r="F5709" s="23">
        <v>5</v>
      </c>
      <c r="G5709" s="152" cm="1">
        <f t="array" ref="G5709">SUM(E5709/F5709)</f>
        <v>1.184</v>
      </c>
      <c r="H5709" s="15"/>
    </row>
    <row r="5710" ht="13.65" customHeight="1">
      <c r="A5710" s="21">
        <v>87</v>
      </c>
      <c r="B5710" t="s" s="22">
        <v>110</v>
      </c>
      <c r="C5710" s="23">
        <v>50</v>
      </c>
      <c r="D5710" t="s" s="24">
        <v>102</v>
      </c>
      <c r="E5710" s="25">
        <v>9</v>
      </c>
      <c r="F5710" s="23">
        <v>25</v>
      </c>
      <c r="G5710" s="152" cm="1">
        <f t="array" ref="G5710">SUM(E5710/F5710)</f>
        <v>0.36</v>
      </c>
      <c r="H5710" s="15"/>
    </row>
    <row r="5711" ht="13.65" customHeight="1">
      <c r="A5711" s="21">
        <v>55</v>
      </c>
      <c r="B5711" t="s" s="22">
        <v>111</v>
      </c>
      <c r="C5711" t="s" s="24">
        <v>112</v>
      </c>
      <c r="D5711" t="s" s="24">
        <v>461</v>
      </c>
      <c r="E5711" s="25">
        <v>2.71</v>
      </c>
      <c r="F5711" s="23">
        <v>37.5</v>
      </c>
      <c r="G5711" s="152" cm="1">
        <f t="array" ref="G5711">SUM(E5711/F5711)</f>
        <v>0.0722666666666667</v>
      </c>
      <c r="H5711" s="15"/>
    </row>
    <row r="5712" ht="13.65" customHeight="1">
      <c r="A5712" s="21">
        <v>10</v>
      </c>
      <c r="B5712" t="s" s="22">
        <v>395</v>
      </c>
      <c r="C5712" t="s" s="24">
        <v>396</v>
      </c>
      <c r="D5712" t="s" s="24">
        <v>397</v>
      </c>
      <c r="E5712" s="25">
        <v>3.92</v>
      </c>
      <c r="F5712" s="23">
        <v>50</v>
      </c>
      <c r="G5712" s="152" cm="1">
        <f t="array" ref="G5712">SUM(E5712/F5712)</f>
        <v>0.0784</v>
      </c>
      <c r="H5712" s="15"/>
    </row>
    <row r="5713" ht="13.65" customHeight="1">
      <c r="A5713" s="21">
        <v>9</v>
      </c>
      <c r="B5713" t="s" s="22">
        <v>692</v>
      </c>
      <c r="C5713" s="23">
        <v>50</v>
      </c>
      <c r="D5713" t="s" s="24">
        <v>274</v>
      </c>
      <c r="E5713" s="25">
        <v>14</v>
      </c>
      <c r="F5713" s="23">
        <v>12.5</v>
      </c>
      <c r="G5713" s="152" cm="1">
        <f t="array" ref="G5713">SUM(E5713/F5713)</f>
        <v>1.12</v>
      </c>
      <c r="H5713" s="15"/>
    </row>
    <row r="5714" ht="13.65" customHeight="1">
      <c r="A5714" s="21">
        <v>6</v>
      </c>
      <c r="B5714" t="s" s="22">
        <v>399</v>
      </c>
      <c r="C5714" s="23">
        <v>100</v>
      </c>
      <c r="D5714" t="s" s="24">
        <v>104</v>
      </c>
      <c r="E5714" s="25">
        <v>19</v>
      </c>
      <c r="F5714" s="23">
        <v>100</v>
      </c>
      <c r="G5714" s="152" cm="1">
        <f t="array" ref="G5714">SUM(E5714/F5714)</f>
        <v>0.19</v>
      </c>
      <c r="H5714" s="15"/>
    </row>
    <row r="5715" ht="13.65" customHeight="1">
      <c r="A5715" s="21">
        <v>23</v>
      </c>
      <c r="B5715" t="s" s="22">
        <v>488</v>
      </c>
      <c r="C5715" s="23">
        <v>1</v>
      </c>
      <c r="D5715" t="s" s="24">
        <v>104</v>
      </c>
      <c r="E5715" s="25">
        <v>11</v>
      </c>
      <c r="F5715" s="23">
        <v>1</v>
      </c>
      <c r="G5715" s="152" cm="1">
        <f t="array" ref="G5715">SUM(E5715/F5715)</f>
        <v>11</v>
      </c>
      <c r="H5715" s="15"/>
    </row>
    <row r="5716" ht="13.65" customHeight="1">
      <c r="A5716" s="21">
        <v>119</v>
      </c>
      <c r="B5716" t="s" s="22">
        <v>467</v>
      </c>
      <c r="C5716" s="23">
        <v>1</v>
      </c>
      <c r="D5716" t="s" s="24">
        <v>468</v>
      </c>
      <c r="E5716" s="25">
        <v>0.45</v>
      </c>
      <c r="F5716" s="23">
        <v>1</v>
      </c>
      <c r="G5716" s="152" cm="1">
        <f t="array" ref="G5716">SUM(E5716/F5716)</f>
        <v>0.45</v>
      </c>
      <c r="H5716" s="15"/>
    </row>
    <row r="5717" ht="13.65" customHeight="1">
      <c r="A5717" s="21">
        <v>122</v>
      </c>
      <c r="B5717" t="s" s="22">
        <v>489</v>
      </c>
      <c r="C5717" t="s" s="24">
        <v>490</v>
      </c>
      <c r="D5717" t="s" s="24">
        <v>648</v>
      </c>
      <c r="E5717" s="25">
        <v>1.7</v>
      </c>
      <c r="F5717" s="23">
        <v>16</v>
      </c>
      <c r="G5717" s="152" cm="1">
        <f t="array" ref="G5717">SUM(E5717/F5717)</f>
        <v>0.10625</v>
      </c>
      <c r="H5717" s="15"/>
    </row>
    <row r="5718" ht="13.65" customHeight="1">
      <c r="A5718" s="21">
        <v>136</v>
      </c>
      <c r="B5718" t="s" s="22">
        <v>696</v>
      </c>
      <c r="C5718" t="s" s="24">
        <v>408</v>
      </c>
      <c r="D5718" t="s" s="24">
        <v>495</v>
      </c>
      <c r="E5718" s="25">
        <v>243</v>
      </c>
      <c r="F5718" s="23">
        <v>20</v>
      </c>
      <c r="G5718" s="152" cm="1">
        <f t="array" ref="G5718">SUM(E5718/F5718)</f>
        <v>12.15</v>
      </c>
      <c r="H5718" s="15"/>
    </row>
    <row r="5719" ht="13.65" customHeight="1">
      <c r="A5719" s="21">
        <v>56</v>
      </c>
      <c r="B5719" t="s" s="22">
        <v>471</v>
      </c>
      <c r="C5719" s="23">
        <v>1</v>
      </c>
      <c r="D5719" t="s" s="24">
        <v>104</v>
      </c>
      <c r="E5719" s="25">
        <v>3.5</v>
      </c>
      <c r="F5719" s="23">
        <v>1</v>
      </c>
      <c r="G5719" s="152" cm="1">
        <f t="array" ref="G5719">SUM(E5719/F5719)</f>
        <v>3.5</v>
      </c>
      <c r="H5719" s="15"/>
    </row>
    <row r="5720" ht="13.65" customHeight="1">
      <c r="A5720" s="21">
        <v>78</v>
      </c>
      <c r="B5720" t="s" s="22">
        <v>492</v>
      </c>
      <c r="C5720" s="23">
        <v>1</v>
      </c>
      <c r="D5720" t="s" s="24">
        <v>104</v>
      </c>
      <c r="E5720" s="25">
        <v>1</v>
      </c>
      <c r="F5720" s="23">
        <v>1</v>
      </c>
      <c r="G5720" s="152" cm="1">
        <f t="array" ref="G5720">SUM(E5720/F5720)</f>
        <v>1</v>
      </c>
      <c r="H5720" s="15"/>
    </row>
    <row r="5721" ht="13.65" customHeight="1">
      <c r="A5721" s="21">
        <v>36</v>
      </c>
      <c r="B5721" t="s" s="22">
        <v>496</v>
      </c>
      <c r="C5721" t="s" s="24">
        <v>497</v>
      </c>
      <c r="D5721" t="s" s="24">
        <v>648</v>
      </c>
      <c r="E5721" s="25">
        <v>13</v>
      </c>
      <c r="F5721" s="23">
        <v>8</v>
      </c>
      <c r="G5721" s="152" cm="1">
        <f t="array" ref="G5721">SUM(E5721/F5721)</f>
        <v>1.625</v>
      </c>
      <c r="H5721" s="15"/>
    </row>
    <row r="5722" ht="13.65" customHeight="1">
      <c r="A5722" s="21">
        <v>16</v>
      </c>
      <c r="B5722" t="s" s="22">
        <v>693</v>
      </c>
      <c r="C5722" s="23">
        <v>6</v>
      </c>
      <c r="D5722" t="s" s="24">
        <v>694</v>
      </c>
      <c r="E5722" s="25">
        <v>41</v>
      </c>
      <c r="F5722" s="23">
        <v>10</v>
      </c>
      <c r="G5722" s="152" cm="1">
        <f t="array" ref="G5722">SUM(E5722/F5722)</f>
        <v>4.1</v>
      </c>
      <c r="H5722" s="15"/>
    </row>
    <row r="5723" ht="13.65" customHeight="1">
      <c r="A5723" s="28"/>
      <c r="B5723" s="28"/>
      <c r="C5723" s="27"/>
      <c r="D5723" s="24"/>
      <c r="E5723" s="27"/>
      <c r="F5723" t="s" s="29">
        <v>118</v>
      </c>
      <c r="G5723" s="197" cm="1">
        <f t="array" ref="G5723">SUM(G5705:G5722)</f>
        <v>41.0565817269076</v>
      </c>
      <c r="H5723" s="15"/>
    </row>
    <row r="5724" ht="13.65" customHeight="1">
      <c r="A5724" s="129"/>
      <c r="B5724" s="129"/>
      <c r="C5724" s="129"/>
      <c r="D5724" s="129"/>
      <c r="E5724" s="129"/>
      <c r="F5724" s="31"/>
      <c r="G5724" s="31"/>
      <c r="H5724" s="3"/>
    </row>
    <row r="5725" ht="11.7" customHeight="1">
      <c r="A5725" t="s" s="167">
        <v>136</v>
      </c>
      <c r="B5725" t="s" s="167">
        <v>281</v>
      </c>
      <c r="C5725" t="s" s="167">
        <v>282</v>
      </c>
      <c r="D5725" t="s" s="168">
        <v>283</v>
      </c>
      <c r="E5725" s="169"/>
      <c r="F5725" s="170"/>
      <c r="G5725" s="171"/>
      <c r="H5725" s="171"/>
    </row>
    <row r="5726" ht="13.65" customHeight="1">
      <c r="A5726" s="23">
        <v>200</v>
      </c>
      <c r="B5726" s="172" cm="1">
        <f t="array" ref="B5726">SUM(H256)</f>
        <v>2.47496540404041</v>
      </c>
      <c r="C5726" s="172" cm="1">
        <f t="array" ref="C5726">SUM(G5723)</f>
        <v>41.0565817269076</v>
      </c>
      <c r="D5726" s="199" cm="1">
        <f t="array" ref="D5726">SUM(A5726*B5726)+(C5726)</f>
        <v>536.049662534990</v>
      </c>
      <c r="E5726" s="200"/>
      <c r="F5726" s="15"/>
      <c r="G5726" s="3"/>
      <c r="H5726" s="3"/>
    </row>
    <row r="5727" ht="13.65" customHeight="1">
      <c r="A5727" s="31"/>
      <c r="B5727" s="31"/>
      <c r="C5727" s="31"/>
      <c r="D5727" s="31"/>
      <c r="E5727" s="31"/>
      <c r="F5727" s="3"/>
      <c r="G5727" s="3"/>
      <c r="H5727" s="3"/>
    </row>
    <row r="5728" ht="13.65" customHeight="1">
      <c r="A5728" s="3"/>
      <c r="B5728" s="3"/>
      <c r="C5728" s="3"/>
      <c r="D5728" s="3"/>
      <c r="E5728" s="3"/>
      <c r="F5728" s="3"/>
      <c r="G5728" s="3"/>
      <c r="H5728" s="3"/>
    </row>
    <row r="5729" ht="13.65" customHeight="1">
      <c r="A5729" t="s" s="5">
        <v>875</v>
      </c>
      <c r="B5729" s="3"/>
      <c r="C5729" s="3"/>
      <c r="D5729" s="3"/>
      <c r="E5729" s="3"/>
      <c r="F5729" s="3"/>
      <c r="G5729" s="3"/>
      <c r="H5729" s="3"/>
    </row>
    <row r="5730" ht="13.65" customHeight="1">
      <c r="A5730" s="11"/>
      <c r="B5730" s="11"/>
      <c r="C5730" s="11"/>
      <c r="D5730" s="11"/>
      <c r="E5730" s="11"/>
      <c r="F5730" s="11"/>
      <c r="G5730" s="11"/>
      <c r="H5730" s="3"/>
    </row>
    <row r="5731" ht="13.65" customHeight="1">
      <c r="A5731" s="12"/>
      <c r="B5731" s="12"/>
      <c r="C5731" s="13"/>
      <c r="D5731" s="14"/>
      <c r="E5731" s="13"/>
      <c r="F5731" s="13"/>
      <c r="G5731" t="s" s="14">
        <v>252</v>
      </c>
      <c r="H5731" s="150"/>
    </row>
    <row r="5732" ht="13.65" customHeight="1">
      <c r="A5732" t="s" s="16">
        <v>93</v>
      </c>
      <c r="B5732" t="s" s="16">
        <v>94</v>
      </c>
      <c r="C5732" t="s" s="16">
        <v>95</v>
      </c>
      <c r="D5732" t="s" s="16">
        <v>96</v>
      </c>
      <c r="E5732" t="s" s="16">
        <v>97</v>
      </c>
      <c r="F5732" t="s" s="16">
        <v>98</v>
      </c>
      <c r="G5732" t="s" s="16">
        <v>99</v>
      </c>
      <c r="H5732" s="15"/>
    </row>
    <row r="5733" ht="13.65" customHeight="1">
      <c r="A5733" s="151"/>
      <c r="B5733" s="151"/>
      <c r="C5733" s="19"/>
      <c r="D5733" s="20"/>
      <c r="E5733" s="19"/>
      <c r="F5733" s="19"/>
      <c r="G5733" t="s" s="20">
        <v>100</v>
      </c>
      <c r="H5733" s="15"/>
    </row>
    <row r="5734" ht="13.65" customHeight="1">
      <c r="A5734" s="21">
        <v>72</v>
      </c>
      <c r="B5734" t="s" s="22">
        <v>101</v>
      </c>
      <c r="C5734" s="23">
        <v>50</v>
      </c>
      <c r="D5734" t="s" s="24">
        <v>274</v>
      </c>
      <c r="E5734" s="25">
        <v>1.93</v>
      </c>
      <c r="F5734" s="23">
        <v>12.5</v>
      </c>
      <c r="G5734" s="152" cm="1">
        <f t="array" ref="G5734">SUM(E5734/F5734)</f>
        <v>0.1544</v>
      </c>
      <c r="H5734" s="15"/>
    </row>
    <row r="5735" ht="13.65" customHeight="1">
      <c r="A5735" s="21">
        <v>123</v>
      </c>
      <c r="B5735" t="s" s="22">
        <v>103</v>
      </c>
      <c r="C5735" s="23">
        <v>40</v>
      </c>
      <c r="D5735" t="s" s="24">
        <v>102</v>
      </c>
      <c r="E5735" s="25">
        <v>3.2</v>
      </c>
      <c r="F5735" s="23">
        <v>20</v>
      </c>
      <c r="G5735" s="152" cm="1">
        <f t="array" ref="G5735">SUM(E5735/F5735)</f>
        <v>0.16</v>
      </c>
      <c r="H5735" s="15"/>
    </row>
    <row r="5736" ht="13.65" customHeight="1">
      <c r="A5736" s="21">
        <v>57</v>
      </c>
      <c r="B5736" t="s" s="22">
        <v>253</v>
      </c>
      <c r="C5736" t="s" s="24">
        <v>254</v>
      </c>
      <c r="D5736" t="s" s="24">
        <v>371</v>
      </c>
      <c r="E5736" s="25">
        <v>4.5</v>
      </c>
      <c r="F5736" s="23">
        <v>33</v>
      </c>
      <c r="G5736" s="152" cm="1">
        <f t="array" ref="G5736">SUM(E5736/F5736)</f>
        <v>0.136363636363636</v>
      </c>
      <c r="H5736" s="15"/>
    </row>
    <row r="5737" ht="13.65" customHeight="1">
      <c r="A5737" s="21">
        <v>65</v>
      </c>
      <c r="B5737" t="s" s="22">
        <v>394</v>
      </c>
      <c r="C5737" s="23">
        <v>500</v>
      </c>
      <c r="D5737" t="s" s="24">
        <v>633</v>
      </c>
      <c r="E5737" s="25">
        <v>26</v>
      </c>
      <c r="F5737" s="23">
        <v>16.67</v>
      </c>
      <c r="G5737" s="152" cm="1">
        <f t="array" ref="G5737">SUM(E5737/F5737)</f>
        <v>1.55968806238752</v>
      </c>
      <c r="H5737" s="15"/>
    </row>
    <row r="5738" ht="13.65" customHeight="1">
      <c r="A5738" s="21">
        <v>140</v>
      </c>
      <c r="B5738" t="s" s="22">
        <v>470</v>
      </c>
      <c r="C5738" t="s" s="24">
        <v>108</v>
      </c>
      <c r="D5738" t="s" s="24">
        <v>102</v>
      </c>
      <c r="E5738" s="25">
        <v>1.12</v>
      </c>
      <c r="F5738" t="s" s="24">
        <v>387</v>
      </c>
      <c r="G5738" s="152" cm="1">
        <f t="array" ref="G5738">SUM(E5738*2)</f>
        <v>2.24</v>
      </c>
      <c r="H5738" s="15"/>
    </row>
    <row r="5739" ht="13.65" customHeight="1">
      <c r="A5739" s="21">
        <v>71</v>
      </c>
      <c r="B5739" t="s" s="22">
        <v>109</v>
      </c>
      <c r="C5739" s="23">
        <v>10</v>
      </c>
      <c r="D5739" t="s" s="24">
        <v>274</v>
      </c>
      <c r="E5739" s="25">
        <v>5.92</v>
      </c>
      <c r="F5739" s="23">
        <v>2.5</v>
      </c>
      <c r="G5739" s="152" cm="1">
        <f t="array" ref="G5739">SUM(E5739/F5739)</f>
        <v>2.368</v>
      </c>
      <c r="H5739" s="15"/>
    </row>
    <row r="5740" ht="13.65" customHeight="1">
      <c r="A5740" s="21">
        <v>87</v>
      </c>
      <c r="B5740" t="s" s="22">
        <v>110</v>
      </c>
      <c r="C5740" s="23">
        <v>50</v>
      </c>
      <c r="D5740" t="s" s="24">
        <v>274</v>
      </c>
      <c r="E5740" s="25">
        <v>9</v>
      </c>
      <c r="F5740" s="23">
        <v>12.5</v>
      </c>
      <c r="G5740" s="152" cm="1">
        <f t="array" ref="G5740">SUM(E5740/F5740)</f>
        <v>0.72</v>
      </c>
      <c r="H5740" s="15"/>
    </row>
    <row r="5741" ht="13.65" customHeight="1">
      <c r="A5741" s="21">
        <v>55</v>
      </c>
      <c r="B5741" t="s" s="22">
        <v>111</v>
      </c>
      <c r="C5741" t="s" s="24">
        <v>112</v>
      </c>
      <c r="D5741" t="s" s="24">
        <v>113</v>
      </c>
      <c r="E5741" s="25">
        <v>2.71</v>
      </c>
      <c r="F5741" s="23">
        <v>75</v>
      </c>
      <c r="G5741" s="152" cm="1">
        <f t="array" ref="G5741">SUM(E5741/F5741)</f>
        <v>0.0361333333333333</v>
      </c>
      <c r="H5741" s="15"/>
    </row>
    <row r="5742" ht="13.65" customHeight="1">
      <c r="A5742" s="21">
        <v>10</v>
      </c>
      <c r="B5742" t="s" s="22">
        <v>395</v>
      </c>
      <c r="C5742" t="s" s="24">
        <v>396</v>
      </c>
      <c r="D5742" t="s" s="24">
        <v>397</v>
      </c>
      <c r="E5742" s="25">
        <v>3.92</v>
      </c>
      <c r="F5742" s="23">
        <v>50</v>
      </c>
      <c r="G5742" s="152" cm="1">
        <f t="array" ref="G5742">SUM(E5742/F5742)</f>
        <v>0.0784</v>
      </c>
      <c r="H5742" s="15"/>
    </row>
    <row r="5743" ht="13.65" customHeight="1">
      <c r="A5743" s="21">
        <v>9</v>
      </c>
      <c r="B5743" t="s" s="22">
        <v>692</v>
      </c>
      <c r="C5743" s="23">
        <v>50</v>
      </c>
      <c r="D5743" t="s" s="24">
        <v>274</v>
      </c>
      <c r="E5743" s="25">
        <v>14</v>
      </c>
      <c r="F5743" s="23">
        <v>12.5</v>
      </c>
      <c r="G5743" s="152" cm="1">
        <f t="array" ref="G5743">SUM(E5743/F5743)</f>
        <v>1.12</v>
      </c>
      <c r="H5743" s="15"/>
    </row>
    <row r="5744" ht="13.65" customHeight="1">
      <c r="A5744" s="21">
        <v>6</v>
      </c>
      <c r="B5744" t="s" s="22">
        <v>399</v>
      </c>
      <c r="C5744" s="23">
        <v>100</v>
      </c>
      <c r="D5744" t="s" s="24">
        <v>104</v>
      </c>
      <c r="E5744" s="25">
        <v>19</v>
      </c>
      <c r="F5744" s="23">
        <v>100</v>
      </c>
      <c r="G5744" s="152" cm="1">
        <f t="array" ref="G5744">SUM(E5744/F5744)</f>
        <v>0.19</v>
      </c>
      <c r="H5744" s="15"/>
    </row>
    <row r="5745" ht="13.65" customHeight="1">
      <c r="A5745" s="21">
        <v>23</v>
      </c>
      <c r="B5745" t="s" s="22">
        <v>488</v>
      </c>
      <c r="C5745" s="23">
        <v>1</v>
      </c>
      <c r="D5745" t="s" s="24">
        <v>104</v>
      </c>
      <c r="E5745" s="25">
        <v>11</v>
      </c>
      <c r="F5745" s="23">
        <v>1</v>
      </c>
      <c r="G5745" s="152" cm="1">
        <f t="array" ref="G5745">SUM(E5745/F5745)</f>
        <v>11</v>
      </c>
      <c r="H5745" s="15"/>
    </row>
    <row r="5746" ht="13.65" customHeight="1">
      <c r="A5746" s="21">
        <v>119</v>
      </c>
      <c r="B5746" t="s" s="22">
        <v>467</v>
      </c>
      <c r="C5746" s="23">
        <v>1</v>
      </c>
      <c r="D5746" t="s" s="24">
        <v>468</v>
      </c>
      <c r="E5746" s="25">
        <v>0.45</v>
      </c>
      <c r="F5746" s="23">
        <v>1</v>
      </c>
      <c r="G5746" s="152" cm="1">
        <f t="array" ref="G5746">SUM(E5746/F5746)</f>
        <v>0.45</v>
      </c>
      <c r="H5746" s="15"/>
    </row>
    <row r="5747" ht="13.65" customHeight="1">
      <c r="A5747" s="21">
        <v>122</v>
      </c>
      <c r="B5747" t="s" s="22">
        <v>489</v>
      </c>
      <c r="C5747" t="s" s="24">
        <v>490</v>
      </c>
      <c r="D5747" t="s" s="24">
        <v>389</v>
      </c>
      <c r="E5747" s="25">
        <v>1.7</v>
      </c>
      <c r="F5747" s="23">
        <v>5</v>
      </c>
      <c r="G5747" s="152" cm="1">
        <f t="array" ref="G5747">SUM(E5747/F5747)</f>
        <v>0.34</v>
      </c>
      <c r="H5747" s="15"/>
    </row>
    <row r="5748" ht="13.65" customHeight="1">
      <c r="A5748" s="21">
        <v>29</v>
      </c>
      <c r="B5748" t="s" s="22">
        <v>493</v>
      </c>
      <c r="C5748" s="23">
        <v>1</v>
      </c>
      <c r="D5748" t="s" s="24">
        <v>401</v>
      </c>
      <c r="E5748" s="25">
        <v>74</v>
      </c>
      <c r="F5748" s="23">
        <v>30</v>
      </c>
      <c r="G5748" s="152" cm="1">
        <f t="array" ref="G5748">SUM(E5748/F5748)</f>
        <v>2.46666666666667</v>
      </c>
      <c r="H5748" s="15"/>
    </row>
    <row r="5749" ht="13.65" customHeight="1">
      <c r="A5749" s="21">
        <v>36</v>
      </c>
      <c r="B5749" t="s" s="22">
        <v>496</v>
      </c>
      <c r="C5749" t="s" s="24">
        <v>497</v>
      </c>
      <c r="D5749" t="s" s="24">
        <v>498</v>
      </c>
      <c r="E5749" s="25">
        <v>13</v>
      </c>
      <c r="F5749" s="23">
        <v>16</v>
      </c>
      <c r="G5749" s="152" cm="1">
        <f t="array" ref="G5749">SUM(E5749/F5749)</f>
        <v>0.8125</v>
      </c>
      <c r="H5749" s="15"/>
    </row>
    <row r="5750" ht="13.65" customHeight="1">
      <c r="A5750" s="21">
        <v>56</v>
      </c>
      <c r="B5750" t="s" s="22">
        <v>471</v>
      </c>
      <c r="C5750" s="23">
        <v>1</v>
      </c>
      <c r="D5750" t="s" s="24">
        <v>104</v>
      </c>
      <c r="E5750" s="25">
        <v>3.5</v>
      </c>
      <c r="F5750" s="23">
        <v>1</v>
      </c>
      <c r="G5750" s="152" cm="1">
        <f t="array" ref="G5750">SUM(E5750/F5750)</f>
        <v>3.5</v>
      </c>
      <c r="H5750" s="15"/>
    </row>
    <row r="5751" ht="13.65" customHeight="1">
      <c r="A5751" s="21">
        <v>78</v>
      </c>
      <c r="B5751" t="s" s="22">
        <v>492</v>
      </c>
      <c r="C5751" s="23">
        <v>1</v>
      </c>
      <c r="D5751" t="s" s="24">
        <v>104</v>
      </c>
      <c r="E5751" s="25">
        <v>1</v>
      </c>
      <c r="F5751" s="23">
        <v>1</v>
      </c>
      <c r="G5751" s="152" cm="1">
        <f t="array" ref="G5751">SUM(E5751/F5751)</f>
        <v>1</v>
      </c>
      <c r="H5751" s="15"/>
    </row>
    <row r="5752" ht="13.65" customHeight="1">
      <c r="A5752" s="21">
        <v>116</v>
      </c>
      <c r="B5752" t="s" s="22">
        <v>721</v>
      </c>
      <c r="C5752" t="s" s="24">
        <v>384</v>
      </c>
      <c r="D5752" t="s" s="24">
        <v>640</v>
      </c>
      <c r="E5752" s="25">
        <v>12</v>
      </c>
      <c r="F5752" s="23">
        <v>4</v>
      </c>
      <c r="G5752" s="152" cm="1">
        <f t="array" ref="G5752">SUM(E5752/F5752)</f>
        <v>3</v>
      </c>
      <c r="H5752" s="15"/>
    </row>
    <row r="5753" ht="13.65" customHeight="1">
      <c r="A5753" s="28"/>
      <c r="B5753" s="28"/>
      <c r="C5753" s="27"/>
      <c r="D5753" s="24"/>
      <c r="E5753" s="27"/>
      <c r="F5753" t="s" s="29">
        <v>118</v>
      </c>
      <c r="G5753" s="197" cm="1">
        <f t="array" ref="G5753">SUM(G5734:G5752)</f>
        <v>31.3321516987512</v>
      </c>
      <c r="H5753" s="15"/>
    </row>
    <row r="5754" ht="13.65" customHeight="1">
      <c r="A5754" s="129"/>
      <c r="B5754" s="129"/>
      <c r="C5754" s="129"/>
      <c r="D5754" s="129"/>
      <c r="E5754" s="129"/>
      <c r="F5754" s="31"/>
      <c r="G5754" s="31"/>
      <c r="H5754" s="3"/>
    </row>
    <row r="5755" ht="11.7" customHeight="1">
      <c r="A5755" t="s" s="167">
        <v>136</v>
      </c>
      <c r="B5755" t="s" s="167">
        <v>281</v>
      </c>
      <c r="C5755" t="s" s="167">
        <v>282</v>
      </c>
      <c r="D5755" t="s" s="168">
        <v>283</v>
      </c>
      <c r="E5755" s="169"/>
      <c r="F5755" s="170"/>
      <c r="G5755" s="171"/>
      <c r="H5755" s="171"/>
    </row>
    <row r="5756" ht="13.65" customHeight="1">
      <c r="A5756" s="23">
        <v>80</v>
      </c>
      <c r="B5756" s="172" cm="1">
        <f t="array" ref="B5756">SUM(H256)</f>
        <v>2.47496540404041</v>
      </c>
      <c r="C5756" s="172" cm="1">
        <f t="array" ref="C5756">SUM(G5753)</f>
        <v>31.3321516987512</v>
      </c>
      <c r="D5756" s="199" cm="1">
        <f t="array" ref="D5756">SUM(A5756*B5756)+(C5756)</f>
        <v>229.329384021984</v>
      </c>
      <c r="E5756" s="200"/>
      <c r="F5756" s="282"/>
      <c r="G5756" s="203"/>
      <c r="H5756" s="203"/>
    </row>
    <row r="5757" ht="13.65" customHeight="1">
      <c r="A5757" t="s" s="283">
        <v>185</v>
      </c>
      <c r="B5757" s="284"/>
      <c r="C5757" s="284"/>
      <c r="D5757" s="284"/>
      <c r="E5757" s="291"/>
      <c r="F5757" s="275"/>
      <c r="G5757" s="275"/>
      <c r="H5757" s="277"/>
    </row>
    <row r="5758" ht="13.65" customHeight="1">
      <c r="A5758" s="278"/>
      <c r="B5758" s="278"/>
      <c r="C5758" s="278"/>
      <c r="D5758" s="278"/>
      <c r="E5758" s="278"/>
      <c r="F5758" s="278"/>
      <c r="G5758" s="278"/>
      <c r="H5758" s="278"/>
    </row>
    <row r="5759" ht="13.65" customHeight="1">
      <c r="A5759" s="3"/>
      <c r="B5759" s="3"/>
      <c r="C5759" s="3"/>
      <c r="D5759" s="3"/>
      <c r="E5759" s="3"/>
      <c r="F5759" s="3"/>
      <c r="G5759" s="3"/>
      <c r="H5759" s="3"/>
    </row>
    <row r="5760" ht="13.65" customHeight="1">
      <c r="A5760" t="s" s="5">
        <v>876</v>
      </c>
      <c r="B5760" s="3"/>
      <c r="C5760" s="3"/>
      <c r="D5760" s="3"/>
      <c r="E5760" s="3"/>
      <c r="F5760" s="3"/>
      <c r="G5760" s="3"/>
      <c r="H5760" s="3"/>
    </row>
    <row r="5761" ht="13.65" customHeight="1">
      <c r="A5761" s="11"/>
      <c r="B5761" s="11"/>
      <c r="C5761" s="11"/>
      <c r="D5761" s="11"/>
      <c r="E5761" s="11"/>
      <c r="F5761" s="11"/>
      <c r="G5761" s="11"/>
      <c r="H5761" s="3"/>
    </row>
    <row r="5762" ht="13.65" customHeight="1">
      <c r="A5762" s="12"/>
      <c r="B5762" s="12"/>
      <c r="C5762" s="13"/>
      <c r="D5762" s="14"/>
      <c r="E5762" s="13"/>
      <c r="F5762" s="13"/>
      <c r="G5762" t="s" s="14">
        <v>252</v>
      </c>
      <c r="H5762" s="150"/>
    </row>
    <row r="5763" ht="13.65" customHeight="1">
      <c r="A5763" t="s" s="16">
        <v>93</v>
      </c>
      <c r="B5763" t="s" s="16">
        <v>94</v>
      </c>
      <c r="C5763" t="s" s="16">
        <v>95</v>
      </c>
      <c r="D5763" t="s" s="16">
        <v>96</v>
      </c>
      <c r="E5763" t="s" s="16">
        <v>97</v>
      </c>
      <c r="F5763" t="s" s="16">
        <v>98</v>
      </c>
      <c r="G5763" t="s" s="16">
        <v>99</v>
      </c>
      <c r="H5763" s="15"/>
    </row>
    <row r="5764" ht="13.65" customHeight="1">
      <c r="A5764" s="151"/>
      <c r="B5764" s="151"/>
      <c r="C5764" s="19"/>
      <c r="D5764" s="20"/>
      <c r="E5764" s="19"/>
      <c r="F5764" s="19"/>
      <c r="G5764" t="s" s="20">
        <v>100</v>
      </c>
      <c r="H5764" s="15"/>
    </row>
    <row r="5765" ht="13.65" customHeight="1">
      <c r="A5765" s="21">
        <v>72</v>
      </c>
      <c r="B5765" t="s" s="22">
        <v>101</v>
      </c>
      <c r="C5765" s="23">
        <v>50</v>
      </c>
      <c r="D5765" t="s" s="24">
        <v>274</v>
      </c>
      <c r="E5765" s="25">
        <v>1.93</v>
      </c>
      <c r="F5765" s="23">
        <v>12.5</v>
      </c>
      <c r="G5765" s="152" cm="1">
        <f t="array" ref="G5765">SUM(E5765/F5765)</f>
        <v>0.1544</v>
      </c>
      <c r="H5765" s="15"/>
    </row>
    <row r="5766" ht="13.65" customHeight="1">
      <c r="A5766" s="21">
        <v>123</v>
      </c>
      <c r="B5766" t="s" s="22">
        <v>103</v>
      </c>
      <c r="C5766" s="23">
        <v>40</v>
      </c>
      <c r="D5766" t="s" s="24">
        <v>102</v>
      </c>
      <c r="E5766" s="25">
        <v>3.2</v>
      </c>
      <c r="F5766" s="23">
        <v>20</v>
      </c>
      <c r="G5766" s="152" cm="1">
        <f t="array" ref="G5766">SUM(E5766/F5766)</f>
        <v>0.16</v>
      </c>
      <c r="H5766" s="15"/>
    </row>
    <row r="5767" ht="13.65" customHeight="1">
      <c r="A5767" s="21">
        <v>65</v>
      </c>
      <c r="B5767" t="s" s="22">
        <v>394</v>
      </c>
      <c r="C5767" s="23">
        <v>500</v>
      </c>
      <c r="D5767" t="s" s="24">
        <v>633</v>
      </c>
      <c r="E5767" s="25">
        <v>26</v>
      </c>
      <c r="F5767" s="23">
        <v>16.6</v>
      </c>
      <c r="G5767" s="152" cm="1">
        <f t="array" ref="G5767">SUM(E5767/F5767)</f>
        <v>1.56626506024096</v>
      </c>
      <c r="H5767" s="15"/>
    </row>
    <row r="5768" ht="13.65" customHeight="1">
      <c r="A5768" s="21">
        <v>140</v>
      </c>
      <c r="B5768" t="s" s="22">
        <v>470</v>
      </c>
      <c r="C5768" t="s" s="24">
        <v>108</v>
      </c>
      <c r="D5768" t="s" s="24">
        <v>102</v>
      </c>
      <c r="E5768" s="25">
        <v>1.12</v>
      </c>
      <c r="F5768" t="s" s="24">
        <v>387</v>
      </c>
      <c r="G5768" s="152" cm="1">
        <f t="array" ref="G5768">SUM(E5768*2)</f>
        <v>2.24</v>
      </c>
      <c r="H5768" s="15"/>
    </row>
    <row r="5769" ht="13.65" customHeight="1">
      <c r="A5769" s="21">
        <v>71</v>
      </c>
      <c r="B5769" t="s" s="22">
        <v>109</v>
      </c>
      <c r="C5769" s="23">
        <v>10</v>
      </c>
      <c r="D5769" t="s" s="24">
        <v>102</v>
      </c>
      <c r="E5769" s="25">
        <v>5.92</v>
      </c>
      <c r="F5769" s="23">
        <v>5</v>
      </c>
      <c r="G5769" s="152" cm="1">
        <f t="array" ref="G5769">SUM(E5769/F5769)</f>
        <v>1.184</v>
      </c>
      <c r="H5769" s="15"/>
    </row>
    <row r="5770" ht="13.65" customHeight="1">
      <c r="A5770" s="21">
        <v>87</v>
      </c>
      <c r="B5770" t="s" s="22">
        <v>110</v>
      </c>
      <c r="C5770" s="23">
        <v>50</v>
      </c>
      <c r="D5770" t="s" s="24">
        <v>102</v>
      </c>
      <c r="E5770" s="25">
        <v>9</v>
      </c>
      <c r="F5770" s="23">
        <v>25</v>
      </c>
      <c r="G5770" s="152" cm="1">
        <f t="array" ref="G5770">SUM(E5770/F5770)</f>
        <v>0.36</v>
      </c>
      <c r="H5770" s="15"/>
    </row>
    <row r="5771" ht="13.65" customHeight="1">
      <c r="A5771" s="21">
        <v>55</v>
      </c>
      <c r="B5771" t="s" s="22">
        <v>111</v>
      </c>
      <c r="C5771" t="s" s="24">
        <v>112</v>
      </c>
      <c r="D5771" t="s" s="24">
        <v>461</v>
      </c>
      <c r="E5771" s="25">
        <v>2.71</v>
      </c>
      <c r="F5771" s="23">
        <v>37.5</v>
      </c>
      <c r="G5771" s="152" cm="1">
        <f t="array" ref="G5771">SUM(E5771/F5771)</f>
        <v>0.0722666666666667</v>
      </c>
      <c r="H5771" s="15"/>
    </row>
    <row r="5772" ht="13.65" customHeight="1">
      <c r="A5772" s="21">
        <v>10</v>
      </c>
      <c r="B5772" t="s" s="22">
        <v>395</v>
      </c>
      <c r="C5772" t="s" s="24">
        <v>396</v>
      </c>
      <c r="D5772" t="s" s="24">
        <v>397</v>
      </c>
      <c r="E5772" s="25">
        <v>3.92</v>
      </c>
      <c r="F5772" s="23">
        <v>50</v>
      </c>
      <c r="G5772" s="152" cm="1">
        <f t="array" ref="G5772">SUM(E5772/F5772)</f>
        <v>0.0784</v>
      </c>
      <c r="H5772" s="15"/>
    </row>
    <row r="5773" ht="13.65" customHeight="1">
      <c r="A5773" s="21">
        <v>9</v>
      </c>
      <c r="B5773" t="s" s="22">
        <v>692</v>
      </c>
      <c r="C5773" s="23">
        <v>50</v>
      </c>
      <c r="D5773" t="s" s="24">
        <v>274</v>
      </c>
      <c r="E5773" s="25">
        <v>14</v>
      </c>
      <c r="F5773" s="23">
        <v>12.5</v>
      </c>
      <c r="G5773" s="152" cm="1">
        <f t="array" ref="G5773">SUM(E5773/F5773)</f>
        <v>1.12</v>
      </c>
      <c r="H5773" s="15"/>
    </row>
    <row r="5774" ht="13.65" customHeight="1">
      <c r="A5774" s="21">
        <v>6</v>
      </c>
      <c r="B5774" t="s" s="22">
        <v>399</v>
      </c>
      <c r="C5774" s="23">
        <v>100</v>
      </c>
      <c r="D5774" t="s" s="24">
        <v>104</v>
      </c>
      <c r="E5774" s="25">
        <v>19</v>
      </c>
      <c r="F5774" s="23">
        <v>100</v>
      </c>
      <c r="G5774" s="152" cm="1">
        <f t="array" ref="G5774">SUM(E5774/F5774)</f>
        <v>0.19</v>
      </c>
      <c r="H5774" s="15"/>
    </row>
    <row r="5775" ht="13.65" customHeight="1">
      <c r="A5775" s="21">
        <v>23</v>
      </c>
      <c r="B5775" t="s" s="22">
        <v>488</v>
      </c>
      <c r="C5775" s="23">
        <v>1</v>
      </c>
      <c r="D5775" t="s" s="24">
        <v>104</v>
      </c>
      <c r="E5775" s="25">
        <v>11</v>
      </c>
      <c r="F5775" s="23">
        <v>1</v>
      </c>
      <c r="G5775" s="152" cm="1">
        <f t="array" ref="G5775">SUM(E5775/F5775)</f>
        <v>11</v>
      </c>
      <c r="H5775" s="15"/>
    </row>
    <row r="5776" ht="13.65" customHeight="1">
      <c r="A5776" s="21">
        <v>119</v>
      </c>
      <c r="B5776" t="s" s="22">
        <v>467</v>
      </c>
      <c r="C5776" s="23">
        <v>1</v>
      </c>
      <c r="D5776" t="s" s="24">
        <v>468</v>
      </c>
      <c r="E5776" s="25">
        <v>0.45</v>
      </c>
      <c r="F5776" s="23">
        <v>1</v>
      </c>
      <c r="G5776" s="152" cm="1">
        <f t="array" ref="G5776">SUM(E5776/F5776)</f>
        <v>0.45</v>
      </c>
      <c r="H5776" s="15"/>
    </row>
    <row r="5777" ht="13.65" customHeight="1">
      <c r="A5777" s="21">
        <v>122</v>
      </c>
      <c r="B5777" t="s" s="22">
        <v>489</v>
      </c>
      <c r="C5777" t="s" s="24">
        <v>490</v>
      </c>
      <c r="D5777" t="s" s="24">
        <v>648</v>
      </c>
      <c r="E5777" s="25">
        <v>1.7</v>
      </c>
      <c r="F5777" s="23">
        <v>16</v>
      </c>
      <c r="G5777" s="152" cm="1">
        <f t="array" ref="G5777">SUM(E5777/F5777)</f>
        <v>0.10625</v>
      </c>
      <c r="H5777" s="15"/>
    </row>
    <row r="5778" ht="13.65" customHeight="1">
      <c r="A5778" s="21">
        <v>56</v>
      </c>
      <c r="B5778" t="s" s="22">
        <v>471</v>
      </c>
      <c r="C5778" s="23">
        <v>1</v>
      </c>
      <c r="D5778" t="s" s="24">
        <v>104</v>
      </c>
      <c r="E5778" s="25">
        <v>3.5</v>
      </c>
      <c r="F5778" s="23">
        <v>1</v>
      </c>
      <c r="G5778" s="152" cm="1">
        <f t="array" ref="G5778">SUM(E5778/F5778)</f>
        <v>3.5</v>
      </c>
      <c r="H5778" s="15"/>
    </row>
    <row r="5779" ht="13.65" customHeight="1">
      <c r="A5779" s="21">
        <v>78</v>
      </c>
      <c r="B5779" t="s" s="22">
        <v>492</v>
      </c>
      <c r="C5779" s="23">
        <v>1</v>
      </c>
      <c r="D5779" t="s" s="24">
        <v>104</v>
      </c>
      <c r="E5779" s="25">
        <v>1</v>
      </c>
      <c r="F5779" s="23">
        <v>1</v>
      </c>
      <c r="G5779" s="152" cm="1">
        <f t="array" ref="G5779">SUM(E5779/F5779)</f>
        <v>1</v>
      </c>
      <c r="H5779" s="15"/>
    </row>
    <row r="5780" ht="13.65" customHeight="1">
      <c r="A5780" s="21">
        <v>36</v>
      </c>
      <c r="B5780" t="s" s="22">
        <v>496</v>
      </c>
      <c r="C5780" t="s" s="24">
        <v>497</v>
      </c>
      <c r="D5780" t="s" s="24">
        <v>498</v>
      </c>
      <c r="E5780" s="25">
        <v>13</v>
      </c>
      <c r="F5780" s="23">
        <v>16</v>
      </c>
      <c r="G5780" s="152" cm="1">
        <f t="array" ref="G5780">SUM(E5780/F5780)</f>
        <v>0.8125</v>
      </c>
      <c r="H5780" s="15"/>
    </row>
    <row r="5781" ht="13.65" customHeight="1">
      <c r="A5781" s="21">
        <v>16</v>
      </c>
      <c r="B5781" t="s" s="22">
        <v>693</v>
      </c>
      <c r="C5781" s="23">
        <v>6</v>
      </c>
      <c r="D5781" t="s" s="24">
        <v>694</v>
      </c>
      <c r="E5781" s="25">
        <v>41</v>
      </c>
      <c r="F5781" s="23">
        <v>10</v>
      </c>
      <c r="G5781" s="152" cm="1">
        <f t="array" ref="G5781">SUM(E5781/F5781)</f>
        <v>4.1</v>
      </c>
      <c r="H5781" s="15"/>
    </row>
    <row r="5782" ht="13.65" customHeight="1">
      <c r="A5782" s="28"/>
      <c r="B5782" s="28"/>
      <c r="C5782" s="27"/>
      <c r="D5782" s="24"/>
      <c r="E5782" s="27"/>
      <c r="F5782" t="s" s="29">
        <v>118</v>
      </c>
      <c r="G5782" s="197" cm="1">
        <f t="array" ref="G5782">SUM(G5765:G5781)</f>
        <v>28.0940817269076</v>
      </c>
      <c r="H5782" s="15"/>
    </row>
    <row r="5783" ht="13.65" customHeight="1">
      <c r="A5783" s="129"/>
      <c r="B5783" s="129"/>
      <c r="C5783" s="129"/>
      <c r="D5783" s="129"/>
      <c r="E5783" s="129"/>
      <c r="F5783" s="31"/>
      <c r="G5783" s="31"/>
      <c r="H5783" s="3"/>
    </row>
    <row r="5784" ht="11.7" customHeight="1">
      <c r="A5784" t="s" s="167">
        <v>136</v>
      </c>
      <c r="B5784" t="s" s="167">
        <v>281</v>
      </c>
      <c r="C5784" t="s" s="167">
        <v>282</v>
      </c>
      <c r="D5784" t="s" s="168">
        <v>283</v>
      </c>
      <c r="E5784" s="169"/>
      <c r="F5784" s="170"/>
      <c r="G5784" s="171"/>
      <c r="H5784" s="171"/>
    </row>
    <row r="5785" ht="13.65" customHeight="1">
      <c r="A5785" s="23">
        <v>140</v>
      </c>
      <c r="B5785" s="172" cm="1">
        <f t="array" ref="B5785">SUM(H256)</f>
        <v>2.47496540404041</v>
      </c>
      <c r="C5785" s="172" cm="1">
        <f t="array" ref="C5785">SUM(G5782)</f>
        <v>28.0940817269076</v>
      </c>
      <c r="D5785" s="199" cm="1">
        <f t="array" ref="D5785">SUM(A5785*B5785)+(C5785)</f>
        <v>374.589238292565</v>
      </c>
      <c r="E5785" s="200"/>
      <c r="F5785" s="15"/>
      <c r="G5785" s="3"/>
      <c r="H5785" s="3"/>
    </row>
    <row r="5786" ht="13.65" customHeight="1">
      <c r="A5786" s="31"/>
      <c r="B5786" s="31"/>
      <c r="C5786" s="31"/>
      <c r="D5786" s="31"/>
      <c r="E5786" s="31"/>
      <c r="F5786" s="3"/>
      <c r="G5786" s="3"/>
      <c r="H5786" s="3"/>
    </row>
    <row r="5787" ht="13.65" customHeight="1">
      <c r="A5787" s="3"/>
      <c r="B5787" s="3"/>
      <c r="C5787" s="3"/>
      <c r="D5787" s="3"/>
      <c r="E5787" s="3"/>
      <c r="F5787" s="3"/>
      <c r="G5787" s="3"/>
      <c r="H5787" s="3"/>
    </row>
    <row r="5788" ht="13.65" customHeight="1">
      <c r="A5788" t="s" s="5">
        <v>877</v>
      </c>
      <c r="B5788" s="3"/>
      <c r="C5788" s="3"/>
      <c r="D5788" s="3"/>
      <c r="E5788" s="3"/>
      <c r="F5788" s="3"/>
      <c r="G5788" s="3"/>
      <c r="H5788" s="3"/>
    </row>
    <row r="5789" ht="13.65" customHeight="1">
      <c r="A5789" s="11"/>
      <c r="B5789" s="11"/>
      <c r="C5789" s="11"/>
      <c r="D5789" s="11"/>
      <c r="E5789" s="11"/>
      <c r="F5789" s="11"/>
      <c r="G5789" s="11"/>
      <c r="H5789" s="3"/>
    </row>
    <row r="5790" ht="13.65" customHeight="1">
      <c r="A5790" s="12"/>
      <c r="B5790" s="12"/>
      <c r="C5790" s="13"/>
      <c r="D5790" s="14"/>
      <c r="E5790" s="13"/>
      <c r="F5790" s="13"/>
      <c r="G5790" t="s" s="14">
        <v>252</v>
      </c>
      <c r="H5790" s="150"/>
    </row>
    <row r="5791" ht="13.65" customHeight="1">
      <c r="A5791" t="s" s="16">
        <v>93</v>
      </c>
      <c r="B5791" t="s" s="16">
        <v>94</v>
      </c>
      <c r="C5791" t="s" s="16">
        <v>95</v>
      </c>
      <c r="D5791" t="s" s="16">
        <v>96</v>
      </c>
      <c r="E5791" t="s" s="16">
        <v>97</v>
      </c>
      <c r="F5791" t="s" s="16">
        <v>98</v>
      </c>
      <c r="G5791" t="s" s="16">
        <v>99</v>
      </c>
      <c r="H5791" s="15"/>
    </row>
    <row r="5792" ht="13.65" customHeight="1">
      <c r="A5792" s="151"/>
      <c r="B5792" s="151"/>
      <c r="C5792" s="19"/>
      <c r="D5792" s="20"/>
      <c r="E5792" s="19"/>
      <c r="F5792" s="19"/>
      <c r="G5792" t="s" s="20">
        <v>100</v>
      </c>
      <c r="H5792" s="15"/>
    </row>
    <row r="5793" ht="13.65" customHeight="1">
      <c r="A5793" s="21">
        <v>72</v>
      </c>
      <c r="B5793" t="s" s="22">
        <v>101</v>
      </c>
      <c r="C5793" s="23">
        <v>50</v>
      </c>
      <c r="D5793" t="s" s="24">
        <v>274</v>
      </c>
      <c r="E5793" s="25">
        <v>1.93</v>
      </c>
      <c r="F5793" s="23">
        <v>12.5</v>
      </c>
      <c r="G5793" s="152" cm="1">
        <f t="array" ref="G5793">SUM(E5793/F5793)</f>
        <v>0.1544</v>
      </c>
      <c r="H5793" s="15"/>
    </row>
    <row r="5794" ht="13.65" customHeight="1">
      <c r="A5794" s="21">
        <v>123</v>
      </c>
      <c r="B5794" t="s" s="22">
        <v>103</v>
      </c>
      <c r="C5794" s="23">
        <v>40</v>
      </c>
      <c r="D5794" t="s" s="24">
        <v>102</v>
      </c>
      <c r="E5794" s="25">
        <v>3.2</v>
      </c>
      <c r="F5794" s="23">
        <v>20</v>
      </c>
      <c r="G5794" s="152" cm="1">
        <f t="array" ref="G5794">SUM(E5794/F5794)</f>
        <v>0.16</v>
      </c>
      <c r="H5794" s="15"/>
    </row>
    <row r="5795" ht="13.65" customHeight="1">
      <c r="A5795" s="21">
        <v>65</v>
      </c>
      <c r="B5795" t="s" s="22">
        <v>394</v>
      </c>
      <c r="C5795" s="23">
        <v>500</v>
      </c>
      <c r="D5795" t="s" s="24">
        <v>633</v>
      </c>
      <c r="E5795" s="25">
        <v>26</v>
      </c>
      <c r="F5795" s="23">
        <v>16.6</v>
      </c>
      <c r="G5795" s="152" cm="1">
        <f t="array" ref="G5795">SUM(E5795/F5795)</f>
        <v>1.56626506024096</v>
      </c>
      <c r="H5795" s="15"/>
    </row>
    <row r="5796" ht="13.65" customHeight="1">
      <c r="A5796" s="21">
        <v>140</v>
      </c>
      <c r="B5796" t="s" s="22">
        <v>470</v>
      </c>
      <c r="C5796" t="s" s="24">
        <v>108</v>
      </c>
      <c r="D5796" t="s" s="24">
        <v>102</v>
      </c>
      <c r="E5796" s="25">
        <v>1.12</v>
      </c>
      <c r="F5796" t="s" s="24">
        <v>387</v>
      </c>
      <c r="G5796" s="152" cm="1">
        <f t="array" ref="G5796">SUM(E5796*2)</f>
        <v>2.24</v>
      </c>
      <c r="H5796" s="15"/>
    </row>
    <row r="5797" ht="13.65" customHeight="1">
      <c r="A5797" s="21">
        <v>71</v>
      </c>
      <c r="B5797" t="s" s="22">
        <v>109</v>
      </c>
      <c r="C5797" s="23">
        <v>10</v>
      </c>
      <c r="D5797" t="s" s="24">
        <v>102</v>
      </c>
      <c r="E5797" s="25">
        <v>5.92</v>
      </c>
      <c r="F5797" s="23">
        <v>5</v>
      </c>
      <c r="G5797" s="152" cm="1">
        <f t="array" ref="G5797">SUM(E5797/F5797)</f>
        <v>1.184</v>
      </c>
      <c r="H5797" s="15"/>
    </row>
    <row r="5798" ht="13.65" customHeight="1">
      <c r="A5798" s="21">
        <v>87</v>
      </c>
      <c r="B5798" t="s" s="22">
        <v>110</v>
      </c>
      <c r="C5798" s="23">
        <v>50</v>
      </c>
      <c r="D5798" t="s" s="24">
        <v>102</v>
      </c>
      <c r="E5798" s="25">
        <v>9</v>
      </c>
      <c r="F5798" s="23">
        <v>25</v>
      </c>
      <c r="G5798" s="152" cm="1">
        <f t="array" ref="G5798">SUM(E5798/F5798)</f>
        <v>0.36</v>
      </c>
      <c r="H5798" s="15"/>
    </row>
    <row r="5799" ht="13.65" customHeight="1">
      <c r="A5799" s="21">
        <v>55</v>
      </c>
      <c r="B5799" t="s" s="22">
        <v>111</v>
      </c>
      <c r="C5799" t="s" s="24">
        <v>112</v>
      </c>
      <c r="D5799" t="s" s="24">
        <v>461</v>
      </c>
      <c r="E5799" s="25">
        <v>2.71</v>
      </c>
      <c r="F5799" s="23">
        <v>37.5</v>
      </c>
      <c r="G5799" s="152" cm="1">
        <f t="array" ref="G5799">SUM(E5799/F5799)</f>
        <v>0.0722666666666667</v>
      </c>
      <c r="H5799" s="15"/>
    </row>
    <row r="5800" ht="13.65" customHeight="1">
      <c r="A5800" s="21">
        <v>10</v>
      </c>
      <c r="B5800" t="s" s="22">
        <v>395</v>
      </c>
      <c r="C5800" t="s" s="24">
        <v>396</v>
      </c>
      <c r="D5800" t="s" s="24">
        <v>397</v>
      </c>
      <c r="E5800" s="25">
        <v>3.92</v>
      </c>
      <c r="F5800" s="23">
        <v>50</v>
      </c>
      <c r="G5800" s="152" cm="1">
        <f t="array" ref="G5800">SUM(E5800/F5800)</f>
        <v>0.0784</v>
      </c>
      <c r="H5800" s="15"/>
    </row>
    <row r="5801" ht="13.65" customHeight="1">
      <c r="A5801" s="21">
        <v>9</v>
      </c>
      <c r="B5801" t="s" s="22">
        <v>692</v>
      </c>
      <c r="C5801" s="23">
        <v>50</v>
      </c>
      <c r="D5801" t="s" s="24">
        <v>274</v>
      </c>
      <c r="E5801" s="25">
        <v>17</v>
      </c>
      <c r="F5801" s="23">
        <v>12.5</v>
      </c>
      <c r="G5801" s="152" cm="1">
        <f t="array" ref="G5801">SUM(E5801/F5801)</f>
        <v>1.36</v>
      </c>
      <c r="H5801" s="15"/>
    </row>
    <row r="5802" ht="13.65" customHeight="1">
      <c r="A5802" s="21">
        <v>6</v>
      </c>
      <c r="B5802" t="s" s="22">
        <v>399</v>
      </c>
      <c r="C5802" s="23">
        <v>100</v>
      </c>
      <c r="D5802" t="s" s="24">
        <v>104</v>
      </c>
      <c r="E5802" s="25">
        <v>19</v>
      </c>
      <c r="F5802" s="23">
        <v>100</v>
      </c>
      <c r="G5802" s="152" cm="1">
        <f t="array" ref="G5802">SUM(E5802/F5802)</f>
        <v>0.19</v>
      </c>
      <c r="H5802" s="15"/>
    </row>
    <row r="5803" ht="13.65" customHeight="1">
      <c r="A5803" s="21">
        <v>23</v>
      </c>
      <c r="B5803" t="s" s="22">
        <v>488</v>
      </c>
      <c r="C5803" s="23">
        <v>1</v>
      </c>
      <c r="D5803" t="s" s="24">
        <v>104</v>
      </c>
      <c r="E5803" s="25">
        <v>11</v>
      </c>
      <c r="F5803" s="23">
        <v>1</v>
      </c>
      <c r="G5803" s="152" cm="1">
        <f t="array" ref="G5803">SUM(E5803/F5803)</f>
        <v>11</v>
      </c>
      <c r="H5803" s="15"/>
    </row>
    <row r="5804" ht="13.65" customHeight="1">
      <c r="A5804" s="21">
        <v>119</v>
      </c>
      <c r="B5804" t="s" s="22">
        <v>467</v>
      </c>
      <c r="C5804" s="23">
        <v>1</v>
      </c>
      <c r="D5804" t="s" s="24">
        <v>468</v>
      </c>
      <c r="E5804" s="25">
        <v>0.45</v>
      </c>
      <c r="F5804" s="23">
        <v>1</v>
      </c>
      <c r="G5804" s="152" cm="1">
        <f t="array" ref="G5804">SUM(E5804/F5804)</f>
        <v>0.45</v>
      </c>
      <c r="H5804" s="15"/>
    </row>
    <row r="5805" ht="13.65" customHeight="1">
      <c r="A5805" s="21">
        <v>122</v>
      </c>
      <c r="B5805" t="s" s="22">
        <v>489</v>
      </c>
      <c r="C5805" t="s" s="24">
        <v>490</v>
      </c>
      <c r="D5805" t="s" s="24">
        <v>648</v>
      </c>
      <c r="E5805" s="25">
        <v>1.7</v>
      </c>
      <c r="F5805" s="23">
        <v>16</v>
      </c>
      <c r="G5805" s="152" cm="1">
        <f t="array" ref="G5805">SUM(E5805/F5805)</f>
        <v>0.10625</v>
      </c>
      <c r="H5805" s="15"/>
    </row>
    <row r="5806" ht="13.65" customHeight="1">
      <c r="A5806" s="21">
        <v>56</v>
      </c>
      <c r="B5806" t="s" s="22">
        <v>471</v>
      </c>
      <c r="C5806" s="23">
        <v>1</v>
      </c>
      <c r="D5806" t="s" s="24">
        <v>104</v>
      </c>
      <c r="E5806" s="25">
        <v>3.5</v>
      </c>
      <c r="F5806" s="23">
        <v>1</v>
      </c>
      <c r="G5806" s="152" cm="1">
        <f t="array" ref="G5806">SUM(E5806/F5806)</f>
        <v>3.5</v>
      </c>
      <c r="H5806" s="15"/>
    </row>
    <row r="5807" ht="13.65" customHeight="1">
      <c r="A5807" s="21">
        <v>78</v>
      </c>
      <c r="B5807" t="s" s="22">
        <v>492</v>
      </c>
      <c r="C5807" s="23">
        <v>1</v>
      </c>
      <c r="D5807" t="s" s="24">
        <v>104</v>
      </c>
      <c r="E5807" s="25">
        <v>1</v>
      </c>
      <c r="F5807" s="23">
        <v>1</v>
      </c>
      <c r="G5807" s="152" cm="1">
        <f t="array" ref="G5807">SUM(E5807/F5807)</f>
        <v>1</v>
      </c>
      <c r="H5807" s="15"/>
    </row>
    <row r="5808" ht="13.65" customHeight="1">
      <c r="A5808" s="21">
        <v>36</v>
      </c>
      <c r="B5808" t="s" s="22">
        <v>496</v>
      </c>
      <c r="C5808" t="s" s="24">
        <v>497</v>
      </c>
      <c r="D5808" t="s" s="24">
        <v>498</v>
      </c>
      <c r="E5808" s="25">
        <v>13</v>
      </c>
      <c r="F5808" s="23">
        <v>16</v>
      </c>
      <c r="G5808" s="152" cm="1">
        <f t="array" ref="G5808">SUM(E5808/F5808)</f>
        <v>0.8125</v>
      </c>
      <c r="H5808" s="15"/>
    </row>
    <row r="5809" ht="13.65" customHeight="1">
      <c r="A5809" s="21">
        <v>16</v>
      </c>
      <c r="B5809" t="s" s="22">
        <v>693</v>
      </c>
      <c r="C5809" s="23">
        <v>6</v>
      </c>
      <c r="D5809" t="s" s="24">
        <v>694</v>
      </c>
      <c r="E5809" s="25">
        <v>41</v>
      </c>
      <c r="F5809" s="23">
        <v>10</v>
      </c>
      <c r="G5809" s="152" cm="1">
        <f t="array" ref="G5809">SUM(E5809/F5809)</f>
        <v>4.1</v>
      </c>
      <c r="H5809" s="15"/>
    </row>
    <row r="5810" ht="13.65" customHeight="1">
      <c r="A5810" s="28"/>
      <c r="B5810" s="28"/>
      <c r="C5810" s="27"/>
      <c r="D5810" s="24"/>
      <c r="E5810" s="27"/>
      <c r="F5810" t="s" s="29">
        <v>118</v>
      </c>
      <c r="G5810" s="197" cm="1">
        <f t="array" ref="G5810">SUM(G5793:G5809)</f>
        <v>28.3340817269076</v>
      </c>
      <c r="H5810" s="15"/>
    </row>
    <row r="5811" ht="13.65" customHeight="1">
      <c r="A5811" s="129"/>
      <c r="B5811" s="129"/>
      <c r="C5811" s="129"/>
      <c r="D5811" s="129"/>
      <c r="E5811" s="129"/>
      <c r="F5811" s="31"/>
      <c r="G5811" s="31"/>
      <c r="H5811" s="293"/>
    </row>
    <row r="5812" ht="11.7" customHeight="1">
      <c r="A5812" t="s" s="167">
        <v>136</v>
      </c>
      <c r="B5812" t="s" s="167">
        <v>281</v>
      </c>
      <c r="C5812" t="s" s="167">
        <v>282</v>
      </c>
      <c r="D5812" t="s" s="168">
        <v>283</v>
      </c>
      <c r="E5812" s="169"/>
      <c r="F5812" s="170"/>
      <c r="G5812" s="171"/>
      <c r="H5812" s="171"/>
    </row>
    <row r="5813" ht="13.65" customHeight="1">
      <c r="A5813" s="23">
        <v>140</v>
      </c>
      <c r="B5813" s="172" cm="1">
        <f t="array" ref="B5813">SUM(H256)</f>
        <v>2.47496540404041</v>
      </c>
      <c r="C5813" s="172" cm="1">
        <f t="array" ref="C5813">SUM(G5810)</f>
        <v>28.3340817269076</v>
      </c>
      <c r="D5813" s="199" cm="1">
        <f t="array" ref="D5813">SUM(A5813*B5813)+(C5813)</f>
        <v>374.829238292565</v>
      </c>
      <c r="E5813" s="200"/>
      <c r="F5813" s="15"/>
      <c r="G5813" s="3"/>
      <c r="H5813" s="3"/>
    </row>
    <row r="5814" ht="13.65" customHeight="1">
      <c r="A5814" s="31"/>
      <c r="B5814" s="31"/>
      <c r="C5814" s="31"/>
      <c r="D5814" s="31"/>
      <c r="E5814" s="31"/>
      <c r="F5814" s="3"/>
      <c r="G5814" s="3"/>
      <c r="H5814" s="293"/>
    </row>
    <row r="5815" ht="13.65" customHeight="1">
      <c r="A5815" s="203"/>
      <c r="B5815" s="203"/>
      <c r="C5815" s="203"/>
      <c r="D5815" s="203"/>
      <c r="E5815" s="203"/>
      <c r="F5815" s="203"/>
      <c r="G5815" s="203"/>
      <c r="H5815" s="310"/>
    </row>
    <row r="5816" ht="13.65" customHeight="1">
      <c r="A5816" t="s" s="274">
        <v>284</v>
      </c>
      <c r="B5816" s="275"/>
      <c r="C5816" s="275"/>
      <c r="D5816" s="275"/>
      <c r="E5816" s="280"/>
      <c r="F5816" s="275"/>
      <c r="G5816" s="275"/>
      <c r="H5816" s="277"/>
    </row>
    <row r="5817" ht="13.65" customHeight="1">
      <c r="A5817" s="278"/>
      <c r="B5817" s="278"/>
      <c r="C5817" s="278"/>
      <c r="D5817" s="278"/>
      <c r="E5817" s="278"/>
      <c r="F5817" s="278"/>
      <c r="G5817" s="278"/>
      <c r="H5817" s="278"/>
    </row>
    <row r="5818" ht="13.65" customHeight="1">
      <c r="A5818" s="3"/>
      <c r="B5818" s="3"/>
      <c r="C5818" s="3"/>
      <c r="D5818" s="3"/>
      <c r="E5818" s="3"/>
      <c r="F5818" s="3"/>
      <c r="G5818" s="3"/>
      <c r="H5818" s="3"/>
    </row>
    <row r="5819" ht="13.65" customHeight="1">
      <c r="A5819" t="s" s="5">
        <v>878</v>
      </c>
      <c r="B5819" s="3"/>
      <c r="C5819" s="3"/>
      <c r="D5819" s="3"/>
      <c r="E5819" s="3"/>
      <c r="F5819" s="3"/>
      <c r="G5819" s="3"/>
      <c r="H5819" s="3"/>
    </row>
    <row r="5820" ht="13.65" customHeight="1">
      <c r="A5820" s="11"/>
      <c r="B5820" s="11"/>
      <c r="C5820" s="11"/>
      <c r="D5820" s="11"/>
      <c r="E5820" s="11"/>
      <c r="F5820" s="11"/>
      <c r="G5820" s="11"/>
      <c r="H5820" s="3"/>
    </row>
    <row r="5821" ht="13.65" customHeight="1">
      <c r="A5821" s="12"/>
      <c r="B5821" s="12"/>
      <c r="C5821" s="13"/>
      <c r="D5821" s="14"/>
      <c r="E5821" s="13"/>
      <c r="F5821" s="13"/>
      <c r="G5821" t="s" s="14">
        <v>252</v>
      </c>
      <c r="H5821" s="150"/>
    </row>
    <row r="5822" ht="13.65" customHeight="1">
      <c r="A5822" t="s" s="16">
        <v>93</v>
      </c>
      <c r="B5822" t="s" s="16">
        <v>94</v>
      </c>
      <c r="C5822" t="s" s="16">
        <v>95</v>
      </c>
      <c r="D5822" t="s" s="16">
        <v>96</v>
      </c>
      <c r="E5822" t="s" s="16">
        <v>97</v>
      </c>
      <c r="F5822" t="s" s="16">
        <v>98</v>
      </c>
      <c r="G5822" t="s" s="16">
        <v>99</v>
      </c>
      <c r="H5822" s="15"/>
    </row>
    <row r="5823" ht="13.65" customHeight="1">
      <c r="A5823" s="151"/>
      <c r="B5823" s="151"/>
      <c r="C5823" s="19"/>
      <c r="D5823" s="20"/>
      <c r="E5823" s="19"/>
      <c r="F5823" s="19"/>
      <c r="G5823" t="s" s="20">
        <v>100</v>
      </c>
      <c r="H5823" s="15"/>
    </row>
    <row r="5824" ht="13.65" customHeight="1">
      <c r="A5824" s="21">
        <v>72</v>
      </c>
      <c r="B5824" t="s" s="22">
        <v>101</v>
      </c>
      <c r="C5824" s="23">
        <v>50</v>
      </c>
      <c r="D5824" t="s" s="24">
        <v>274</v>
      </c>
      <c r="E5824" s="25">
        <v>1.93</v>
      </c>
      <c r="F5824" s="23">
        <v>12.5</v>
      </c>
      <c r="G5824" s="152" cm="1">
        <f t="array" ref="G5824">SUM(E5824/F5824)</f>
        <v>0.1544</v>
      </c>
      <c r="H5824" s="15"/>
    </row>
    <row r="5825" ht="13.65" customHeight="1">
      <c r="A5825" s="21">
        <v>123</v>
      </c>
      <c r="B5825" t="s" s="22">
        <v>103</v>
      </c>
      <c r="C5825" s="23">
        <v>40</v>
      </c>
      <c r="D5825" t="s" s="24">
        <v>102</v>
      </c>
      <c r="E5825" s="25">
        <v>3.2</v>
      </c>
      <c r="F5825" s="23">
        <v>20</v>
      </c>
      <c r="G5825" s="152" cm="1">
        <f t="array" ref="G5825">SUM(E5825/F5825)</f>
        <v>0.16</v>
      </c>
      <c r="H5825" s="15"/>
    </row>
    <row r="5826" ht="13.65" customHeight="1">
      <c r="A5826" s="21">
        <v>65</v>
      </c>
      <c r="B5826" t="s" s="22">
        <v>394</v>
      </c>
      <c r="C5826" s="23">
        <v>500</v>
      </c>
      <c r="D5826" t="s" s="24">
        <v>633</v>
      </c>
      <c r="E5826" s="25">
        <v>26</v>
      </c>
      <c r="F5826" s="23">
        <v>16.6</v>
      </c>
      <c r="G5826" s="152" cm="1">
        <f t="array" ref="G5826">SUM(E5826/F5826)</f>
        <v>1.56626506024096</v>
      </c>
      <c r="H5826" s="15"/>
    </row>
    <row r="5827" ht="13.65" customHeight="1">
      <c r="A5827" s="21">
        <v>140</v>
      </c>
      <c r="B5827" t="s" s="22">
        <v>470</v>
      </c>
      <c r="C5827" t="s" s="24">
        <v>108</v>
      </c>
      <c r="D5827" t="s" s="24">
        <v>102</v>
      </c>
      <c r="E5827" s="25">
        <v>1.12</v>
      </c>
      <c r="F5827" t="s" s="24">
        <v>387</v>
      </c>
      <c r="G5827" s="152" cm="1">
        <f t="array" ref="G5827">SUM(E5827*2)</f>
        <v>2.24</v>
      </c>
      <c r="H5827" s="15"/>
    </row>
    <row r="5828" ht="13.65" customHeight="1">
      <c r="A5828" s="21">
        <v>71</v>
      </c>
      <c r="B5828" t="s" s="22">
        <v>109</v>
      </c>
      <c r="C5828" s="23">
        <v>10</v>
      </c>
      <c r="D5828" t="s" s="24">
        <v>102</v>
      </c>
      <c r="E5828" s="25">
        <v>5.92</v>
      </c>
      <c r="F5828" s="23">
        <v>5</v>
      </c>
      <c r="G5828" s="152" cm="1">
        <f t="array" ref="G5828">SUM(E5828/F5828)</f>
        <v>1.184</v>
      </c>
      <c r="H5828" s="15"/>
    </row>
    <row r="5829" ht="13.65" customHeight="1">
      <c r="A5829" s="21">
        <v>87</v>
      </c>
      <c r="B5829" t="s" s="22">
        <v>110</v>
      </c>
      <c r="C5829" s="23">
        <v>50</v>
      </c>
      <c r="D5829" t="s" s="24">
        <v>102</v>
      </c>
      <c r="E5829" s="25">
        <v>9</v>
      </c>
      <c r="F5829" s="23">
        <v>25</v>
      </c>
      <c r="G5829" s="152" cm="1">
        <f t="array" ref="G5829">SUM(E5829/F5829)</f>
        <v>0.36</v>
      </c>
      <c r="H5829" s="15"/>
    </row>
    <row r="5830" ht="13.65" customHeight="1">
      <c r="A5830" s="21">
        <v>55</v>
      </c>
      <c r="B5830" t="s" s="22">
        <v>111</v>
      </c>
      <c r="C5830" t="s" s="24">
        <v>112</v>
      </c>
      <c r="D5830" t="s" s="24">
        <v>461</v>
      </c>
      <c r="E5830" s="25">
        <v>2.71</v>
      </c>
      <c r="F5830" s="23">
        <v>37.5</v>
      </c>
      <c r="G5830" s="152" cm="1">
        <f t="array" ref="G5830">SUM(E5830/F5830)</f>
        <v>0.0722666666666667</v>
      </c>
      <c r="H5830" s="15"/>
    </row>
    <row r="5831" ht="13.65" customHeight="1">
      <c r="A5831" s="21">
        <v>10</v>
      </c>
      <c r="B5831" t="s" s="22">
        <v>395</v>
      </c>
      <c r="C5831" t="s" s="24">
        <v>396</v>
      </c>
      <c r="D5831" t="s" s="24">
        <v>397</v>
      </c>
      <c r="E5831" s="25">
        <v>3.92</v>
      </c>
      <c r="F5831" s="23">
        <v>50</v>
      </c>
      <c r="G5831" s="152" cm="1">
        <f t="array" ref="G5831">SUM(E5831/F5831)</f>
        <v>0.0784</v>
      </c>
      <c r="H5831" s="15"/>
    </row>
    <row r="5832" ht="13.65" customHeight="1">
      <c r="A5832" s="21">
        <v>9</v>
      </c>
      <c r="B5832" t="s" s="22">
        <v>692</v>
      </c>
      <c r="C5832" s="23">
        <v>50</v>
      </c>
      <c r="D5832" t="s" s="24">
        <v>274</v>
      </c>
      <c r="E5832" s="25">
        <v>14</v>
      </c>
      <c r="F5832" s="23">
        <v>12.5</v>
      </c>
      <c r="G5832" s="152" cm="1">
        <f t="array" ref="G5832">SUM(E5832/F5832)</f>
        <v>1.12</v>
      </c>
      <c r="H5832" s="15"/>
    </row>
    <row r="5833" ht="13.65" customHeight="1">
      <c r="A5833" s="21">
        <v>6</v>
      </c>
      <c r="B5833" t="s" s="22">
        <v>399</v>
      </c>
      <c r="C5833" s="23">
        <v>100</v>
      </c>
      <c r="D5833" t="s" s="24">
        <v>104</v>
      </c>
      <c r="E5833" s="25">
        <v>19</v>
      </c>
      <c r="F5833" s="23">
        <v>100</v>
      </c>
      <c r="G5833" s="152" cm="1">
        <f t="array" ref="G5833">SUM(E5833/F5833)</f>
        <v>0.19</v>
      </c>
      <c r="H5833" s="15"/>
    </row>
    <row r="5834" ht="13.65" customHeight="1">
      <c r="A5834" s="21">
        <v>23</v>
      </c>
      <c r="B5834" t="s" s="22">
        <v>488</v>
      </c>
      <c r="C5834" s="23">
        <v>1</v>
      </c>
      <c r="D5834" t="s" s="24">
        <v>104</v>
      </c>
      <c r="E5834" s="25">
        <v>11</v>
      </c>
      <c r="F5834" s="23">
        <v>1</v>
      </c>
      <c r="G5834" s="152" cm="1">
        <f t="array" ref="G5834">SUM(E5834/F5834)</f>
        <v>11</v>
      </c>
      <c r="H5834" s="15"/>
    </row>
    <row r="5835" ht="13.65" customHeight="1">
      <c r="A5835" s="21">
        <v>119</v>
      </c>
      <c r="B5835" t="s" s="22">
        <v>467</v>
      </c>
      <c r="C5835" s="23">
        <v>1</v>
      </c>
      <c r="D5835" t="s" s="24">
        <v>468</v>
      </c>
      <c r="E5835" s="25">
        <v>0.45</v>
      </c>
      <c r="F5835" s="23">
        <v>1</v>
      </c>
      <c r="G5835" s="152" cm="1">
        <f t="array" ref="G5835">SUM(E5835/F5835)</f>
        <v>0.45</v>
      </c>
      <c r="H5835" s="15"/>
    </row>
    <row r="5836" ht="13.65" customHeight="1">
      <c r="A5836" s="21">
        <v>122</v>
      </c>
      <c r="B5836" t="s" s="22">
        <v>489</v>
      </c>
      <c r="C5836" t="s" s="24">
        <v>490</v>
      </c>
      <c r="D5836" t="s" s="24">
        <v>648</v>
      </c>
      <c r="E5836" s="25">
        <v>1.7</v>
      </c>
      <c r="F5836" s="23">
        <v>16</v>
      </c>
      <c r="G5836" s="152" cm="1">
        <f t="array" ref="G5836">SUM(E5836/F5836)</f>
        <v>0.10625</v>
      </c>
      <c r="H5836" s="15"/>
    </row>
    <row r="5837" ht="13.65" customHeight="1">
      <c r="A5837" s="21">
        <v>56</v>
      </c>
      <c r="B5837" t="s" s="22">
        <v>471</v>
      </c>
      <c r="C5837" s="23">
        <v>1</v>
      </c>
      <c r="D5837" t="s" s="24">
        <v>104</v>
      </c>
      <c r="E5837" s="25">
        <v>3.5</v>
      </c>
      <c r="F5837" s="23">
        <v>1</v>
      </c>
      <c r="G5837" s="152" cm="1">
        <f t="array" ref="G5837">SUM(E5837/F5837)</f>
        <v>3.5</v>
      </c>
      <c r="H5837" s="15"/>
    </row>
    <row r="5838" ht="13.65" customHeight="1">
      <c r="A5838" s="21">
        <v>78</v>
      </c>
      <c r="B5838" t="s" s="22">
        <v>492</v>
      </c>
      <c r="C5838" s="23">
        <v>1</v>
      </c>
      <c r="D5838" t="s" s="24">
        <v>104</v>
      </c>
      <c r="E5838" s="25">
        <v>1</v>
      </c>
      <c r="F5838" s="23">
        <v>1</v>
      </c>
      <c r="G5838" s="152" cm="1">
        <f t="array" ref="G5838">SUM(E5838/F5838)</f>
        <v>1</v>
      </c>
      <c r="H5838" s="15"/>
    </row>
    <row r="5839" ht="13.65" customHeight="1">
      <c r="A5839" s="21">
        <v>36</v>
      </c>
      <c r="B5839" t="s" s="22">
        <v>496</v>
      </c>
      <c r="C5839" t="s" s="24">
        <v>497</v>
      </c>
      <c r="D5839" t="s" s="24">
        <v>498</v>
      </c>
      <c r="E5839" s="25">
        <v>13</v>
      </c>
      <c r="F5839" s="23">
        <v>16</v>
      </c>
      <c r="G5839" s="152" cm="1">
        <f t="array" ref="G5839">SUM(E5839/F5839)</f>
        <v>0.8125</v>
      </c>
      <c r="H5839" s="15"/>
    </row>
    <row r="5840" ht="13.65" customHeight="1">
      <c r="A5840" s="21">
        <v>16</v>
      </c>
      <c r="B5840" t="s" s="22">
        <v>693</v>
      </c>
      <c r="C5840" s="23">
        <v>6</v>
      </c>
      <c r="D5840" t="s" s="24">
        <v>694</v>
      </c>
      <c r="E5840" s="25">
        <v>41</v>
      </c>
      <c r="F5840" s="23">
        <v>10</v>
      </c>
      <c r="G5840" s="152" cm="1">
        <f t="array" ref="G5840">SUM(E5840/F5840)</f>
        <v>4.1</v>
      </c>
      <c r="H5840" s="15"/>
    </row>
    <row r="5841" ht="13.65" customHeight="1">
      <c r="A5841" s="28"/>
      <c r="B5841" s="28"/>
      <c r="C5841" s="27"/>
      <c r="D5841" s="24"/>
      <c r="E5841" s="27"/>
      <c r="F5841" t="s" s="29">
        <v>118</v>
      </c>
      <c r="G5841" s="197" cm="1">
        <f t="array" ref="G5841">SUM(G5824:G5840)</f>
        <v>28.0940817269076</v>
      </c>
      <c r="H5841" s="15"/>
    </row>
    <row r="5842" ht="13.65" customHeight="1">
      <c r="A5842" s="129"/>
      <c r="B5842" s="129"/>
      <c r="C5842" s="129"/>
      <c r="D5842" s="129"/>
      <c r="E5842" s="129"/>
      <c r="F5842" s="31"/>
      <c r="G5842" s="31"/>
      <c r="H5842" s="3"/>
    </row>
    <row r="5843" ht="11.7" customHeight="1">
      <c r="A5843" t="s" s="167">
        <v>136</v>
      </c>
      <c r="B5843" t="s" s="167">
        <v>281</v>
      </c>
      <c r="C5843" t="s" s="167">
        <v>282</v>
      </c>
      <c r="D5843" t="s" s="168">
        <v>283</v>
      </c>
      <c r="E5843" s="169"/>
      <c r="F5843" s="170"/>
      <c r="G5843" s="171"/>
      <c r="H5843" s="171"/>
    </row>
    <row r="5844" ht="13.65" customHeight="1">
      <c r="A5844" s="23">
        <v>160</v>
      </c>
      <c r="B5844" s="172" cm="1">
        <f t="array" ref="B5844">SUM(H256)</f>
        <v>2.47496540404041</v>
      </c>
      <c r="C5844" s="172" cm="1">
        <f t="array" ref="C5844">SUM(G5841)</f>
        <v>28.0940817269076</v>
      </c>
      <c r="D5844" s="199" cm="1">
        <f t="array" ref="D5844">SUM(A5844*B5844)+(C5844)</f>
        <v>424.088546373373</v>
      </c>
      <c r="E5844" s="200"/>
      <c r="F5844" s="15"/>
      <c r="G5844" s="3"/>
      <c r="H5844" s="3"/>
    </row>
    <row r="5845" ht="13.65" customHeight="1">
      <c r="A5845" s="31"/>
      <c r="B5845" s="31"/>
      <c r="C5845" s="31"/>
      <c r="D5845" s="31"/>
      <c r="E5845" s="31"/>
      <c r="F5845" s="3"/>
      <c r="G5845" s="3"/>
      <c r="H5845" s="3"/>
    </row>
    <row r="5846" ht="13.65" customHeight="1">
      <c r="A5846" s="3"/>
      <c r="B5846" s="3"/>
      <c r="C5846" s="3"/>
      <c r="D5846" s="3"/>
      <c r="E5846" s="3"/>
      <c r="F5846" s="3"/>
      <c r="G5846" s="3"/>
      <c r="H5846" s="3"/>
    </row>
    <row r="5847" ht="13.65" customHeight="1">
      <c r="A5847" t="s" s="5">
        <v>879</v>
      </c>
      <c r="B5847" s="3"/>
      <c r="C5847" s="3"/>
      <c r="D5847" s="3"/>
      <c r="E5847" s="3"/>
      <c r="F5847" s="3"/>
      <c r="G5847" s="3"/>
      <c r="H5847" s="3"/>
    </row>
    <row r="5848" ht="13.65" customHeight="1">
      <c r="A5848" s="11"/>
      <c r="B5848" s="11"/>
      <c r="C5848" s="11"/>
      <c r="D5848" s="11"/>
      <c r="E5848" s="11"/>
      <c r="F5848" s="11"/>
      <c r="G5848" s="11"/>
      <c r="H5848" s="3"/>
    </row>
    <row r="5849" ht="13.65" customHeight="1">
      <c r="A5849" s="12"/>
      <c r="B5849" s="12"/>
      <c r="C5849" s="13"/>
      <c r="D5849" s="14"/>
      <c r="E5849" s="13"/>
      <c r="F5849" s="13"/>
      <c r="G5849" t="s" s="14">
        <v>252</v>
      </c>
      <c r="H5849" s="150"/>
    </row>
    <row r="5850" ht="13.65" customHeight="1">
      <c r="A5850" t="s" s="16">
        <v>93</v>
      </c>
      <c r="B5850" t="s" s="16">
        <v>94</v>
      </c>
      <c r="C5850" t="s" s="16">
        <v>95</v>
      </c>
      <c r="D5850" t="s" s="16">
        <v>96</v>
      </c>
      <c r="E5850" t="s" s="16">
        <v>97</v>
      </c>
      <c r="F5850" t="s" s="16">
        <v>98</v>
      </c>
      <c r="G5850" t="s" s="16">
        <v>99</v>
      </c>
      <c r="H5850" s="15"/>
    </row>
    <row r="5851" ht="13.65" customHeight="1">
      <c r="A5851" s="151"/>
      <c r="B5851" s="151"/>
      <c r="C5851" s="19"/>
      <c r="D5851" s="20"/>
      <c r="E5851" s="19"/>
      <c r="F5851" s="19"/>
      <c r="G5851" t="s" s="20">
        <v>100</v>
      </c>
      <c r="H5851" s="15"/>
    </row>
    <row r="5852" ht="13.65" customHeight="1">
      <c r="A5852" s="21">
        <v>72</v>
      </c>
      <c r="B5852" t="s" s="22">
        <v>101</v>
      </c>
      <c r="C5852" s="23">
        <v>50</v>
      </c>
      <c r="D5852" t="s" s="24">
        <v>274</v>
      </c>
      <c r="E5852" s="25">
        <v>1.93</v>
      </c>
      <c r="F5852" s="23">
        <v>12.5</v>
      </c>
      <c r="G5852" s="152" cm="1">
        <f t="array" ref="G5852">SUM(E5852/F5852)</f>
        <v>0.1544</v>
      </c>
      <c r="H5852" s="15"/>
    </row>
    <row r="5853" ht="13.65" customHeight="1">
      <c r="A5853" s="21">
        <v>123</v>
      </c>
      <c r="B5853" t="s" s="22">
        <v>103</v>
      </c>
      <c r="C5853" s="23">
        <v>40</v>
      </c>
      <c r="D5853" t="s" s="24">
        <v>102</v>
      </c>
      <c r="E5853" s="25">
        <v>3.2</v>
      </c>
      <c r="F5853" s="23">
        <v>20</v>
      </c>
      <c r="G5853" s="152" cm="1">
        <f t="array" ref="G5853">SUM(E5853/F5853)</f>
        <v>0.16</v>
      </c>
      <c r="H5853" s="15"/>
    </row>
    <row r="5854" ht="13.65" customHeight="1">
      <c r="A5854" s="21">
        <v>65</v>
      </c>
      <c r="B5854" t="s" s="22">
        <v>394</v>
      </c>
      <c r="C5854" s="23">
        <v>500</v>
      </c>
      <c r="D5854" t="s" s="24">
        <v>633</v>
      </c>
      <c r="E5854" s="25">
        <v>26</v>
      </c>
      <c r="F5854" s="23">
        <v>16.6</v>
      </c>
      <c r="G5854" s="152" cm="1">
        <f t="array" ref="G5854">SUM(E5854/F5854)</f>
        <v>1.56626506024096</v>
      </c>
      <c r="H5854" s="15"/>
    </row>
    <row r="5855" ht="13.65" customHeight="1">
      <c r="A5855" s="21">
        <v>140</v>
      </c>
      <c r="B5855" t="s" s="22">
        <v>470</v>
      </c>
      <c r="C5855" t="s" s="24">
        <v>108</v>
      </c>
      <c r="D5855" t="s" s="24">
        <v>102</v>
      </c>
      <c r="E5855" s="25">
        <v>1.12</v>
      </c>
      <c r="F5855" t="s" s="24">
        <v>387</v>
      </c>
      <c r="G5855" s="152" cm="1">
        <f t="array" ref="G5855">SUM(E5855*2)</f>
        <v>2.24</v>
      </c>
      <c r="H5855" s="15"/>
    </row>
    <row r="5856" ht="13.65" customHeight="1">
      <c r="A5856" s="21">
        <v>71</v>
      </c>
      <c r="B5856" t="s" s="22">
        <v>109</v>
      </c>
      <c r="C5856" s="23">
        <v>10</v>
      </c>
      <c r="D5856" t="s" s="24">
        <v>102</v>
      </c>
      <c r="E5856" s="25">
        <v>5.92</v>
      </c>
      <c r="F5856" s="23">
        <v>5</v>
      </c>
      <c r="G5856" s="152" cm="1">
        <f t="array" ref="G5856">SUM(E5856/F5856)</f>
        <v>1.184</v>
      </c>
      <c r="H5856" s="15"/>
    </row>
    <row r="5857" ht="13.65" customHeight="1">
      <c r="A5857" s="21">
        <v>87</v>
      </c>
      <c r="B5857" t="s" s="22">
        <v>110</v>
      </c>
      <c r="C5857" s="23">
        <v>50</v>
      </c>
      <c r="D5857" t="s" s="24">
        <v>102</v>
      </c>
      <c r="E5857" s="25">
        <v>9</v>
      </c>
      <c r="F5857" s="23">
        <v>25</v>
      </c>
      <c r="G5857" s="152" cm="1">
        <f t="array" ref="G5857">SUM(E5857/F5857)</f>
        <v>0.36</v>
      </c>
      <c r="H5857" s="15"/>
    </row>
    <row r="5858" ht="13.65" customHeight="1">
      <c r="A5858" s="21">
        <v>55</v>
      </c>
      <c r="B5858" t="s" s="22">
        <v>111</v>
      </c>
      <c r="C5858" t="s" s="24">
        <v>112</v>
      </c>
      <c r="D5858" t="s" s="24">
        <v>461</v>
      </c>
      <c r="E5858" s="25">
        <v>2.71</v>
      </c>
      <c r="F5858" s="23">
        <v>37.5</v>
      </c>
      <c r="G5858" s="152" cm="1">
        <f t="array" ref="G5858">SUM(E5858/F5858)</f>
        <v>0.0722666666666667</v>
      </c>
      <c r="H5858" s="15"/>
    </row>
    <row r="5859" ht="13.65" customHeight="1">
      <c r="A5859" s="21">
        <v>10</v>
      </c>
      <c r="B5859" t="s" s="22">
        <v>395</v>
      </c>
      <c r="C5859" t="s" s="24">
        <v>396</v>
      </c>
      <c r="D5859" t="s" s="24">
        <v>397</v>
      </c>
      <c r="E5859" s="25">
        <v>3.92</v>
      </c>
      <c r="F5859" s="23">
        <v>50</v>
      </c>
      <c r="G5859" s="152" cm="1">
        <f t="array" ref="G5859">SUM(E5859/F5859)</f>
        <v>0.0784</v>
      </c>
      <c r="H5859" s="15"/>
    </row>
    <row r="5860" ht="13.65" customHeight="1">
      <c r="A5860" s="21">
        <v>9</v>
      </c>
      <c r="B5860" t="s" s="22">
        <v>692</v>
      </c>
      <c r="C5860" s="23">
        <v>50</v>
      </c>
      <c r="D5860" t="s" s="24">
        <v>274</v>
      </c>
      <c r="E5860" s="25">
        <v>14</v>
      </c>
      <c r="F5860" s="23">
        <v>12.5</v>
      </c>
      <c r="G5860" s="152" cm="1">
        <f t="array" ref="G5860">SUM(E5860/F5860)</f>
        <v>1.12</v>
      </c>
      <c r="H5860" s="15"/>
    </row>
    <row r="5861" ht="13.65" customHeight="1">
      <c r="A5861" s="21">
        <v>6</v>
      </c>
      <c r="B5861" t="s" s="22">
        <v>399</v>
      </c>
      <c r="C5861" s="23">
        <v>100</v>
      </c>
      <c r="D5861" t="s" s="24">
        <v>104</v>
      </c>
      <c r="E5861" s="25">
        <v>19</v>
      </c>
      <c r="F5861" s="23">
        <v>100</v>
      </c>
      <c r="G5861" s="152" cm="1">
        <f t="array" ref="G5861">SUM(E5861/F5861)</f>
        <v>0.19</v>
      </c>
      <c r="H5861" s="15"/>
    </row>
    <row r="5862" ht="13.65" customHeight="1">
      <c r="A5862" s="21">
        <v>23</v>
      </c>
      <c r="B5862" t="s" s="22">
        <v>488</v>
      </c>
      <c r="C5862" s="23">
        <v>1</v>
      </c>
      <c r="D5862" t="s" s="24">
        <v>104</v>
      </c>
      <c r="E5862" s="25">
        <v>11</v>
      </c>
      <c r="F5862" s="23">
        <v>1</v>
      </c>
      <c r="G5862" s="152" cm="1">
        <f t="array" ref="G5862">SUM(E5862/F5862)</f>
        <v>11</v>
      </c>
      <c r="H5862" s="15"/>
    </row>
    <row r="5863" ht="13.65" customHeight="1">
      <c r="A5863" s="21">
        <v>119</v>
      </c>
      <c r="B5863" t="s" s="22">
        <v>467</v>
      </c>
      <c r="C5863" s="23">
        <v>1</v>
      </c>
      <c r="D5863" t="s" s="24">
        <v>468</v>
      </c>
      <c r="E5863" s="25">
        <v>0.45</v>
      </c>
      <c r="F5863" s="23">
        <v>1</v>
      </c>
      <c r="G5863" s="152" cm="1">
        <f t="array" ref="G5863">SUM(E5863/F5863)</f>
        <v>0.45</v>
      </c>
      <c r="H5863" s="15"/>
    </row>
    <row r="5864" ht="13.65" customHeight="1">
      <c r="A5864" s="21">
        <v>122</v>
      </c>
      <c r="B5864" t="s" s="22">
        <v>489</v>
      </c>
      <c r="C5864" t="s" s="24">
        <v>490</v>
      </c>
      <c r="D5864" t="s" s="24">
        <v>648</v>
      </c>
      <c r="E5864" s="25">
        <v>1.7</v>
      </c>
      <c r="F5864" s="23">
        <v>16</v>
      </c>
      <c r="G5864" s="152" cm="1">
        <f t="array" ref="G5864">SUM(E5864/F5864)</f>
        <v>0.10625</v>
      </c>
      <c r="H5864" s="15"/>
    </row>
    <row r="5865" ht="13.65" customHeight="1">
      <c r="A5865" s="21">
        <v>56</v>
      </c>
      <c r="B5865" t="s" s="22">
        <v>471</v>
      </c>
      <c r="C5865" s="23">
        <v>1</v>
      </c>
      <c r="D5865" t="s" s="24">
        <v>104</v>
      </c>
      <c r="E5865" s="25">
        <v>3.5</v>
      </c>
      <c r="F5865" s="23">
        <v>1</v>
      </c>
      <c r="G5865" s="152" cm="1">
        <f t="array" ref="G5865">SUM(E5865/F5865)</f>
        <v>3.5</v>
      </c>
      <c r="H5865" s="15"/>
    </row>
    <row r="5866" ht="13.65" customHeight="1">
      <c r="A5866" s="21">
        <v>78</v>
      </c>
      <c r="B5866" t="s" s="22">
        <v>492</v>
      </c>
      <c r="C5866" s="23">
        <v>1</v>
      </c>
      <c r="D5866" t="s" s="24">
        <v>104</v>
      </c>
      <c r="E5866" s="25">
        <v>1</v>
      </c>
      <c r="F5866" s="23">
        <v>1</v>
      </c>
      <c r="G5866" s="152" cm="1">
        <f t="array" ref="G5866">SUM(E5866/F5866)</f>
        <v>1</v>
      </c>
      <c r="H5866" s="15"/>
    </row>
    <row r="5867" ht="13.65" customHeight="1">
      <c r="A5867" s="21">
        <v>36</v>
      </c>
      <c r="B5867" t="s" s="22">
        <v>496</v>
      </c>
      <c r="C5867" t="s" s="24">
        <v>497</v>
      </c>
      <c r="D5867" t="s" s="24">
        <v>498</v>
      </c>
      <c r="E5867" s="25">
        <v>13</v>
      </c>
      <c r="F5867" s="23">
        <v>16</v>
      </c>
      <c r="G5867" s="152" cm="1">
        <f t="array" ref="G5867">SUM(E5867/F5867)</f>
        <v>0.8125</v>
      </c>
      <c r="H5867" s="15"/>
    </row>
    <row r="5868" ht="13.65" customHeight="1">
      <c r="A5868" s="21">
        <v>16</v>
      </c>
      <c r="B5868" t="s" s="22">
        <v>693</v>
      </c>
      <c r="C5868" s="23">
        <v>6</v>
      </c>
      <c r="D5868" t="s" s="24">
        <v>694</v>
      </c>
      <c r="E5868" s="25">
        <v>41</v>
      </c>
      <c r="F5868" s="23">
        <v>10</v>
      </c>
      <c r="G5868" s="152" cm="1">
        <f t="array" ref="G5868">SUM(E5868/F5868)</f>
        <v>4.1</v>
      </c>
      <c r="H5868" s="15"/>
    </row>
    <row r="5869" ht="13.65" customHeight="1">
      <c r="A5869" s="28"/>
      <c r="B5869" s="28"/>
      <c r="C5869" s="27"/>
      <c r="D5869" s="24"/>
      <c r="E5869" s="27"/>
      <c r="F5869" t="s" s="29">
        <v>118</v>
      </c>
      <c r="G5869" s="197" cm="1">
        <f t="array" ref="G5869">SUM(G5852:G5868)</f>
        <v>28.0940817269076</v>
      </c>
      <c r="H5869" s="15"/>
    </row>
    <row r="5870" ht="13.65" customHeight="1">
      <c r="A5870" s="129"/>
      <c r="B5870" s="129"/>
      <c r="C5870" s="129"/>
      <c r="D5870" s="129"/>
      <c r="E5870" s="129"/>
      <c r="F5870" s="31"/>
      <c r="G5870" s="31"/>
      <c r="H5870" s="3"/>
    </row>
    <row r="5871" ht="11.7" customHeight="1">
      <c r="A5871" t="s" s="167">
        <v>136</v>
      </c>
      <c r="B5871" t="s" s="167">
        <v>281</v>
      </c>
      <c r="C5871" t="s" s="167">
        <v>282</v>
      </c>
      <c r="D5871" t="s" s="168">
        <v>283</v>
      </c>
      <c r="E5871" s="169"/>
      <c r="F5871" s="170"/>
      <c r="G5871" s="171"/>
      <c r="H5871" s="171"/>
    </row>
    <row r="5872" ht="13.65" customHeight="1">
      <c r="A5872" s="23">
        <v>190</v>
      </c>
      <c r="B5872" s="172" cm="1">
        <f t="array" ref="B5872">SUM(H256)</f>
        <v>2.47496540404041</v>
      </c>
      <c r="C5872" s="172" cm="1">
        <f t="array" ref="C5872">SUM(G5869)</f>
        <v>28.0940817269076</v>
      </c>
      <c r="D5872" s="199" cm="1">
        <f t="array" ref="D5872">SUM(A5872*B5872)+(C5872)</f>
        <v>498.337508494586</v>
      </c>
      <c r="E5872" s="200"/>
      <c r="F5872" s="15"/>
      <c r="G5872" s="3"/>
      <c r="H5872" s="3"/>
    </row>
    <row r="5873" ht="13.65" customHeight="1">
      <c r="A5873" s="31"/>
      <c r="B5873" s="31"/>
      <c r="C5873" s="31"/>
      <c r="D5873" s="31"/>
      <c r="E5873" s="31"/>
      <c r="F5873" s="3"/>
      <c r="G5873" s="3"/>
      <c r="H5873" s="3"/>
    </row>
    <row r="5874" ht="13.65" customHeight="1">
      <c r="A5874" s="203"/>
      <c r="B5874" s="203"/>
      <c r="C5874" s="203"/>
      <c r="D5874" s="203"/>
      <c r="E5874" s="203"/>
      <c r="F5874" s="203"/>
      <c r="G5874" s="203"/>
      <c r="H5874" s="203"/>
    </row>
    <row r="5875" ht="13.65" customHeight="1">
      <c r="A5875" t="s" s="274">
        <v>284</v>
      </c>
      <c r="B5875" s="275"/>
      <c r="C5875" s="275"/>
      <c r="D5875" s="275"/>
      <c r="E5875" s="280"/>
      <c r="F5875" s="275"/>
      <c r="G5875" s="275"/>
      <c r="H5875" s="277"/>
    </row>
    <row r="5876" ht="13.65" customHeight="1">
      <c r="A5876" s="278"/>
      <c r="B5876" s="278"/>
      <c r="C5876" s="278"/>
      <c r="D5876" s="278"/>
      <c r="E5876" s="278"/>
      <c r="F5876" s="278"/>
      <c r="G5876" s="278"/>
      <c r="H5876" s="278"/>
    </row>
    <row r="5877" ht="13.65" customHeight="1">
      <c r="A5877" s="3"/>
      <c r="B5877" s="3"/>
      <c r="C5877" s="3"/>
      <c r="D5877" s="3"/>
      <c r="E5877" s="3"/>
      <c r="F5877" s="3"/>
      <c r="G5877" s="3"/>
      <c r="H5877" s="3"/>
    </row>
    <row r="5878" ht="13.65" customHeight="1">
      <c r="A5878" t="s" s="5">
        <v>880</v>
      </c>
      <c r="B5878" s="3"/>
      <c r="C5878" s="3"/>
      <c r="D5878" s="3"/>
      <c r="E5878" s="3"/>
      <c r="F5878" s="3"/>
      <c r="G5878" s="3"/>
      <c r="H5878" s="3"/>
    </row>
    <row r="5879" ht="13.65" customHeight="1">
      <c r="A5879" s="11"/>
      <c r="B5879" s="11"/>
      <c r="C5879" s="11"/>
      <c r="D5879" s="11"/>
      <c r="E5879" s="11"/>
      <c r="F5879" s="11"/>
      <c r="G5879" s="11"/>
      <c r="H5879" s="3"/>
    </row>
    <row r="5880" ht="13.65" customHeight="1">
      <c r="A5880" s="12"/>
      <c r="B5880" s="12"/>
      <c r="C5880" s="13"/>
      <c r="D5880" s="14"/>
      <c r="E5880" s="13"/>
      <c r="F5880" s="13"/>
      <c r="G5880" t="s" s="14">
        <v>252</v>
      </c>
      <c r="H5880" s="150"/>
    </row>
    <row r="5881" ht="13.65" customHeight="1">
      <c r="A5881" t="s" s="16">
        <v>93</v>
      </c>
      <c r="B5881" t="s" s="16">
        <v>94</v>
      </c>
      <c r="C5881" t="s" s="16">
        <v>95</v>
      </c>
      <c r="D5881" t="s" s="16">
        <v>96</v>
      </c>
      <c r="E5881" t="s" s="16">
        <v>97</v>
      </c>
      <c r="F5881" t="s" s="16">
        <v>98</v>
      </c>
      <c r="G5881" t="s" s="16">
        <v>99</v>
      </c>
      <c r="H5881" s="15"/>
    </row>
    <row r="5882" ht="13.65" customHeight="1">
      <c r="A5882" s="151"/>
      <c r="B5882" s="151"/>
      <c r="C5882" s="19"/>
      <c r="D5882" s="20"/>
      <c r="E5882" s="19"/>
      <c r="F5882" s="19"/>
      <c r="G5882" t="s" s="20">
        <v>100</v>
      </c>
      <c r="H5882" s="15"/>
    </row>
    <row r="5883" ht="13.65" customHeight="1">
      <c r="A5883" s="21">
        <v>72</v>
      </c>
      <c r="B5883" t="s" s="22">
        <v>101</v>
      </c>
      <c r="C5883" s="23">
        <v>50</v>
      </c>
      <c r="D5883" t="s" s="24">
        <v>274</v>
      </c>
      <c r="E5883" s="25">
        <v>1.93</v>
      </c>
      <c r="F5883" s="23">
        <v>12.5</v>
      </c>
      <c r="G5883" s="152" cm="1">
        <f t="array" ref="G5883">SUM(E5883/F5883)</f>
        <v>0.1544</v>
      </c>
      <c r="H5883" s="15"/>
    </row>
    <row r="5884" ht="13.65" customHeight="1">
      <c r="A5884" s="21">
        <v>123</v>
      </c>
      <c r="B5884" t="s" s="22">
        <v>103</v>
      </c>
      <c r="C5884" s="23">
        <v>40</v>
      </c>
      <c r="D5884" t="s" s="24">
        <v>102</v>
      </c>
      <c r="E5884" s="25">
        <v>3.2</v>
      </c>
      <c r="F5884" s="23">
        <v>20</v>
      </c>
      <c r="G5884" s="152" cm="1">
        <f t="array" ref="G5884">SUM(E5884/F5884)</f>
        <v>0.16</v>
      </c>
      <c r="H5884" s="15"/>
    </row>
    <row r="5885" ht="13.65" customHeight="1">
      <c r="A5885" s="21">
        <v>65</v>
      </c>
      <c r="B5885" t="s" s="22">
        <v>394</v>
      </c>
      <c r="C5885" s="23">
        <v>500</v>
      </c>
      <c r="D5885" t="s" s="24">
        <v>633</v>
      </c>
      <c r="E5885" s="25">
        <v>26</v>
      </c>
      <c r="F5885" s="23">
        <v>16.6</v>
      </c>
      <c r="G5885" s="152" cm="1">
        <f t="array" ref="G5885">SUM(E5885/F5885)</f>
        <v>1.56626506024096</v>
      </c>
      <c r="H5885" s="15"/>
    </row>
    <row r="5886" ht="13.65" customHeight="1">
      <c r="A5886" s="21">
        <v>140</v>
      </c>
      <c r="B5886" t="s" s="22">
        <v>470</v>
      </c>
      <c r="C5886" t="s" s="24">
        <v>108</v>
      </c>
      <c r="D5886" t="s" s="24">
        <v>102</v>
      </c>
      <c r="E5886" s="25">
        <v>1.12</v>
      </c>
      <c r="F5886" t="s" s="24">
        <v>387</v>
      </c>
      <c r="G5886" s="152" cm="1">
        <f t="array" ref="G5886">SUM(E5886*2)</f>
        <v>2.24</v>
      </c>
      <c r="H5886" s="15"/>
    </row>
    <row r="5887" ht="13.65" customHeight="1">
      <c r="A5887" s="21">
        <v>71</v>
      </c>
      <c r="B5887" t="s" s="22">
        <v>109</v>
      </c>
      <c r="C5887" s="23">
        <v>10</v>
      </c>
      <c r="D5887" t="s" s="24">
        <v>102</v>
      </c>
      <c r="E5887" s="25">
        <v>5.92</v>
      </c>
      <c r="F5887" s="23">
        <v>5</v>
      </c>
      <c r="G5887" s="152" cm="1">
        <f t="array" ref="G5887">SUM(E5887/F5887)</f>
        <v>1.184</v>
      </c>
      <c r="H5887" s="15"/>
    </row>
    <row r="5888" ht="13.65" customHeight="1">
      <c r="A5888" s="21">
        <v>87</v>
      </c>
      <c r="B5888" t="s" s="22">
        <v>110</v>
      </c>
      <c r="C5888" s="23">
        <v>50</v>
      </c>
      <c r="D5888" t="s" s="24">
        <v>102</v>
      </c>
      <c r="E5888" s="25">
        <v>9</v>
      </c>
      <c r="F5888" s="23">
        <v>25</v>
      </c>
      <c r="G5888" s="152" cm="1">
        <f t="array" ref="G5888">SUM(E5888/F5888)</f>
        <v>0.36</v>
      </c>
      <c r="H5888" s="15"/>
    </row>
    <row r="5889" ht="13.65" customHeight="1">
      <c r="A5889" s="21">
        <v>55</v>
      </c>
      <c r="B5889" t="s" s="22">
        <v>111</v>
      </c>
      <c r="C5889" t="s" s="24">
        <v>112</v>
      </c>
      <c r="D5889" t="s" s="24">
        <v>461</v>
      </c>
      <c r="E5889" s="25">
        <v>2.71</v>
      </c>
      <c r="F5889" s="23">
        <v>37.5</v>
      </c>
      <c r="G5889" s="152" cm="1">
        <f t="array" ref="G5889">SUM(E5889/F5889)</f>
        <v>0.0722666666666667</v>
      </c>
      <c r="H5889" s="15"/>
    </row>
    <row r="5890" ht="13.65" customHeight="1">
      <c r="A5890" s="21">
        <v>10</v>
      </c>
      <c r="B5890" t="s" s="22">
        <v>395</v>
      </c>
      <c r="C5890" t="s" s="24">
        <v>396</v>
      </c>
      <c r="D5890" t="s" s="24">
        <v>397</v>
      </c>
      <c r="E5890" s="25">
        <v>3.92</v>
      </c>
      <c r="F5890" s="23">
        <v>50</v>
      </c>
      <c r="G5890" s="152" cm="1">
        <f t="array" ref="G5890">SUM(E5890/F5890)</f>
        <v>0.0784</v>
      </c>
      <c r="H5890" s="15"/>
    </row>
    <row r="5891" ht="13.65" customHeight="1">
      <c r="A5891" s="21">
        <v>9</v>
      </c>
      <c r="B5891" t="s" s="22">
        <v>692</v>
      </c>
      <c r="C5891" s="23">
        <v>50</v>
      </c>
      <c r="D5891" t="s" s="24">
        <v>274</v>
      </c>
      <c r="E5891" s="25">
        <v>14</v>
      </c>
      <c r="F5891" s="23">
        <v>12.5</v>
      </c>
      <c r="G5891" s="152" cm="1">
        <f t="array" ref="G5891">SUM(E5891/F5891)</f>
        <v>1.12</v>
      </c>
      <c r="H5891" s="15"/>
    </row>
    <row r="5892" ht="13.65" customHeight="1">
      <c r="A5892" s="21">
        <v>6</v>
      </c>
      <c r="B5892" t="s" s="22">
        <v>399</v>
      </c>
      <c r="C5892" s="23">
        <v>100</v>
      </c>
      <c r="D5892" t="s" s="24">
        <v>104</v>
      </c>
      <c r="E5892" s="25">
        <v>19</v>
      </c>
      <c r="F5892" s="23">
        <v>100</v>
      </c>
      <c r="G5892" s="152" cm="1">
        <f t="array" ref="G5892">SUM(E5892/F5892)</f>
        <v>0.19</v>
      </c>
      <c r="H5892" s="15"/>
    </row>
    <row r="5893" ht="13.65" customHeight="1">
      <c r="A5893" s="21">
        <v>23</v>
      </c>
      <c r="B5893" t="s" s="22">
        <v>488</v>
      </c>
      <c r="C5893" s="23">
        <v>1</v>
      </c>
      <c r="D5893" t="s" s="24">
        <v>104</v>
      </c>
      <c r="E5893" s="25">
        <v>11</v>
      </c>
      <c r="F5893" s="23">
        <v>1</v>
      </c>
      <c r="G5893" s="152" cm="1">
        <f t="array" ref="G5893">SUM(E5893/F5893)</f>
        <v>11</v>
      </c>
      <c r="H5893" s="15"/>
    </row>
    <row r="5894" ht="13.65" customHeight="1">
      <c r="A5894" s="21">
        <v>119</v>
      </c>
      <c r="B5894" t="s" s="22">
        <v>467</v>
      </c>
      <c r="C5894" s="23">
        <v>1</v>
      </c>
      <c r="D5894" t="s" s="24">
        <v>468</v>
      </c>
      <c r="E5894" s="25">
        <v>0.45</v>
      </c>
      <c r="F5894" s="23">
        <v>1</v>
      </c>
      <c r="G5894" s="152" cm="1">
        <f t="array" ref="G5894">SUM(E5894/F5894)</f>
        <v>0.45</v>
      </c>
      <c r="H5894" s="15"/>
    </row>
    <row r="5895" ht="13.65" customHeight="1">
      <c r="A5895" s="21">
        <v>122</v>
      </c>
      <c r="B5895" t="s" s="22">
        <v>489</v>
      </c>
      <c r="C5895" t="s" s="24">
        <v>490</v>
      </c>
      <c r="D5895" t="s" s="24">
        <v>648</v>
      </c>
      <c r="E5895" s="25">
        <v>1.7</v>
      </c>
      <c r="F5895" s="23">
        <v>16</v>
      </c>
      <c r="G5895" s="152" cm="1">
        <f t="array" ref="G5895">SUM(E5895/F5895)</f>
        <v>0.10625</v>
      </c>
      <c r="H5895" s="15"/>
    </row>
    <row r="5896" ht="13.65" customHeight="1">
      <c r="A5896" s="21">
        <v>56</v>
      </c>
      <c r="B5896" t="s" s="22">
        <v>471</v>
      </c>
      <c r="C5896" s="23">
        <v>1</v>
      </c>
      <c r="D5896" t="s" s="24">
        <v>104</v>
      </c>
      <c r="E5896" s="25">
        <v>3.5</v>
      </c>
      <c r="F5896" s="23">
        <v>1</v>
      </c>
      <c r="G5896" s="152" cm="1">
        <f t="array" ref="G5896">SUM(E5896/F5896)</f>
        <v>3.5</v>
      </c>
      <c r="H5896" s="15"/>
    </row>
    <row r="5897" ht="13.65" customHeight="1">
      <c r="A5897" s="21">
        <v>78</v>
      </c>
      <c r="B5897" t="s" s="22">
        <v>492</v>
      </c>
      <c r="C5897" s="23">
        <v>1</v>
      </c>
      <c r="D5897" t="s" s="24">
        <v>104</v>
      </c>
      <c r="E5897" s="25">
        <v>1</v>
      </c>
      <c r="F5897" s="23">
        <v>1</v>
      </c>
      <c r="G5897" s="152" cm="1">
        <f t="array" ref="G5897">SUM(E5897/F5897)</f>
        <v>1</v>
      </c>
      <c r="H5897" s="15"/>
    </row>
    <row r="5898" ht="13.65" customHeight="1">
      <c r="A5898" s="21">
        <v>36</v>
      </c>
      <c r="B5898" t="s" s="22">
        <v>496</v>
      </c>
      <c r="C5898" t="s" s="24">
        <v>497</v>
      </c>
      <c r="D5898" t="s" s="24">
        <v>498</v>
      </c>
      <c r="E5898" s="25">
        <v>13</v>
      </c>
      <c r="F5898" s="23">
        <v>16</v>
      </c>
      <c r="G5898" s="152" cm="1">
        <f t="array" ref="G5898">SUM(E5898/F5898)</f>
        <v>0.8125</v>
      </c>
      <c r="H5898" s="15"/>
    </row>
    <row r="5899" ht="13.65" customHeight="1">
      <c r="A5899" s="21">
        <v>16</v>
      </c>
      <c r="B5899" t="s" s="22">
        <v>693</v>
      </c>
      <c r="C5899" s="23">
        <v>6</v>
      </c>
      <c r="D5899" t="s" s="24">
        <v>694</v>
      </c>
      <c r="E5899" s="25">
        <v>41</v>
      </c>
      <c r="F5899" s="23">
        <v>10</v>
      </c>
      <c r="G5899" s="152" cm="1">
        <f t="array" ref="G5899">SUM(E5899/F5899)</f>
        <v>4.1</v>
      </c>
      <c r="H5899" s="15"/>
    </row>
    <row r="5900" ht="13.65" customHeight="1">
      <c r="A5900" s="28"/>
      <c r="B5900" s="28"/>
      <c r="C5900" s="27"/>
      <c r="D5900" s="24"/>
      <c r="E5900" s="27"/>
      <c r="F5900" t="s" s="29">
        <v>118</v>
      </c>
      <c r="G5900" s="197" cm="1">
        <f t="array" ref="G5900">SUM(G5883:G5899)</f>
        <v>28.0940817269076</v>
      </c>
      <c r="H5900" s="15"/>
    </row>
    <row r="5901" ht="13.65" customHeight="1">
      <c r="A5901" s="129"/>
      <c r="B5901" s="129"/>
      <c r="C5901" s="129"/>
      <c r="D5901" s="129"/>
      <c r="E5901" s="129"/>
      <c r="F5901" s="31"/>
      <c r="G5901" s="31"/>
      <c r="H5901" s="3"/>
    </row>
    <row r="5902" ht="11.7" customHeight="1">
      <c r="A5902" t="s" s="167">
        <v>136</v>
      </c>
      <c r="B5902" t="s" s="167">
        <v>281</v>
      </c>
      <c r="C5902" t="s" s="167">
        <v>282</v>
      </c>
      <c r="D5902" t="s" s="168">
        <v>283</v>
      </c>
      <c r="E5902" s="169"/>
      <c r="F5902" s="170"/>
      <c r="G5902" s="171"/>
      <c r="H5902" s="171"/>
    </row>
    <row r="5903" ht="13.65" customHeight="1">
      <c r="A5903" s="23">
        <v>180</v>
      </c>
      <c r="B5903" s="172" cm="1">
        <f t="array" ref="B5903">SUM(H256)</f>
        <v>2.47496540404041</v>
      </c>
      <c r="C5903" s="172" cm="1">
        <f t="array" ref="C5903">SUM(G5900)</f>
        <v>28.0940817269076</v>
      </c>
      <c r="D5903" s="199" cm="1">
        <f t="array" ref="D5903">SUM(A5903*B5903)+(C5903)</f>
        <v>473.587854454181</v>
      </c>
      <c r="E5903" s="200"/>
      <c r="F5903" s="15"/>
      <c r="G5903" s="3"/>
      <c r="H5903" s="3"/>
    </row>
    <row r="5904" ht="13.65" customHeight="1">
      <c r="A5904" s="31"/>
      <c r="B5904" s="31"/>
      <c r="C5904" s="31"/>
      <c r="D5904" s="31"/>
      <c r="E5904" s="31"/>
      <c r="F5904" s="3"/>
      <c r="G5904" s="3"/>
      <c r="H5904" s="3"/>
    </row>
    <row r="5905" ht="13.65" customHeight="1">
      <c r="A5905" s="3"/>
      <c r="B5905" s="3"/>
      <c r="C5905" s="3"/>
      <c r="D5905" s="3"/>
      <c r="E5905" s="3"/>
      <c r="F5905" s="3"/>
      <c r="G5905" s="3"/>
      <c r="H5905" s="3"/>
    </row>
    <row r="5906" ht="13.65" customHeight="1">
      <c r="A5906" t="s" s="5">
        <v>881</v>
      </c>
      <c r="B5906" s="3"/>
      <c r="C5906" s="3"/>
      <c r="D5906" s="3"/>
      <c r="E5906" s="3"/>
      <c r="F5906" s="3"/>
      <c r="G5906" s="3"/>
      <c r="H5906" s="3"/>
    </row>
    <row r="5907" ht="13.65" customHeight="1">
      <c r="A5907" s="11"/>
      <c r="B5907" s="11"/>
      <c r="C5907" s="11"/>
      <c r="D5907" s="11"/>
      <c r="E5907" s="11"/>
      <c r="F5907" s="11"/>
      <c r="G5907" s="11"/>
      <c r="H5907" s="3"/>
    </row>
    <row r="5908" ht="13.65" customHeight="1">
      <c r="A5908" s="12"/>
      <c r="B5908" s="12"/>
      <c r="C5908" s="13"/>
      <c r="D5908" s="14"/>
      <c r="E5908" s="13"/>
      <c r="F5908" s="13"/>
      <c r="G5908" t="s" s="14">
        <v>252</v>
      </c>
      <c r="H5908" s="150"/>
    </row>
    <row r="5909" ht="13.65" customHeight="1">
      <c r="A5909" t="s" s="16">
        <v>93</v>
      </c>
      <c r="B5909" t="s" s="16">
        <v>94</v>
      </c>
      <c r="C5909" t="s" s="16">
        <v>95</v>
      </c>
      <c r="D5909" t="s" s="16">
        <v>96</v>
      </c>
      <c r="E5909" t="s" s="16">
        <v>97</v>
      </c>
      <c r="F5909" t="s" s="16">
        <v>98</v>
      </c>
      <c r="G5909" t="s" s="16">
        <v>99</v>
      </c>
      <c r="H5909" s="15"/>
    </row>
    <row r="5910" ht="13.65" customHeight="1">
      <c r="A5910" s="151"/>
      <c r="B5910" s="151"/>
      <c r="C5910" s="19"/>
      <c r="D5910" s="20"/>
      <c r="E5910" s="19"/>
      <c r="F5910" s="19"/>
      <c r="G5910" t="s" s="20">
        <v>100</v>
      </c>
      <c r="H5910" s="15"/>
    </row>
    <row r="5911" ht="13.65" customHeight="1">
      <c r="A5911" s="21">
        <v>72</v>
      </c>
      <c r="B5911" t="s" s="22">
        <v>101</v>
      </c>
      <c r="C5911" s="23">
        <v>50</v>
      </c>
      <c r="D5911" t="s" s="24">
        <v>274</v>
      </c>
      <c r="E5911" s="25">
        <v>1.93</v>
      </c>
      <c r="F5911" s="23">
        <v>12.5</v>
      </c>
      <c r="G5911" s="152" cm="1">
        <f t="array" ref="G5911">SUM(E5911/F5911)</f>
        <v>0.1544</v>
      </c>
      <c r="H5911" s="15"/>
    </row>
    <row r="5912" ht="13.65" customHeight="1">
      <c r="A5912" s="21">
        <v>123</v>
      </c>
      <c r="B5912" t="s" s="22">
        <v>103</v>
      </c>
      <c r="C5912" s="23">
        <v>40</v>
      </c>
      <c r="D5912" t="s" s="24">
        <v>102</v>
      </c>
      <c r="E5912" s="25">
        <v>3.2</v>
      </c>
      <c r="F5912" s="23">
        <v>20</v>
      </c>
      <c r="G5912" s="152" cm="1">
        <f t="array" ref="G5912">SUM(E5912/F5912)</f>
        <v>0.16</v>
      </c>
      <c r="H5912" s="15"/>
    </row>
    <row r="5913" ht="13.65" customHeight="1">
      <c r="A5913" s="21">
        <v>65</v>
      </c>
      <c r="B5913" t="s" s="22">
        <v>394</v>
      </c>
      <c r="C5913" s="23">
        <v>500</v>
      </c>
      <c r="D5913" t="s" s="24">
        <v>633</v>
      </c>
      <c r="E5913" s="25">
        <v>26</v>
      </c>
      <c r="F5913" s="23">
        <v>16.6</v>
      </c>
      <c r="G5913" s="152" cm="1">
        <f t="array" ref="G5913">SUM(E5913/F5913)</f>
        <v>1.56626506024096</v>
      </c>
      <c r="H5913" s="15"/>
    </row>
    <row r="5914" ht="13.65" customHeight="1">
      <c r="A5914" s="21">
        <v>140</v>
      </c>
      <c r="B5914" t="s" s="22">
        <v>470</v>
      </c>
      <c r="C5914" t="s" s="24">
        <v>108</v>
      </c>
      <c r="D5914" t="s" s="24">
        <v>102</v>
      </c>
      <c r="E5914" s="25">
        <v>1.12</v>
      </c>
      <c r="F5914" t="s" s="24">
        <v>387</v>
      </c>
      <c r="G5914" s="152" cm="1">
        <f t="array" ref="G5914">SUM(E5914*2)</f>
        <v>2.24</v>
      </c>
      <c r="H5914" s="15"/>
    </row>
    <row r="5915" ht="13.65" customHeight="1">
      <c r="A5915" s="21">
        <v>71</v>
      </c>
      <c r="B5915" t="s" s="22">
        <v>109</v>
      </c>
      <c r="C5915" s="23">
        <v>10</v>
      </c>
      <c r="D5915" t="s" s="24">
        <v>102</v>
      </c>
      <c r="E5915" s="25">
        <v>5.92</v>
      </c>
      <c r="F5915" s="23">
        <v>5</v>
      </c>
      <c r="G5915" s="152" cm="1">
        <f t="array" ref="G5915">SUM(E5915/F5915)</f>
        <v>1.184</v>
      </c>
      <c r="H5915" s="15"/>
    </row>
    <row r="5916" ht="13.65" customHeight="1">
      <c r="A5916" s="21">
        <v>87</v>
      </c>
      <c r="B5916" t="s" s="22">
        <v>110</v>
      </c>
      <c r="C5916" s="23">
        <v>50</v>
      </c>
      <c r="D5916" t="s" s="24">
        <v>102</v>
      </c>
      <c r="E5916" s="25">
        <v>9</v>
      </c>
      <c r="F5916" s="23">
        <v>25</v>
      </c>
      <c r="G5916" s="152" cm="1">
        <f t="array" ref="G5916">SUM(E5916/F5916)</f>
        <v>0.36</v>
      </c>
      <c r="H5916" s="15"/>
    </row>
    <row r="5917" ht="13.65" customHeight="1">
      <c r="A5917" s="21">
        <v>55</v>
      </c>
      <c r="B5917" t="s" s="22">
        <v>111</v>
      </c>
      <c r="C5917" t="s" s="24">
        <v>112</v>
      </c>
      <c r="D5917" t="s" s="24">
        <v>461</v>
      </c>
      <c r="E5917" s="25">
        <v>2.71</v>
      </c>
      <c r="F5917" s="23">
        <v>37.5</v>
      </c>
      <c r="G5917" s="152" cm="1">
        <f t="array" ref="G5917">SUM(E5917/F5917)</f>
        <v>0.0722666666666667</v>
      </c>
      <c r="H5917" s="15"/>
    </row>
    <row r="5918" ht="13.65" customHeight="1">
      <c r="A5918" s="21">
        <v>10</v>
      </c>
      <c r="B5918" t="s" s="22">
        <v>395</v>
      </c>
      <c r="C5918" t="s" s="24">
        <v>396</v>
      </c>
      <c r="D5918" t="s" s="24">
        <v>397</v>
      </c>
      <c r="E5918" s="25">
        <v>3.92</v>
      </c>
      <c r="F5918" s="23">
        <v>50</v>
      </c>
      <c r="G5918" s="152" cm="1">
        <f t="array" ref="G5918">SUM(E5918/F5918)</f>
        <v>0.0784</v>
      </c>
      <c r="H5918" s="15"/>
    </row>
    <row r="5919" ht="13.65" customHeight="1">
      <c r="A5919" s="21">
        <v>9</v>
      </c>
      <c r="B5919" t="s" s="22">
        <v>692</v>
      </c>
      <c r="C5919" s="23">
        <v>50</v>
      </c>
      <c r="D5919" t="s" s="24">
        <v>274</v>
      </c>
      <c r="E5919" s="25">
        <v>14</v>
      </c>
      <c r="F5919" s="23">
        <v>12.5</v>
      </c>
      <c r="G5919" s="152" cm="1">
        <f t="array" ref="G5919">SUM(E5919/F5919)</f>
        <v>1.12</v>
      </c>
      <c r="H5919" s="15"/>
    </row>
    <row r="5920" ht="13.65" customHeight="1">
      <c r="A5920" s="21">
        <v>6</v>
      </c>
      <c r="B5920" t="s" s="22">
        <v>399</v>
      </c>
      <c r="C5920" s="23">
        <v>100</v>
      </c>
      <c r="D5920" t="s" s="24">
        <v>104</v>
      </c>
      <c r="E5920" s="25">
        <v>19</v>
      </c>
      <c r="F5920" s="23">
        <v>100</v>
      </c>
      <c r="G5920" s="152" cm="1">
        <f t="array" ref="G5920">SUM(E5920/F5920)</f>
        <v>0.19</v>
      </c>
      <c r="H5920" s="15"/>
    </row>
    <row r="5921" ht="13.65" customHeight="1">
      <c r="A5921" s="21">
        <v>23</v>
      </c>
      <c r="B5921" t="s" s="22">
        <v>488</v>
      </c>
      <c r="C5921" s="23">
        <v>1</v>
      </c>
      <c r="D5921" t="s" s="24">
        <v>104</v>
      </c>
      <c r="E5921" s="25">
        <v>11</v>
      </c>
      <c r="F5921" s="23">
        <v>1</v>
      </c>
      <c r="G5921" s="152" cm="1">
        <f t="array" ref="G5921">SUM(E5921/F5921)</f>
        <v>11</v>
      </c>
      <c r="H5921" s="15"/>
    </row>
    <row r="5922" ht="13.65" customHeight="1">
      <c r="A5922" s="21">
        <v>119</v>
      </c>
      <c r="B5922" t="s" s="22">
        <v>467</v>
      </c>
      <c r="C5922" s="23">
        <v>1</v>
      </c>
      <c r="D5922" t="s" s="24">
        <v>468</v>
      </c>
      <c r="E5922" s="25">
        <v>0.45</v>
      </c>
      <c r="F5922" s="23">
        <v>1</v>
      </c>
      <c r="G5922" s="152" cm="1">
        <f t="array" ref="G5922">SUM(E5922/F5922)</f>
        <v>0.45</v>
      </c>
      <c r="H5922" s="15"/>
    </row>
    <row r="5923" ht="13.65" customHeight="1">
      <c r="A5923" s="21">
        <v>122</v>
      </c>
      <c r="B5923" t="s" s="22">
        <v>489</v>
      </c>
      <c r="C5923" t="s" s="24">
        <v>490</v>
      </c>
      <c r="D5923" t="s" s="24">
        <v>648</v>
      </c>
      <c r="E5923" s="25">
        <v>1.7</v>
      </c>
      <c r="F5923" s="23">
        <v>16</v>
      </c>
      <c r="G5923" s="152" cm="1">
        <f t="array" ref="G5923">SUM(E5923/F5923)</f>
        <v>0.10625</v>
      </c>
      <c r="H5923" s="15"/>
    </row>
    <row r="5924" ht="13.65" customHeight="1">
      <c r="A5924" s="21">
        <v>56</v>
      </c>
      <c r="B5924" t="s" s="22">
        <v>471</v>
      </c>
      <c r="C5924" s="23">
        <v>1</v>
      </c>
      <c r="D5924" t="s" s="24">
        <v>104</v>
      </c>
      <c r="E5924" s="25">
        <v>3.5</v>
      </c>
      <c r="F5924" s="23">
        <v>1</v>
      </c>
      <c r="G5924" s="152" cm="1">
        <f t="array" ref="G5924">SUM(E5924/F5924)</f>
        <v>3.5</v>
      </c>
      <c r="H5924" s="15"/>
    </row>
    <row r="5925" ht="13.65" customHeight="1">
      <c r="A5925" s="21">
        <v>78</v>
      </c>
      <c r="B5925" t="s" s="22">
        <v>492</v>
      </c>
      <c r="C5925" s="23">
        <v>1</v>
      </c>
      <c r="D5925" t="s" s="24">
        <v>104</v>
      </c>
      <c r="E5925" s="25">
        <v>1</v>
      </c>
      <c r="F5925" s="23">
        <v>1</v>
      </c>
      <c r="G5925" s="152" cm="1">
        <f t="array" ref="G5925">SUM(E5925/F5925)</f>
        <v>1</v>
      </c>
      <c r="H5925" s="15"/>
    </row>
    <row r="5926" ht="13.65" customHeight="1">
      <c r="A5926" s="21">
        <v>36</v>
      </c>
      <c r="B5926" t="s" s="22">
        <v>496</v>
      </c>
      <c r="C5926" t="s" s="24">
        <v>497</v>
      </c>
      <c r="D5926" t="s" s="24">
        <v>498</v>
      </c>
      <c r="E5926" s="25">
        <v>13</v>
      </c>
      <c r="F5926" s="23">
        <v>16</v>
      </c>
      <c r="G5926" s="152" cm="1">
        <f t="array" ref="G5926">SUM(E5926/F5926)</f>
        <v>0.8125</v>
      </c>
      <c r="H5926" s="15"/>
    </row>
    <row r="5927" ht="13.65" customHeight="1">
      <c r="A5927" s="21">
        <v>16</v>
      </c>
      <c r="B5927" t="s" s="22">
        <v>693</v>
      </c>
      <c r="C5927" s="23">
        <v>6</v>
      </c>
      <c r="D5927" t="s" s="24">
        <v>694</v>
      </c>
      <c r="E5927" s="25">
        <v>41</v>
      </c>
      <c r="F5927" s="23">
        <v>10</v>
      </c>
      <c r="G5927" s="152" cm="1">
        <f t="array" ref="G5927">SUM(E5927/F5927)</f>
        <v>4.1</v>
      </c>
      <c r="H5927" s="15"/>
    </row>
    <row r="5928" ht="13.65" customHeight="1">
      <c r="A5928" s="28"/>
      <c r="B5928" s="28"/>
      <c r="C5928" s="27"/>
      <c r="D5928" s="24"/>
      <c r="E5928" s="27"/>
      <c r="F5928" t="s" s="29">
        <v>118</v>
      </c>
      <c r="G5928" s="197" cm="1">
        <f t="array" ref="G5928">SUM(G5911:G5927)</f>
        <v>28.0940817269076</v>
      </c>
      <c r="H5928" s="15"/>
    </row>
    <row r="5929" ht="13.65" customHeight="1">
      <c r="A5929" s="129"/>
      <c r="B5929" s="129"/>
      <c r="C5929" s="129"/>
      <c r="D5929" s="129"/>
      <c r="E5929" s="129"/>
      <c r="F5929" s="31"/>
      <c r="G5929" s="31"/>
      <c r="H5929" s="3"/>
    </row>
    <row r="5930" ht="11.7" customHeight="1">
      <c r="A5930" t="s" s="167">
        <v>136</v>
      </c>
      <c r="B5930" t="s" s="167">
        <v>281</v>
      </c>
      <c r="C5930" t="s" s="167">
        <v>282</v>
      </c>
      <c r="D5930" t="s" s="168">
        <v>283</v>
      </c>
      <c r="E5930" s="169"/>
      <c r="F5930" s="170"/>
      <c r="G5930" s="171"/>
      <c r="H5930" s="171"/>
    </row>
    <row r="5931" ht="13.65" customHeight="1">
      <c r="A5931" s="23">
        <v>140</v>
      </c>
      <c r="B5931" s="172" cm="1">
        <f t="array" ref="B5931">SUM(H256)</f>
        <v>2.47496540404041</v>
      </c>
      <c r="C5931" s="172" cm="1">
        <f t="array" ref="C5931">SUM(G5928)</f>
        <v>28.0940817269076</v>
      </c>
      <c r="D5931" s="199" cm="1">
        <f t="array" ref="D5931">SUM(A5931*B5931)+(C5931)</f>
        <v>374.589238292565</v>
      </c>
      <c r="E5931" s="200"/>
      <c r="F5931" s="15"/>
      <c r="G5931" s="3"/>
      <c r="H5931" s="3"/>
    </row>
    <row r="5932" ht="13.65" customHeight="1">
      <c r="A5932" s="31"/>
      <c r="B5932" s="31"/>
      <c r="C5932" s="31"/>
      <c r="D5932" s="31"/>
      <c r="E5932" s="31"/>
      <c r="F5932" s="3"/>
      <c r="G5932" s="3"/>
      <c r="H5932" s="3"/>
    </row>
    <row r="5933" ht="13.65" customHeight="1">
      <c r="A5933" s="203"/>
      <c r="B5933" s="203"/>
      <c r="C5933" s="203"/>
      <c r="D5933" s="203"/>
      <c r="E5933" s="203"/>
      <c r="F5933" s="203"/>
      <c r="G5933" s="203"/>
      <c r="H5933" s="203"/>
    </row>
    <row r="5934" ht="13.65" customHeight="1">
      <c r="A5934" t="s" s="274">
        <v>284</v>
      </c>
      <c r="B5934" s="275"/>
      <c r="C5934" s="275"/>
      <c r="D5934" s="275"/>
      <c r="E5934" s="280"/>
      <c r="F5934" s="275"/>
      <c r="G5934" s="275"/>
      <c r="H5934" s="277"/>
    </row>
    <row r="5935" ht="13.65" customHeight="1">
      <c r="A5935" s="278"/>
      <c r="B5935" s="278"/>
      <c r="C5935" s="278"/>
      <c r="D5935" s="278"/>
      <c r="E5935" s="278"/>
      <c r="F5935" s="278"/>
      <c r="G5935" s="278"/>
      <c r="H5935" s="278"/>
    </row>
    <row r="5936" ht="13.65" customHeight="1">
      <c r="A5936" s="3"/>
      <c r="B5936" s="3"/>
      <c r="C5936" s="3"/>
      <c r="D5936" s="3"/>
      <c r="E5936" s="3"/>
      <c r="F5936" s="3"/>
      <c r="G5936" s="3"/>
      <c r="H5936" s="3"/>
    </row>
    <row r="5937" ht="13.65" customHeight="1">
      <c r="A5937" t="s" s="5">
        <v>882</v>
      </c>
      <c r="B5937" s="3"/>
      <c r="C5937" s="3"/>
      <c r="D5937" s="3"/>
      <c r="E5937" s="3"/>
      <c r="F5937" s="3"/>
      <c r="G5937" s="3"/>
      <c r="H5937" s="3"/>
    </row>
    <row r="5938" ht="13.65" customHeight="1">
      <c r="A5938" s="11"/>
      <c r="B5938" s="11"/>
      <c r="C5938" s="11"/>
      <c r="D5938" s="11"/>
      <c r="E5938" s="11"/>
      <c r="F5938" s="11"/>
      <c r="G5938" s="11"/>
      <c r="H5938" s="3"/>
    </row>
    <row r="5939" ht="13.65" customHeight="1">
      <c r="A5939" s="12"/>
      <c r="B5939" s="12"/>
      <c r="C5939" s="13"/>
      <c r="D5939" s="14"/>
      <c r="E5939" s="13"/>
      <c r="F5939" s="13"/>
      <c r="G5939" t="s" s="14">
        <v>252</v>
      </c>
      <c r="H5939" s="150"/>
    </row>
    <row r="5940" ht="13.65" customHeight="1">
      <c r="A5940" t="s" s="16">
        <v>93</v>
      </c>
      <c r="B5940" t="s" s="16">
        <v>94</v>
      </c>
      <c r="C5940" t="s" s="16">
        <v>95</v>
      </c>
      <c r="D5940" t="s" s="16">
        <v>96</v>
      </c>
      <c r="E5940" t="s" s="16">
        <v>97</v>
      </c>
      <c r="F5940" t="s" s="16">
        <v>98</v>
      </c>
      <c r="G5940" t="s" s="16">
        <v>99</v>
      </c>
      <c r="H5940" s="15"/>
    </row>
    <row r="5941" ht="13.65" customHeight="1">
      <c r="A5941" s="151"/>
      <c r="B5941" s="151"/>
      <c r="C5941" s="19"/>
      <c r="D5941" s="20"/>
      <c r="E5941" s="19"/>
      <c r="F5941" s="19"/>
      <c r="G5941" t="s" s="20">
        <v>100</v>
      </c>
      <c r="H5941" s="15"/>
    </row>
    <row r="5942" ht="13.65" customHeight="1">
      <c r="A5942" s="21">
        <v>72</v>
      </c>
      <c r="B5942" t="s" s="22">
        <v>101</v>
      </c>
      <c r="C5942" s="23">
        <v>50</v>
      </c>
      <c r="D5942" t="s" s="24">
        <v>274</v>
      </c>
      <c r="E5942" s="25">
        <v>1.93</v>
      </c>
      <c r="F5942" s="23">
        <v>12.5</v>
      </c>
      <c r="G5942" s="152" cm="1">
        <f t="array" ref="G5942">SUM(E5942/F5942)</f>
        <v>0.1544</v>
      </c>
      <c r="H5942" s="15"/>
    </row>
    <row r="5943" ht="13.65" customHeight="1">
      <c r="A5943" s="21">
        <v>123</v>
      </c>
      <c r="B5943" t="s" s="22">
        <v>103</v>
      </c>
      <c r="C5943" s="23">
        <v>40</v>
      </c>
      <c r="D5943" t="s" s="24">
        <v>102</v>
      </c>
      <c r="E5943" s="25">
        <v>3.2</v>
      </c>
      <c r="F5943" s="23">
        <v>20</v>
      </c>
      <c r="G5943" s="152" cm="1">
        <f t="array" ref="G5943">SUM(E5943/F5943)</f>
        <v>0.16</v>
      </c>
      <c r="H5943" s="15"/>
    </row>
    <row r="5944" ht="13.65" customHeight="1">
      <c r="A5944" s="21">
        <v>65</v>
      </c>
      <c r="B5944" t="s" s="22">
        <v>394</v>
      </c>
      <c r="C5944" s="23">
        <v>500</v>
      </c>
      <c r="D5944" t="s" s="24">
        <v>633</v>
      </c>
      <c r="E5944" s="25">
        <v>26</v>
      </c>
      <c r="F5944" s="23">
        <v>16.6</v>
      </c>
      <c r="G5944" s="152" cm="1">
        <f t="array" ref="G5944">SUM(E5944/F5944)</f>
        <v>1.56626506024096</v>
      </c>
      <c r="H5944" s="15"/>
    </row>
    <row r="5945" ht="13.65" customHeight="1">
      <c r="A5945" s="21">
        <v>140</v>
      </c>
      <c r="B5945" t="s" s="22">
        <v>470</v>
      </c>
      <c r="C5945" t="s" s="24">
        <v>108</v>
      </c>
      <c r="D5945" t="s" s="24">
        <v>102</v>
      </c>
      <c r="E5945" s="25">
        <v>1.12</v>
      </c>
      <c r="F5945" t="s" s="24">
        <v>387</v>
      </c>
      <c r="G5945" s="152" cm="1">
        <f t="array" ref="G5945">SUM(E5945*2)</f>
        <v>2.24</v>
      </c>
      <c r="H5945" s="15"/>
    </row>
    <row r="5946" ht="13.65" customHeight="1">
      <c r="A5946" s="21">
        <v>71</v>
      </c>
      <c r="B5946" t="s" s="22">
        <v>109</v>
      </c>
      <c r="C5946" s="23">
        <v>10</v>
      </c>
      <c r="D5946" t="s" s="24">
        <v>102</v>
      </c>
      <c r="E5946" s="25">
        <v>5.92</v>
      </c>
      <c r="F5946" s="23">
        <v>5</v>
      </c>
      <c r="G5946" s="152" cm="1">
        <f t="array" ref="G5946">SUM(E5946/F5946)</f>
        <v>1.184</v>
      </c>
      <c r="H5946" s="15"/>
    </row>
    <row r="5947" ht="13.65" customHeight="1">
      <c r="A5947" s="21">
        <v>87</v>
      </c>
      <c r="B5947" t="s" s="22">
        <v>110</v>
      </c>
      <c r="C5947" s="23">
        <v>50</v>
      </c>
      <c r="D5947" t="s" s="24">
        <v>102</v>
      </c>
      <c r="E5947" s="25">
        <v>9</v>
      </c>
      <c r="F5947" s="23">
        <v>25</v>
      </c>
      <c r="G5947" s="152" cm="1">
        <f t="array" ref="G5947">SUM(E5947/F5947)</f>
        <v>0.36</v>
      </c>
      <c r="H5947" s="15"/>
    </row>
    <row r="5948" ht="13.65" customHeight="1">
      <c r="A5948" s="21">
        <v>55</v>
      </c>
      <c r="B5948" t="s" s="22">
        <v>111</v>
      </c>
      <c r="C5948" t="s" s="24">
        <v>112</v>
      </c>
      <c r="D5948" t="s" s="24">
        <v>461</v>
      </c>
      <c r="E5948" s="25">
        <v>2.71</v>
      </c>
      <c r="F5948" s="23">
        <v>37.5</v>
      </c>
      <c r="G5948" s="152" cm="1">
        <f t="array" ref="G5948">SUM(E5948/F5948)</f>
        <v>0.0722666666666667</v>
      </c>
      <c r="H5948" s="15"/>
    </row>
    <row r="5949" ht="13.65" customHeight="1">
      <c r="A5949" s="21">
        <v>10</v>
      </c>
      <c r="B5949" t="s" s="22">
        <v>395</v>
      </c>
      <c r="C5949" t="s" s="24">
        <v>396</v>
      </c>
      <c r="D5949" t="s" s="24">
        <v>397</v>
      </c>
      <c r="E5949" s="25">
        <v>3.92</v>
      </c>
      <c r="F5949" s="23">
        <v>50</v>
      </c>
      <c r="G5949" s="152" cm="1">
        <f t="array" ref="G5949">SUM(E5949/F5949)</f>
        <v>0.0784</v>
      </c>
      <c r="H5949" s="15"/>
    </row>
    <row r="5950" ht="13.65" customHeight="1">
      <c r="A5950" s="21">
        <v>9</v>
      </c>
      <c r="B5950" t="s" s="22">
        <v>692</v>
      </c>
      <c r="C5950" s="23">
        <v>50</v>
      </c>
      <c r="D5950" t="s" s="24">
        <v>274</v>
      </c>
      <c r="E5950" s="25">
        <v>14</v>
      </c>
      <c r="F5950" s="23">
        <v>12.5</v>
      </c>
      <c r="G5950" s="152" cm="1">
        <f t="array" ref="G5950">SUM(E5950/F5950)</f>
        <v>1.12</v>
      </c>
      <c r="H5950" s="15"/>
    </row>
    <row r="5951" ht="13.65" customHeight="1">
      <c r="A5951" s="21">
        <v>6</v>
      </c>
      <c r="B5951" t="s" s="22">
        <v>399</v>
      </c>
      <c r="C5951" s="23">
        <v>100</v>
      </c>
      <c r="D5951" t="s" s="24">
        <v>104</v>
      </c>
      <c r="E5951" s="25">
        <v>19</v>
      </c>
      <c r="F5951" s="23">
        <v>100</v>
      </c>
      <c r="G5951" s="152" cm="1">
        <f t="array" ref="G5951">SUM(E5951/F5951)</f>
        <v>0.19</v>
      </c>
      <c r="H5951" s="15"/>
    </row>
    <row r="5952" ht="13.65" customHeight="1">
      <c r="A5952" s="21">
        <v>23</v>
      </c>
      <c r="B5952" t="s" s="22">
        <v>488</v>
      </c>
      <c r="C5952" s="23">
        <v>1</v>
      </c>
      <c r="D5952" t="s" s="24">
        <v>104</v>
      </c>
      <c r="E5952" s="25">
        <v>11</v>
      </c>
      <c r="F5952" s="23">
        <v>1</v>
      </c>
      <c r="G5952" s="152" cm="1">
        <f t="array" ref="G5952">SUM(E5952/F5952)</f>
        <v>11</v>
      </c>
      <c r="H5952" s="15"/>
    </row>
    <row r="5953" ht="13.65" customHeight="1">
      <c r="A5953" s="21">
        <v>119</v>
      </c>
      <c r="B5953" t="s" s="22">
        <v>467</v>
      </c>
      <c r="C5953" s="23">
        <v>1</v>
      </c>
      <c r="D5953" t="s" s="24">
        <v>468</v>
      </c>
      <c r="E5953" s="25">
        <v>0.45</v>
      </c>
      <c r="F5953" s="23">
        <v>1</v>
      </c>
      <c r="G5953" s="152" cm="1">
        <f t="array" ref="G5953">SUM(E5953/F5953)</f>
        <v>0.45</v>
      </c>
      <c r="H5953" s="15"/>
    </row>
    <row r="5954" ht="13.65" customHeight="1">
      <c r="A5954" s="21">
        <v>122</v>
      </c>
      <c r="B5954" t="s" s="22">
        <v>489</v>
      </c>
      <c r="C5954" t="s" s="24">
        <v>490</v>
      </c>
      <c r="D5954" t="s" s="24">
        <v>648</v>
      </c>
      <c r="E5954" s="25">
        <v>1.7</v>
      </c>
      <c r="F5954" s="23">
        <v>16</v>
      </c>
      <c r="G5954" s="152" cm="1">
        <f t="array" ref="G5954">SUM(E5954/F5954)</f>
        <v>0.10625</v>
      </c>
      <c r="H5954" s="15"/>
    </row>
    <row r="5955" ht="13.65" customHeight="1">
      <c r="A5955" s="21">
        <v>56</v>
      </c>
      <c r="B5955" t="s" s="22">
        <v>471</v>
      </c>
      <c r="C5955" s="23">
        <v>1</v>
      </c>
      <c r="D5955" t="s" s="24">
        <v>104</v>
      </c>
      <c r="E5955" s="25">
        <v>3.5</v>
      </c>
      <c r="F5955" s="23">
        <v>1</v>
      </c>
      <c r="G5955" s="152" cm="1">
        <f t="array" ref="G5955">SUM(E5955/F5955)</f>
        <v>3.5</v>
      </c>
      <c r="H5955" s="15"/>
    </row>
    <row r="5956" ht="13.65" customHeight="1">
      <c r="A5956" s="21">
        <v>78</v>
      </c>
      <c r="B5956" t="s" s="22">
        <v>492</v>
      </c>
      <c r="C5956" s="23">
        <v>1</v>
      </c>
      <c r="D5956" t="s" s="24">
        <v>104</v>
      </c>
      <c r="E5956" s="25">
        <v>1</v>
      </c>
      <c r="F5956" s="23">
        <v>1</v>
      </c>
      <c r="G5956" s="152" cm="1">
        <f t="array" ref="G5956">SUM(E5956/F5956)</f>
        <v>1</v>
      </c>
      <c r="H5956" s="15"/>
    </row>
    <row r="5957" ht="13.65" customHeight="1">
      <c r="A5957" s="21">
        <v>36</v>
      </c>
      <c r="B5957" t="s" s="22">
        <v>496</v>
      </c>
      <c r="C5957" t="s" s="24">
        <v>497</v>
      </c>
      <c r="D5957" t="s" s="24">
        <v>498</v>
      </c>
      <c r="E5957" s="25">
        <v>13</v>
      </c>
      <c r="F5957" s="23">
        <v>16</v>
      </c>
      <c r="G5957" s="152" cm="1">
        <f t="array" ref="G5957">SUM(E5957/F5957)</f>
        <v>0.8125</v>
      </c>
      <c r="H5957" s="15"/>
    </row>
    <row r="5958" ht="13.65" customHeight="1">
      <c r="A5958" s="28"/>
      <c r="B5958" s="28"/>
      <c r="C5958" s="27"/>
      <c r="D5958" s="24"/>
      <c r="E5958" s="27"/>
      <c r="F5958" t="s" s="29">
        <v>118</v>
      </c>
      <c r="G5958" s="197" cm="1">
        <f t="array" ref="G5958">SUM(G5942:G5957)</f>
        <v>23.9940817269076</v>
      </c>
      <c r="H5958" s="15"/>
    </row>
    <row r="5959" ht="13.65" customHeight="1">
      <c r="A5959" s="129"/>
      <c r="B5959" s="129"/>
      <c r="C5959" s="129"/>
      <c r="D5959" s="129"/>
      <c r="E5959" s="129"/>
      <c r="F5959" s="31"/>
      <c r="G5959" s="31"/>
      <c r="H5959" s="3"/>
    </row>
    <row r="5960" ht="11.7" customHeight="1">
      <c r="A5960" t="s" s="167">
        <v>136</v>
      </c>
      <c r="B5960" t="s" s="167">
        <v>281</v>
      </c>
      <c r="C5960" t="s" s="167">
        <v>282</v>
      </c>
      <c r="D5960" t="s" s="168">
        <v>283</v>
      </c>
      <c r="E5960" s="169"/>
      <c r="F5960" s="170"/>
      <c r="G5960" s="171"/>
      <c r="H5960" s="171"/>
    </row>
    <row r="5961" ht="13.65" customHeight="1">
      <c r="A5961" s="23">
        <v>360</v>
      </c>
      <c r="B5961" s="172" cm="1">
        <f t="array" ref="B5961">SUM(H256)</f>
        <v>2.47496540404041</v>
      </c>
      <c r="C5961" s="172" cm="1">
        <f t="array" ref="C5961">SUM(G5958)</f>
        <v>23.9940817269076</v>
      </c>
      <c r="D5961" s="199" cm="1">
        <f t="array" ref="D5961">SUM(A5961*B5961)+(C5961)</f>
        <v>914.981627181455</v>
      </c>
      <c r="E5961" s="200"/>
      <c r="F5961" s="15"/>
      <c r="G5961" s="3"/>
      <c r="H5961" s="3"/>
    </row>
    <row r="5962" ht="13.65" customHeight="1">
      <c r="A5962" s="31"/>
      <c r="B5962" s="31"/>
      <c r="C5962" s="31"/>
      <c r="D5962" s="31"/>
      <c r="E5962" s="31"/>
      <c r="F5962" s="3"/>
      <c r="G5962" s="3"/>
      <c r="H5962" s="3"/>
    </row>
    <row r="5963" ht="13.65" customHeight="1">
      <c r="A5963" s="3"/>
      <c r="B5963" s="3"/>
      <c r="C5963" s="3"/>
      <c r="D5963" s="3"/>
      <c r="E5963" s="3"/>
      <c r="F5963" s="3"/>
      <c r="G5963" s="3"/>
      <c r="H5963" s="3"/>
    </row>
    <row r="5964" ht="13.65" customHeight="1">
      <c r="A5964" t="s" s="5">
        <v>883</v>
      </c>
      <c r="B5964" s="3"/>
      <c r="C5964" s="3"/>
      <c r="D5964" s="3"/>
      <c r="E5964" s="3"/>
      <c r="F5964" s="3"/>
      <c r="G5964" s="3"/>
      <c r="H5964" s="3"/>
    </row>
    <row r="5965" ht="13.65" customHeight="1">
      <c r="A5965" s="11"/>
      <c r="B5965" s="11"/>
      <c r="C5965" s="11"/>
      <c r="D5965" s="11"/>
      <c r="E5965" s="11"/>
      <c r="F5965" s="11"/>
      <c r="G5965" s="11"/>
      <c r="H5965" s="3"/>
    </row>
    <row r="5966" ht="13.65" customHeight="1">
      <c r="A5966" s="12"/>
      <c r="B5966" s="12"/>
      <c r="C5966" s="13"/>
      <c r="D5966" s="14"/>
      <c r="E5966" s="13"/>
      <c r="F5966" s="13"/>
      <c r="G5966" t="s" s="14">
        <v>252</v>
      </c>
      <c r="H5966" s="150"/>
    </row>
    <row r="5967" ht="13.65" customHeight="1">
      <c r="A5967" t="s" s="16">
        <v>93</v>
      </c>
      <c r="B5967" t="s" s="16">
        <v>94</v>
      </c>
      <c r="C5967" t="s" s="16">
        <v>95</v>
      </c>
      <c r="D5967" t="s" s="16">
        <v>96</v>
      </c>
      <c r="E5967" t="s" s="16">
        <v>97</v>
      </c>
      <c r="F5967" t="s" s="16">
        <v>98</v>
      </c>
      <c r="G5967" t="s" s="16">
        <v>99</v>
      </c>
      <c r="H5967" s="15"/>
    </row>
    <row r="5968" ht="13.65" customHeight="1">
      <c r="A5968" s="151"/>
      <c r="B5968" s="151"/>
      <c r="C5968" s="19"/>
      <c r="D5968" s="20"/>
      <c r="E5968" s="19"/>
      <c r="F5968" s="19"/>
      <c r="G5968" t="s" s="20">
        <v>100</v>
      </c>
      <c r="H5968" s="15"/>
    </row>
    <row r="5969" ht="13.65" customHeight="1">
      <c r="A5969" s="21">
        <v>72</v>
      </c>
      <c r="B5969" t="s" s="22">
        <v>101</v>
      </c>
      <c r="C5969" s="23">
        <v>50</v>
      </c>
      <c r="D5969" t="s" s="24">
        <v>274</v>
      </c>
      <c r="E5969" s="25">
        <v>1.93</v>
      </c>
      <c r="F5969" s="23">
        <v>12.5</v>
      </c>
      <c r="G5969" s="152" cm="1">
        <f t="array" ref="G5969">SUM(E5969/F5969)</f>
        <v>0.1544</v>
      </c>
      <c r="H5969" s="15"/>
    </row>
    <row r="5970" ht="13.65" customHeight="1">
      <c r="A5970" s="21">
        <v>123</v>
      </c>
      <c r="B5970" t="s" s="22">
        <v>103</v>
      </c>
      <c r="C5970" s="23">
        <v>40</v>
      </c>
      <c r="D5970" t="s" s="24">
        <v>102</v>
      </c>
      <c r="E5970" s="25">
        <v>3.2</v>
      </c>
      <c r="F5970" s="23">
        <v>20</v>
      </c>
      <c r="G5970" s="152" cm="1">
        <f t="array" ref="G5970">SUM(E5970/F5970)</f>
        <v>0.16</v>
      </c>
      <c r="H5970" s="15"/>
    </row>
    <row r="5971" ht="13.65" customHeight="1">
      <c r="A5971" s="21">
        <v>65</v>
      </c>
      <c r="B5971" t="s" s="22">
        <v>394</v>
      </c>
      <c r="C5971" s="23">
        <v>500</v>
      </c>
      <c r="D5971" t="s" s="24">
        <v>633</v>
      </c>
      <c r="E5971" s="25">
        <v>26</v>
      </c>
      <c r="F5971" s="23">
        <v>16.6</v>
      </c>
      <c r="G5971" s="152" cm="1">
        <f t="array" ref="G5971">SUM(E5971/F5971)</f>
        <v>1.56626506024096</v>
      </c>
      <c r="H5971" s="15"/>
    </row>
    <row r="5972" ht="13.65" customHeight="1">
      <c r="A5972" s="21">
        <v>140</v>
      </c>
      <c r="B5972" t="s" s="22">
        <v>470</v>
      </c>
      <c r="C5972" t="s" s="24">
        <v>108</v>
      </c>
      <c r="D5972" t="s" s="24">
        <v>102</v>
      </c>
      <c r="E5972" s="25">
        <v>1.12</v>
      </c>
      <c r="F5972" t="s" s="24">
        <v>387</v>
      </c>
      <c r="G5972" s="152" cm="1">
        <f t="array" ref="G5972">SUM(E5972*2)</f>
        <v>2.24</v>
      </c>
      <c r="H5972" s="15"/>
    </row>
    <row r="5973" ht="13.65" customHeight="1">
      <c r="A5973" s="21">
        <v>71</v>
      </c>
      <c r="B5973" t="s" s="22">
        <v>109</v>
      </c>
      <c r="C5973" s="23">
        <v>10</v>
      </c>
      <c r="D5973" t="s" s="24">
        <v>102</v>
      </c>
      <c r="E5973" s="25">
        <v>5.92</v>
      </c>
      <c r="F5973" s="23">
        <v>5</v>
      </c>
      <c r="G5973" s="152" cm="1">
        <f t="array" ref="G5973">SUM(E5973/F5973)</f>
        <v>1.184</v>
      </c>
      <c r="H5973" s="15"/>
    </row>
    <row r="5974" ht="13.65" customHeight="1">
      <c r="A5974" s="21">
        <v>87</v>
      </c>
      <c r="B5974" t="s" s="22">
        <v>110</v>
      </c>
      <c r="C5974" s="23">
        <v>50</v>
      </c>
      <c r="D5974" t="s" s="24">
        <v>102</v>
      </c>
      <c r="E5974" s="25">
        <v>9</v>
      </c>
      <c r="F5974" s="23">
        <v>25</v>
      </c>
      <c r="G5974" s="152" cm="1">
        <f t="array" ref="G5974">SUM(E5974/F5974)</f>
        <v>0.36</v>
      </c>
      <c r="H5974" s="15"/>
    </row>
    <row r="5975" ht="13.65" customHeight="1">
      <c r="A5975" s="21">
        <v>55</v>
      </c>
      <c r="B5975" t="s" s="22">
        <v>111</v>
      </c>
      <c r="C5975" t="s" s="24">
        <v>112</v>
      </c>
      <c r="D5975" t="s" s="24">
        <v>461</v>
      </c>
      <c r="E5975" s="25">
        <v>2.71</v>
      </c>
      <c r="F5975" s="23">
        <v>37.5</v>
      </c>
      <c r="G5975" s="152" cm="1">
        <f t="array" ref="G5975">SUM(E5975/F5975)</f>
        <v>0.0722666666666667</v>
      </c>
      <c r="H5975" s="15"/>
    </row>
    <row r="5976" ht="13.65" customHeight="1">
      <c r="A5976" s="21">
        <v>10</v>
      </c>
      <c r="B5976" t="s" s="22">
        <v>395</v>
      </c>
      <c r="C5976" t="s" s="24">
        <v>396</v>
      </c>
      <c r="D5976" t="s" s="24">
        <v>397</v>
      </c>
      <c r="E5976" s="25">
        <v>3.92</v>
      </c>
      <c r="F5976" s="23">
        <v>50</v>
      </c>
      <c r="G5976" s="152" cm="1">
        <f t="array" ref="G5976">SUM(E5976/F5976)</f>
        <v>0.0784</v>
      </c>
      <c r="H5976" s="15"/>
    </row>
    <row r="5977" ht="13.65" customHeight="1">
      <c r="A5977" s="21">
        <v>9</v>
      </c>
      <c r="B5977" t="s" s="22">
        <v>692</v>
      </c>
      <c r="C5977" s="23">
        <v>50</v>
      </c>
      <c r="D5977" t="s" s="24">
        <v>274</v>
      </c>
      <c r="E5977" s="25">
        <v>14</v>
      </c>
      <c r="F5977" s="23">
        <v>12.5</v>
      </c>
      <c r="G5977" s="152" cm="1">
        <f t="array" ref="G5977">SUM(E5977/F5977)</f>
        <v>1.12</v>
      </c>
      <c r="H5977" s="15"/>
    </row>
    <row r="5978" ht="13.65" customHeight="1">
      <c r="A5978" s="21">
        <v>6</v>
      </c>
      <c r="B5978" t="s" s="22">
        <v>399</v>
      </c>
      <c r="C5978" s="23">
        <v>100</v>
      </c>
      <c r="D5978" t="s" s="24">
        <v>104</v>
      </c>
      <c r="E5978" s="25">
        <v>19</v>
      </c>
      <c r="F5978" s="23">
        <v>100</v>
      </c>
      <c r="G5978" s="152" cm="1">
        <f t="array" ref="G5978">SUM(E5978/F5978)</f>
        <v>0.19</v>
      </c>
      <c r="H5978" s="15"/>
    </row>
    <row r="5979" ht="13.65" customHeight="1">
      <c r="A5979" s="21">
        <v>23</v>
      </c>
      <c r="B5979" t="s" s="22">
        <v>488</v>
      </c>
      <c r="C5979" s="23">
        <v>1</v>
      </c>
      <c r="D5979" t="s" s="24">
        <v>104</v>
      </c>
      <c r="E5979" s="25">
        <v>11</v>
      </c>
      <c r="F5979" s="23">
        <v>1</v>
      </c>
      <c r="G5979" s="152" cm="1">
        <f t="array" ref="G5979">SUM(E5979/F5979)</f>
        <v>11</v>
      </c>
      <c r="H5979" s="15"/>
    </row>
    <row r="5980" ht="13.65" customHeight="1">
      <c r="A5980" s="21">
        <v>119</v>
      </c>
      <c r="B5980" t="s" s="22">
        <v>467</v>
      </c>
      <c r="C5980" s="23">
        <v>1</v>
      </c>
      <c r="D5980" t="s" s="24">
        <v>468</v>
      </c>
      <c r="E5980" s="25">
        <v>0.45</v>
      </c>
      <c r="F5980" s="23">
        <v>1</v>
      </c>
      <c r="G5980" s="152" cm="1">
        <f t="array" ref="G5980">SUM(E5980/F5980)</f>
        <v>0.45</v>
      </c>
      <c r="H5980" s="15"/>
    </row>
    <row r="5981" ht="13.65" customHeight="1">
      <c r="A5981" s="21">
        <v>122</v>
      </c>
      <c r="B5981" t="s" s="22">
        <v>489</v>
      </c>
      <c r="C5981" t="s" s="24">
        <v>490</v>
      </c>
      <c r="D5981" t="s" s="24">
        <v>648</v>
      </c>
      <c r="E5981" s="25">
        <v>1.7</v>
      </c>
      <c r="F5981" s="23">
        <v>16</v>
      </c>
      <c r="G5981" s="152" cm="1">
        <f t="array" ref="G5981">SUM(E5981/F5981)</f>
        <v>0.10625</v>
      </c>
      <c r="H5981" s="15"/>
    </row>
    <row r="5982" ht="13.65" customHeight="1">
      <c r="A5982" s="21">
        <v>56</v>
      </c>
      <c r="B5982" t="s" s="22">
        <v>471</v>
      </c>
      <c r="C5982" s="23">
        <v>1</v>
      </c>
      <c r="D5982" t="s" s="24">
        <v>104</v>
      </c>
      <c r="E5982" s="25">
        <v>3.5</v>
      </c>
      <c r="F5982" s="23">
        <v>1</v>
      </c>
      <c r="G5982" s="152" cm="1">
        <f t="array" ref="G5982">SUM(E5982/F5982)</f>
        <v>3.5</v>
      </c>
      <c r="H5982" s="15"/>
    </row>
    <row r="5983" ht="13.65" customHeight="1">
      <c r="A5983" s="21">
        <v>78</v>
      </c>
      <c r="B5983" t="s" s="22">
        <v>492</v>
      </c>
      <c r="C5983" s="23">
        <v>1</v>
      </c>
      <c r="D5983" t="s" s="24">
        <v>104</v>
      </c>
      <c r="E5983" s="25">
        <v>1</v>
      </c>
      <c r="F5983" s="23">
        <v>1</v>
      </c>
      <c r="G5983" s="152" cm="1">
        <f t="array" ref="G5983">SUM(E5983/F5983)</f>
        <v>1</v>
      </c>
      <c r="H5983" s="15"/>
    </row>
    <row r="5984" ht="13.65" customHeight="1">
      <c r="A5984" s="21">
        <v>36</v>
      </c>
      <c r="B5984" t="s" s="22">
        <v>496</v>
      </c>
      <c r="C5984" t="s" s="24">
        <v>497</v>
      </c>
      <c r="D5984" t="s" s="24">
        <v>498</v>
      </c>
      <c r="E5984" s="25">
        <v>13</v>
      </c>
      <c r="F5984" s="23">
        <v>16</v>
      </c>
      <c r="G5984" s="152" cm="1">
        <f t="array" ref="G5984">SUM(E5984/F5984)</f>
        <v>0.8125</v>
      </c>
      <c r="H5984" s="15"/>
    </row>
    <row r="5985" ht="13.65" customHeight="1">
      <c r="A5985" s="28"/>
      <c r="B5985" s="28"/>
      <c r="C5985" s="27"/>
      <c r="D5985" s="24"/>
      <c r="E5985" s="27"/>
      <c r="F5985" t="s" s="29">
        <v>118</v>
      </c>
      <c r="G5985" s="197" cm="1">
        <f t="array" ref="G5985">SUM(G5969:G5984)</f>
        <v>23.9940817269076</v>
      </c>
      <c r="H5985" s="15"/>
    </row>
    <row r="5986" ht="13.65" customHeight="1">
      <c r="A5986" s="129"/>
      <c r="B5986" s="129"/>
      <c r="C5986" s="129"/>
      <c r="D5986" s="129"/>
      <c r="E5986" s="129"/>
      <c r="F5986" s="31"/>
      <c r="G5986" s="31"/>
      <c r="H5986" s="3"/>
    </row>
    <row r="5987" ht="11.7" customHeight="1">
      <c r="A5987" t="s" s="167">
        <v>136</v>
      </c>
      <c r="B5987" t="s" s="167">
        <v>281</v>
      </c>
      <c r="C5987" t="s" s="167">
        <v>282</v>
      </c>
      <c r="D5987" t="s" s="168">
        <v>283</v>
      </c>
      <c r="E5987" s="169"/>
      <c r="F5987" s="170"/>
      <c r="G5987" s="171"/>
      <c r="H5987" s="171"/>
    </row>
    <row r="5988" ht="13.65" customHeight="1">
      <c r="A5988" s="23">
        <v>360</v>
      </c>
      <c r="B5988" s="172" cm="1">
        <f t="array" ref="B5988">SUM(H256)</f>
        <v>2.47496540404041</v>
      </c>
      <c r="C5988" s="172" cm="1">
        <f t="array" ref="C5988">SUM(G5985)</f>
        <v>23.9940817269076</v>
      </c>
      <c r="D5988" s="199" cm="1">
        <f t="array" ref="D5988">SUM(A5988*B5988)+(C5988)</f>
        <v>914.981627181455</v>
      </c>
      <c r="E5988" s="200"/>
      <c r="F5988" s="15"/>
      <c r="G5988" s="3"/>
      <c r="H5988" s="3"/>
    </row>
    <row r="5989" ht="13.65" customHeight="1">
      <c r="A5989" s="31"/>
      <c r="B5989" s="31"/>
      <c r="C5989" s="31"/>
      <c r="D5989" s="31"/>
      <c r="E5989" s="31"/>
      <c r="F5989" s="3"/>
      <c r="G5989" s="3"/>
      <c r="H5989" s="3"/>
    </row>
    <row r="5990" ht="13.65" customHeight="1">
      <c r="A5990" s="203"/>
      <c r="B5990" s="203"/>
      <c r="C5990" s="203"/>
      <c r="D5990" s="203"/>
      <c r="E5990" s="203"/>
      <c r="F5990" s="203"/>
      <c r="G5990" s="203"/>
      <c r="H5990" s="203"/>
    </row>
    <row r="5991" ht="13.65" customHeight="1">
      <c r="A5991" t="s" s="274">
        <v>185</v>
      </c>
      <c r="B5991" s="275"/>
      <c r="C5991" s="275"/>
      <c r="D5991" s="275"/>
      <c r="E5991" s="280"/>
      <c r="F5991" s="275"/>
      <c r="G5991" s="275"/>
      <c r="H5991" s="277"/>
    </row>
    <row r="5992" ht="13.65" customHeight="1">
      <c r="A5992" s="278"/>
      <c r="B5992" s="278"/>
      <c r="C5992" s="278"/>
      <c r="D5992" s="278"/>
      <c r="E5992" s="278"/>
      <c r="F5992" s="278"/>
      <c r="G5992" s="278"/>
      <c r="H5992" s="278"/>
    </row>
    <row r="5993" ht="13.65" customHeight="1">
      <c r="A5993" s="3"/>
      <c r="B5993" s="3"/>
      <c r="C5993" s="3"/>
      <c r="D5993" s="3"/>
      <c r="E5993" s="3"/>
      <c r="F5993" s="3"/>
      <c r="G5993" s="3"/>
      <c r="H5993" s="3"/>
    </row>
    <row r="5994" ht="13.65" customHeight="1">
      <c r="A5994" t="s" s="5">
        <v>884</v>
      </c>
      <c r="B5994" s="3"/>
      <c r="C5994" s="3"/>
      <c r="D5994" s="3"/>
      <c r="E5994" s="3"/>
      <c r="F5994" s="3"/>
      <c r="G5994" s="3"/>
      <c r="H5994" s="3"/>
    </row>
    <row r="5995" ht="13.65" customHeight="1">
      <c r="A5995" s="11"/>
      <c r="B5995" s="11"/>
      <c r="C5995" s="11"/>
      <c r="D5995" s="11"/>
      <c r="E5995" s="11"/>
      <c r="F5995" s="11"/>
      <c r="G5995" s="11"/>
      <c r="H5995" s="3"/>
    </row>
    <row r="5996" ht="13.65" customHeight="1">
      <c r="A5996" s="12"/>
      <c r="B5996" s="12"/>
      <c r="C5996" s="13"/>
      <c r="D5996" s="14"/>
      <c r="E5996" s="13"/>
      <c r="F5996" s="13"/>
      <c r="G5996" t="s" s="14">
        <v>252</v>
      </c>
      <c r="H5996" s="150"/>
    </row>
    <row r="5997" ht="13.65" customHeight="1">
      <c r="A5997" t="s" s="16">
        <v>93</v>
      </c>
      <c r="B5997" t="s" s="16">
        <v>94</v>
      </c>
      <c r="C5997" t="s" s="16">
        <v>95</v>
      </c>
      <c r="D5997" t="s" s="16">
        <v>96</v>
      </c>
      <c r="E5997" t="s" s="16">
        <v>97</v>
      </c>
      <c r="F5997" t="s" s="16">
        <v>98</v>
      </c>
      <c r="G5997" t="s" s="16">
        <v>99</v>
      </c>
      <c r="H5997" s="15"/>
    </row>
    <row r="5998" ht="13.65" customHeight="1">
      <c r="A5998" s="151"/>
      <c r="B5998" s="151"/>
      <c r="C5998" s="19"/>
      <c r="D5998" s="20"/>
      <c r="E5998" s="19"/>
      <c r="F5998" s="19"/>
      <c r="G5998" t="s" s="20">
        <v>100</v>
      </c>
      <c r="H5998" s="15"/>
    </row>
    <row r="5999" ht="13.65" customHeight="1">
      <c r="A5999" s="21">
        <v>72</v>
      </c>
      <c r="B5999" t="s" s="22">
        <v>101</v>
      </c>
      <c r="C5999" s="23">
        <v>50</v>
      </c>
      <c r="D5999" t="s" s="24">
        <v>274</v>
      </c>
      <c r="E5999" s="25">
        <v>1.93</v>
      </c>
      <c r="F5999" s="23">
        <v>12.5</v>
      </c>
      <c r="G5999" s="152" cm="1">
        <f t="array" ref="G5999">SUM(E5999/F5999)</f>
        <v>0.1544</v>
      </c>
      <c r="H5999" s="15"/>
    </row>
    <row r="6000" ht="13.65" customHeight="1">
      <c r="A6000" s="21">
        <v>123</v>
      </c>
      <c r="B6000" t="s" s="22">
        <v>103</v>
      </c>
      <c r="C6000" s="23">
        <v>40</v>
      </c>
      <c r="D6000" t="s" s="24">
        <v>102</v>
      </c>
      <c r="E6000" s="25">
        <v>3.2</v>
      </c>
      <c r="F6000" s="23">
        <v>20</v>
      </c>
      <c r="G6000" s="152" cm="1">
        <f t="array" ref="G6000">SUM(E6000/F6000)</f>
        <v>0.16</v>
      </c>
      <c r="H6000" s="15"/>
    </row>
    <row r="6001" ht="13.65" customHeight="1">
      <c r="A6001" s="21">
        <v>65</v>
      </c>
      <c r="B6001" t="s" s="22">
        <v>394</v>
      </c>
      <c r="C6001" s="23">
        <v>500</v>
      </c>
      <c r="D6001" t="s" s="24">
        <v>633</v>
      </c>
      <c r="E6001" s="25">
        <v>26</v>
      </c>
      <c r="F6001" s="23">
        <v>16.6</v>
      </c>
      <c r="G6001" s="152" cm="1">
        <f t="array" ref="G6001">SUM(E6001/F6001)</f>
        <v>1.56626506024096</v>
      </c>
      <c r="H6001" s="15"/>
    </row>
    <row r="6002" ht="13.65" customHeight="1">
      <c r="A6002" s="21">
        <v>140</v>
      </c>
      <c r="B6002" t="s" s="22">
        <v>470</v>
      </c>
      <c r="C6002" t="s" s="24">
        <v>108</v>
      </c>
      <c r="D6002" t="s" s="24">
        <v>102</v>
      </c>
      <c r="E6002" s="25">
        <v>1.12</v>
      </c>
      <c r="F6002" t="s" s="24">
        <v>387</v>
      </c>
      <c r="G6002" s="152" cm="1">
        <f t="array" ref="G6002">SUM(E6002*2)</f>
        <v>2.24</v>
      </c>
      <c r="H6002" s="15"/>
    </row>
    <row r="6003" ht="13.65" customHeight="1">
      <c r="A6003" s="21">
        <v>71</v>
      </c>
      <c r="B6003" t="s" s="22">
        <v>109</v>
      </c>
      <c r="C6003" s="23">
        <v>10</v>
      </c>
      <c r="D6003" t="s" s="24">
        <v>102</v>
      </c>
      <c r="E6003" s="25">
        <v>5.92</v>
      </c>
      <c r="F6003" s="23">
        <v>5</v>
      </c>
      <c r="G6003" s="152" cm="1">
        <f t="array" ref="G6003">SUM(E6003/F6003)</f>
        <v>1.184</v>
      </c>
      <c r="H6003" s="15"/>
    </row>
    <row r="6004" ht="13.65" customHeight="1">
      <c r="A6004" s="21">
        <v>87</v>
      </c>
      <c r="B6004" t="s" s="22">
        <v>110</v>
      </c>
      <c r="C6004" s="23">
        <v>50</v>
      </c>
      <c r="D6004" t="s" s="24">
        <v>102</v>
      </c>
      <c r="E6004" s="25">
        <v>9</v>
      </c>
      <c r="F6004" s="23">
        <v>25</v>
      </c>
      <c r="G6004" s="152" cm="1">
        <f t="array" ref="G6004">SUM(E6004/F6004)</f>
        <v>0.36</v>
      </c>
      <c r="H6004" s="15"/>
    </row>
    <row r="6005" ht="13.65" customHeight="1">
      <c r="A6005" s="21">
        <v>55</v>
      </c>
      <c r="B6005" t="s" s="22">
        <v>111</v>
      </c>
      <c r="C6005" t="s" s="24">
        <v>112</v>
      </c>
      <c r="D6005" t="s" s="24">
        <v>461</v>
      </c>
      <c r="E6005" s="25">
        <v>2.71</v>
      </c>
      <c r="F6005" s="23">
        <v>37.5</v>
      </c>
      <c r="G6005" s="152" cm="1">
        <f t="array" ref="G6005">SUM(E6005/F6005)</f>
        <v>0.0722666666666667</v>
      </c>
      <c r="H6005" s="15"/>
    </row>
    <row r="6006" ht="13.65" customHeight="1">
      <c r="A6006" s="21">
        <v>10</v>
      </c>
      <c r="B6006" t="s" s="22">
        <v>395</v>
      </c>
      <c r="C6006" t="s" s="24">
        <v>396</v>
      </c>
      <c r="D6006" t="s" s="24">
        <v>397</v>
      </c>
      <c r="E6006" s="25">
        <v>3.92</v>
      </c>
      <c r="F6006" s="23">
        <v>50</v>
      </c>
      <c r="G6006" s="152" cm="1">
        <f t="array" ref="G6006">SUM(E6006/F6006)</f>
        <v>0.0784</v>
      </c>
      <c r="H6006" s="15"/>
    </row>
    <row r="6007" ht="13.65" customHeight="1">
      <c r="A6007" s="21">
        <v>9</v>
      </c>
      <c r="B6007" t="s" s="22">
        <v>692</v>
      </c>
      <c r="C6007" s="23">
        <v>50</v>
      </c>
      <c r="D6007" t="s" s="24">
        <v>274</v>
      </c>
      <c r="E6007" s="25">
        <v>14</v>
      </c>
      <c r="F6007" s="23">
        <v>12.5</v>
      </c>
      <c r="G6007" s="152" cm="1">
        <f t="array" ref="G6007">SUM(E6007/F6007)</f>
        <v>1.12</v>
      </c>
      <c r="H6007" s="15"/>
    </row>
    <row r="6008" ht="13.65" customHeight="1">
      <c r="A6008" s="21">
        <v>6</v>
      </c>
      <c r="B6008" t="s" s="22">
        <v>399</v>
      </c>
      <c r="C6008" s="23">
        <v>100</v>
      </c>
      <c r="D6008" t="s" s="24">
        <v>104</v>
      </c>
      <c r="E6008" s="25">
        <v>19</v>
      </c>
      <c r="F6008" s="23">
        <v>100</v>
      </c>
      <c r="G6008" s="152" cm="1">
        <f t="array" ref="G6008">SUM(E6008/F6008)</f>
        <v>0.19</v>
      </c>
      <c r="H6008" s="15"/>
    </row>
    <row r="6009" ht="13.65" customHeight="1">
      <c r="A6009" s="21">
        <v>23</v>
      </c>
      <c r="B6009" t="s" s="22">
        <v>488</v>
      </c>
      <c r="C6009" s="23">
        <v>1</v>
      </c>
      <c r="D6009" t="s" s="24">
        <v>104</v>
      </c>
      <c r="E6009" s="25">
        <v>11</v>
      </c>
      <c r="F6009" s="23">
        <v>1</v>
      </c>
      <c r="G6009" s="152" cm="1">
        <f t="array" ref="G6009">SUM(E6009/F6009)</f>
        <v>11</v>
      </c>
      <c r="H6009" s="15"/>
    </row>
    <row r="6010" ht="13.65" customHeight="1">
      <c r="A6010" s="21">
        <v>119</v>
      </c>
      <c r="B6010" t="s" s="22">
        <v>467</v>
      </c>
      <c r="C6010" s="23">
        <v>1</v>
      </c>
      <c r="D6010" t="s" s="24">
        <v>468</v>
      </c>
      <c r="E6010" s="25">
        <v>0.45</v>
      </c>
      <c r="F6010" s="23">
        <v>1</v>
      </c>
      <c r="G6010" s="152" cm="1">
        <f t="array" ref="G6010">SUM(E6010/F6010)</f>
        <v>0.45</v>
      </c>
      <c r="H6010" s="15"/>
    </row>
    <row r="6011" ht="13.65" customHeight="1">
      <c r="A6011" s="21">
        <v>122</v>
      </c>
      <c r="B6011" t="s" s="22">
        <v>489</v>
      </c>
      <c r="C6011" t="s" s="24">
        <v>490</v>
      </c>
      <c r="D6011" t="s" s="24">
        <v>648</v>
      </c>
      <c r="E6011" s="25">
        <v>1.7</v>
      </c>
      <c r="F6011" s="23">
        <v>16</v>
      </c>
      <c r="G6011" s="152" cm="1">
        <f t="array" ref="G6011">SUM(E6011/F6011)</f>
        <v>0.10625</v>
      </c>
      <c r="H6011" s="15"/>
    </row>
    <row r="6012" ht="13.65" customHeight="1">
      <c r="A6012" s="21">
        <v>56</v>
      </c>
      <c r="B6012" t="s" s="22">
        <v>471</v>
      </c>
      <c r="C6012" s="23">
        <v>1</v>
      </c>
      <c r="D6012" t="s" s="24">
        <v>104</v>
      </c>
      <c r="E6012" s="25">
        <v>3.5</v>
      </c>
      <c r="F6012" s="23">
        <v>1</v>
      </c>
      <c r="G6012" s="152" cm="1">
        <f t="array" ref="G6012">SUM(E6012/F6012)</f>
        <v>3.5</v>
      </c>
      <c r="H6012" s="15"/>
    </row>
    <row r="6013" ht="13.65" customHeight="1">
      <c r="A6013" s="21">
        <v>78</v>
      </c>
      <c r="B6013" t="s" s="22">
        <v>492</v>
      </c>
      <c r="C6013" s="23">
        <v>1</v>
      </c>
      <c r="D6013" t="s" s="24">
        <v>104</v>
      </c>
      <c r="E6013" s="25">
        <v>1</v>
      </c>
      <c r="F6013" s="23">
        <v>1</v>
      </c>
      <c r="G6013" s="152" cm="1">
        <f t="array" ref="G6013">SUM(E6013/F6013)</f>
        <v>1</v>
      </c>
      <c r="H6013" s="15"/>
    </row>
    <row r="6014" ht="13.65" customHeight="1">
      <c r="A6014" s="21">
        <v>36</v>
      </c>
      <c r="B6014" t="s" s="22">
        <v>496</v>
      </c>
      <c r="C6014" t="s" s="24">
        <v>497</v>
      </c>
      <c r="D6014" t="s" s="24">
        <v>498</v>
      </c>
      <c r="E6014" s="25">
        <v>13</v>
      </c>
      <c r="F6014" s="23">
        <v>16</v>
      </c>
      <c r="G6014" s="152" cm="1">
        <f t="array" ref="G6014">SUM(E6014/F6014)</f>
        <v>0.8125</v>
      </c>
      <c r="H6014" s="15"/>
    </row>
    <row r="6015" ht="13.65" customHeight="1">
      <c r="A6015" s="28"/>
      <c r="B6015" s="28"/>
      <c r="C6015" s="27"/>
      <c r="D6015" s="24"/>
      <c r="E6015" s="27"/>
      <c r="F6015" t="s" s="29">
        <v>118</v>
      </c>
      <c r="G6015" s="197" cm="1">
        <f t="array" ref="G6015">SUM(G5999:G6014)</f>
        <v>23.9940817269076</v>
      </c>
      <c r="H6015" s="15"/>
    </row>
    <row r="6016" ht="13.65" customHeight="1">
      <c r="A6016" s="129"/>
      <c r="B6016" s="129"/>
      <c r="C6016" s="129"/>
      <c r="D6016" s="129"/>
      <c r="E6016" s="129"/>
      <c r="F6016" s="31"/>
      <c r="G6016" s="31"/>
      <c r="H6016" s="3"/>
    </row>
    <row r="6017" ht="11.7" customHeight="1">
      <c r="A6017" t="s" s="167">
        <v>136</v>
      </c>
      <c r="B6017" t="s" s="167">
        <v>281</v>
      </c>
      <c r="C6017" t="s" s="167">
        <v>282</v>
      </c>
      <c r="D6017" t="s" s="168">
        <v>283</v>
      </c>
      <c r="E6017" s="169"/>
      <c r="F6017" s="170"/>
      <c r="G6017" s="171"/>
      <c r="H6017" s="171"/>
    </row>
    <row r="6018" ht="13.65" customHeight="1">
      <c r="A6018" s="23">
        <v>600</v>
      </c>
      <c r="B6018" s="172" cm="1">
        <f t="array" ref="B6018">SUM(H256)</f>
        <v>2.47496540404041</v>
      </c>
      <c r="C6018" s="172" cm="1">
        <f t="array" ref="C6018">SUM(G6015)</f>
        <v>23.9940817269076</v>
      </c>
      <c r="D6018" s="199" cm="1">
        <f t="array" ref="D6018">SUM(A6018*B6018)+(C6018)</f>
        <v>1508.973324151150</v>
      </c>
      <c r="E6018" s="200"/>
      <c r="F6018" s="15"/>
      <c r="G6018" s="3"/>
      <c r="H6018" s="3"/>
    </row>
    <row r="6019" ht="13.65" customHeight="1">
      <c r="A6019" s="31"/>
      <c r="B6019" s="31"/>
      <c r="C6019" s="31"/>
      <c r="D6019" s="31"/>
      <c r="E6019" s="31"/>
      <c r="F6019" s="3"/>
      <c r="G6019" s="3"/>
      <c r="H6019" s="3"/>
    </row>
    <row r="6020" ht="13.65" customHeight="1">
      <c r="A6020" s="3"/>
      <c r="B6020" s="3"/>
      <c r="C6020" s="3"/>
      <c r="D6020" s="3"/>
      <c r="E6020" s="3"/>
      <c r="F6020" s="3"/>
      <c r="G6020" s="3"/>
      <c r="H6020" s="3"/>
    </row>
    <row r="6021" ht="13.65" customHeight="1">
      <c r="A6021" t="s" s="5">
        <v>885</v>
      </c>
      <c r="B6021" s="3"/>
      <c r="C6021" s="3"/>
      <c r="D6021" s="3"/>
      <c r="E6021" s="3"/>
      <c r="F6021" s="3"/>
      <c r="G6021" s="3"/>
      <c r="H6021" s="3"/>
    </row>
    <row r="6022" ht="13.65" customHeight="1">
      <c r="A6022" s="11"/>
      <c r="B6022" s="11"/>
      <c r="C6022" s="11"/>
      <c r="D6022" s="11"/>
      <c r="E6022" s="11"/>
      <c r="F6022" s="11"/>
      <c r="G6022" s="11"/>
      <c r="H6022" s="3"/>
    </row>
    <row r="6023" ht="13.65" customHeight="1">
      <c r="A6023" s="12"/>
      <c r="B6023" s="12"/>
      <c r="C6023" s="13"/>
      <c r="D6023" s="14"/>
      <c r="E6023" s="13"/>
      <c r="F6023" s="13"/>
      <c r="G6023" t="s" s="14">
        <v>252</v>
      </c>
      <c r="H6023" s="150"/>
    </row>
    <row r="6024" ht="13.65" customHeight="1">
      <c r="A6024" t="s" s="16">
        <v>93</v>
      </c>
      <c r="B6024" t="s" s="16">
        <v>94</v>
      </c>
      <c r="C6024" t="s" s="16">
        <v>95</v>
      </c>
      <c r="D6024" t="s" s="16">
        <v>96</v>
      </c>
      <c r="E6024" t="s" s="16">
        <v>97</v>
      </c>
      <c r="F6024" t="s" s="16">
        <v>98</v>
      </c>
      <c r="G6024" t="s" s="16">
        <v>99</v>
      </c>
      <c r="H6024" s="15"/>
    </row>
    <row r="6025" ht="13.65" customHeight="1">
      <c r="A6025" s="151"/>
      <c r="B6025" s="151"/>
      <c r="C6025" s="19"/>
      <c r="D6025" s="20"/>
      <c r="E6025" s="19"/>
      <c r="F6025" s="19"/>
      <c r="G6025" t="s" s="20">
        <v>100</v>
      </c>
      <c r="H6025" s="15"/>
    </row>
    <row r="6026" ht="13.65" customHeight="1">
      <c r="A6026" s="21">
        <v>72</v>
      </c>
      <c r="B6026" t="s" s="22">
        <v>101</v>
      </c>
      <c r="C6026" s="23">
        <v>50</v>
      </c>
      <c r="D6026" t="s" s="24">
        <v>274</v>
      </c>
      <c r="E6026" s="25">
        <v>1.93</v>
      </c>
      <c r="F6026" s="23">
        <v>12.5</v>
      </c>
      <c r="G6026" s="152" cm="1">
        <f t="array" ref="G6026">SUM(E6026/F6026)</f>
        <v>0.1544</v>
      </c>
      <c r="H6026" s="15"/>
    </row>
    <row r="6027" ht="13.65" customHeight="1">
      <c r="A6027" s="21">
        <v>123</v>
      </c>
      <c r="B6027" t="s" s="22">
        <v>103</v>
      </c>
      <c r="C6027" s="23">
        <v>40</v>
      </c>
      <c r="D6027" t="s" s="24">
        <v>102</v>
      </c>
      <c r="E6027" s="25">
        <v>3.2</v>
      </c>
      <c r="F6027" s="23">
        <v>20</v>
      </c>
      <c r="G6027" s="152" cm="1">
        <f t="array" ref="G6027">SUM(E6027/F6027)</f>
        <v>0.16</v>
      </c>
      <c r="H6027" s="15"/>
    </row>
    <row r="6028" ht="13.65" customHeight="1">
      <c r="A6028" s="21">
        <v>65</v>
      </c>
      <c r="B6028" t="s" s="22">
        <v>394</v>
      </c>
      <c r="C6028" s="23">
        <v>500</v>
      </c>
      <c r="D6028" t="s" s="24">
        <v>633</v>
      </c>
      <c r="E6028" s="25">
        <v>26</v>
      </c>
      <c r="F6028" s="23">
        <v>16.6</v>
      </c>
      <c r="G6028" s="152" cm="1">
        <f t="array" ref="G6028">SUM(E6028/F6028)</f>
        <v>1.56626506024096</v>
      </c>
      <c r="H6028" s="15"/>
    </row>
    <row r="6029" ht="13.65" customHeight="1">
      <c r="A6029" s="21">
        <v>140</v>
      </c>
      <c r="B6029" t="s" s="22">
        <v>470</v>
      </c>
      <c r="C6029" t="s" s="24">
        <v>108</v>
      </c>
      <c r="D6029" t="s" s="24">
        <v>102</v>
      </c>
      <c r="E6029" s="25">
        <v>1.12</v>
      </c>
      <c r="F6029" t="s" s="24">
        <v>387</v>
      </c>
      <c r="G6029" s="152" cm="1">
        <f t="array" ref="G6029">SUM(E6029*2)</f>
        <v>2.24</v>
      </c>
      <c r="H6029" s="15"/>
    </row>
    <row r="6030" ht="13.65" customHeight="1">
      <c r="A6030" s="21">
        <v>71</v>
      </c>
      <c r="B6030" t="s" s="22">
        <v>109</v>
      </c>
      <c r="C6030" s="23">
        <v>10</v>
      </c>
      <c r="D6030" t="s" s="24">
        <v>102</v>
      </c>
      <c r="E6030" s="25">
        <v>5.92</v>
      </c>
      <c r="F6030" s="23">
        <v>5</v>
      </c>
      <c r="G6030" s="152" cm="1">
        <f t="array" ref="G6030">SUM(E6030/F6030)</f>
        <v>1.184</v>
      </c>
      <c r="H6030" s="15"/>
    </row>
    <row r="6031" ht="13.65" customHeight="1">
      <c r="A6031" s="21">
        <v>87</v>
      </c>
      <c r="B6031" t="s" s="22">
        <v>110</v>
      </c>
      <c r="C6031" s="23">
        <v>50</v>
      </c>
      <c r="D6031" t="s" s="24">
        <v>102</v>
      </c>
      <c r="E6031" s="25">
        <v>9</v>
      </c>
      <c r="F6031" s="23">
        <v>25</v>
      </c>
      <c r="G6031" s="152" cm="1">
        <f t="array" ref="G6031">SUM(E6031/F6031)</f>
        <v>0.36</v>
      </c>
      <c r="H6031" s="15"/>
    </row>
    <row r="6032" ht="13.65" customHeight="1">
      <c r="A6032" s="21">
        <v>55</v>
      </c>
      <c r="B6032" t="s" s="22">
        <v>111</v>
      </c>
      <c r="C6032" t="s" s="24">
        <v>112</v>
      </c>
      <c r="D6032" t="s" s="24">
        <v>461</v>
      </c>
      <c r="E6032" s="25">
        <v>2.71</v>
      </c>
      <c r="F6032" s="23">
        <v>37.5</v>
      </c>
      <c r="G6032" s="152" cm="1">
        <f t="array" ref="G6032">SUM(E6032/F6032)</f>
        <v>0.0722666666666667</v>
      </c>
      <c r="H6032" s="15"/>
    </row>
    <row r="6033" ht="13.65" customHeight="1">
      <c r="A6033" s="21">
        <v>10</v>
      </c>
      <c r="B6033" t="s" s="22">
        <v>395</v>
      </c>
      <c r="C6033" t="s" s="24">
        <v>396</v>
      </c>
      <c r="D6033" t="s" s="24">
        <v>397</v>
      </c>
      <c r="E6033" s="25">
        <v>3.92</v>
      </c>
      <c r="F6033" s="23">
        <v>50</v>
      </c>
      <c r="G6033" s="152" cm="1">
        <f t="array" ref="G6033">SUM(E6033/F6033)</f>
        <v>0.0784</v>
      </c>
      <c r="H6033" s="15"/>
    </row>
    <row r="6034" ht="13.65" customHeight="1">
      <c r="A6034" s="21">
        <v>9</v>
      </c>
      <c r="B6034" t="s" s="22">
        <v>692</v>
      </c>
      <c r="C6034" s="23">
        <v>50</v>
      </c>
      <c r="D6034" t="s" s="24">
        <v>274</v>
      </c>
      <c r="E6034" s="25">
        <v>14</v>
      </c>
      <c r="F6034" s="23">
        <v>12.5</v>
      </c>
      <c r="G6034" s="152" cm="1">
        <f t="array" ref="G6034">SUM(E6034/F6034)</f>
        <v>1.12</v>
      </c>
      <c r="H6034" s="15"/>
    </row>
    <row r="6035" ht="13.65" customHeight="1">
      <c r="A6035" s="21">
        <v>6</v>
      </c>
      <c r="B6035" t="s" s="22">
        <v>399</v>
      </c>
      <c r="C6035" s="23">
        <v>100</v>
      </c>
      <c r="D6035" t="s" s="24">
        <v>104</v>
      </c>
      <c r="E6035" s="25">
        <v>19</v>
      </c>
      <c r="F6035" s="23">
        <v>100</v>
      </c>
      <c r="G6035" s="152" cm="1">
        <f t="array" ref="G6035">SUM(E6035/F6035)</f>
        <v>0.19</v>
      </c>
      <c r="H6035" s="15"/>
    </row>
    <row r="6036" ht="13.65" customHeight="1">
      <c r="A6036" s="21">
        <v>23</v>
      </c>
      <c r="B6036" t="s" s="22">
        <v>488</v>
      </c>
      <c r="C6036" s="23">
        <v>1</v>
      </c>
      <c r="D6036" t="s" s="24">
        <v>104</v>
      </c>
      <c r="E6036" s="25">
        <v>11</v>
      </c>
      <c r="F6036" s="23">
        <v>1</v>
      </c>
      <c r="G6036" s="152" cm="1">
        <f t="array" ref="G6036">SUM(E6036/F6036)</f>
        <v>11</v>
      </c>
      <c r="H6036" s="15"/>
    </row>
    <row r="6037" ht="13.65" customHeight="1">
      <c r="A6037" s="21">
        <v>119</v>
      </c>
      <c r="B6037" t="s" s="22">
        <v>467</v>
      </c>
      <c r="C6037" s="23">
        <v>1</v>
      </c>
      <c r="D6037" t="s" s="24">
        <v>468</v>
      </c>
      <c r="E6037" s="25">
        <v>0.45</v>
      </c>
      <c r="F6037" s="23">
        <v>1</v>
      </c>
      <c r="G6037" s="152" cm="1">
        <f t="array" ref="G6037">SUM(E6037/F6037)</f>
        <v>0.45</v>
      </c>
      <c r="H6037" s="15"/>
    </row>
    <row r="6038" ht="13.65" customHeight="1">
      <c r="A6038" s="21">
        <v>122</v>
      </c>
      <c r="B6038" t="s" s="22">
        <v>489</v>
      </c>
      <c r="C6038" t="s" s="24">
        <v>490</v>
      </c>
      <c r="D6038" t="s" s="24">
        <v>648</v>
      </c>
      <c r="E6038" s="25">
        <v>1.7</v>
      </c>
      <c r="F6038" s="23">
        <v>16</v>
      </c>
      <c r="G6038" s="152" cm="1">
        <f t="array" ref="G6038">SUM(E6038/F6038)</f>
        <v>0.10625</v>
      </c>
      <c r="H6038" s="15"/>
    </row>
    <row r="6039" ht="13.65" customHeight="1">
      <c r="A6039" s="21">
        <v>56</v>
      </c>
      <c r="B6039" t="s" s="22">
        <v>471</v>
      </c>
      <c r="C6039" s="23">
        <v>1</v>
      </c>
      <c r="D6039" t="s" s="24">
        <v>104</v>
      </c>
      <c r="E6039" s="25">
        <v>3.5</v>
      </c>
      <c r="F6039" s="23">
        <v>1</v>
      </c>
      <c r="G6039" s="152" cm="1">
        <f t="array" ref="G6039">SUM(E6039/F6039)</f>
        <v>3.5</v>
      </c>
      <c r="H6039" s="15"/>
    </row>
    <row r="6040" ht="13.65" customHeight="1">
      <c r="A6040" s="21">
        <v>78</v>
      </c>
      <c r="B6040" t="s" s="22">
        <v>492</v>
      </c>
      <c r="C6040" s="23">
        <v>1</v>
      </c>
      <c r="D6040" t="s" s="24">
        <v>104</v>
      </c>
      <c r="E6040" s="25">
        <v>1</v>
      </c>
      <c r="F6040" s="23">
        <v>1</v>
      </c>
      <c r="G6040" s="152" cm="1">
        <f t="array" ref="G6040">SUM(E6040/F6040)</f>
        <v>1</v>
      </c>
      <c r="H6040" s="15"/>
    </row>
    <row r="6041" ht="13.65" customHeight="1">
      <c r="A6041" s="21">
        <v>36</v>
      </c>
      <c r="B6041" t="s" s="22">
        <v>496</v>
      </c>
      <c r="C6041" t="s" s="24">
        <v>497</v>
      </c>
      <c r="D6041" t="s" s="24">
        <v>498</v>
      </c>
      <c r="E6041" s="25">
        <v>13</v>
      </c>
      <c r="F6041" s="23">
        <v>16</v>
      </c>
      <c r="G6041" s="152" cm="1">
        <f t="array" ref="G6041">SUM(E6041/F6041)</f>
        <v>0.8125</v>
      </c>
      <c r="H6041" s="15"/>
    </row>
    <row r="6042" ht="13.65" customHeight="1">
      <c r="A6042" s="28"/>
      <c r="B6042" s="28"/>
      <c r="C6042" s="27"/>
      <c r="D6042" s="24"/>
      <c r="E6042" s="27"/>
      <c r="F6042" t="s" s="29">
        <v>118</v>
      </c>
      <c r="G6042" s="197" cm="1">
        <f t="array" ref="G6042">SUM(G6026:G6041)</f>
        <v>23.9940817269076</v>
      </c>
      <c r="H6042" s="15"/>
    </row>
    <row r="6043" ht="13.65" customHeight="1">
      <c r="A6043" s="129"/>
      <c r="B6043" s="129"/>
      <c r="C6043" s="129"/>
      <c r="D6043" s="129"/>
      <c r="E6043" s="129"/>
      <c r="F6043" s="31"/>
      <c r="G6043" s="31"/>
      <c r="H6043" s="3"/>
    </row>
    <row r="6044" ht="11.7" customHeight="1">
      <c r="A6044" t="s" s="167">
        <v>136</v>
      </c>
      <c r="B6044" t="s" s="167">
        <v>281</v>
      </c>
      <c r="C6044" t="s" s="167">
        <v>282</v>
      </c>
      <c r="D6044" t="s" s="168">
        <v>283</v>
      </c>
      <c r="E6044" s="169"/>
      <c r="F6044" s="170"/>
      <c r="G6044" s="171"/>
      <c r="H6044" s="171"/>
    </row>
    <row r="6045" ht="13.65" customHeight="1">
      <c r="A6045" s="23">
        <v>390</v>
      </c>
      <c r="B6045" s="172" cm="1">
        <f t="array" ref="B6045">SUM(H256)</f>
        <v>2.47496540404041</v>
      </c>
      <c r="C6045" s="172" cm="1">
        <f t="array" ref="C6045">SUM(G6042)</f>
        <v>23.9940817269076</v>
      </c>
      <c r="D6045" s="199" cm="1">
        <f t="array" ref="D6045">SUM(A6045*B6045)+(C6045)</f>
        <v>989.230589302668</v>
      </c>
      <c r="E6045" s="200"/>
      <c r="F6045" s="15"/>
      <c r="G6045" s="3"/>
      <c r="H6045" s="3"/>
    </row>
    <row r="6046" ht="13.65" customHeight="1">
      <c r="A6046" s="31"/>
      <c r="B6046" s="31"/>
      <c r="C6046" s="31"/>
      <c r="D6046" s="31"/>
      <c r="E6046" s="31"/>
      <c r="F6046" s="3"/>
      <c r="G6046" s="3"/>
      <c r="H6046" s="3"/>
    </row>
    <row r="6047" ht="13.65" customHeight="1">
      <c r="A6047" s="203"/>
      <c r="B6047" s="203"/>
      <c r="C6047" s="203"/>
      <c r="D6047" s="203"/>
      <c r="E6047" s="203"/>
      <c r="F6047" s="203"/>
      <c r="G6047" s="203"/>
      <c r="H6047" s="203"/>
    </row>
    <row r="6048" ht="13.65" customHeight="1">
      <c r="A6048" t="s" s="274">
        <v>284</v>
      </c>
      <c r="B6048" s="275"/>
      <c r="C6048" s="275"/>
      <c r="D6048" s="275"/>
      <c r="E6048" s="280"/>
      <c r="F6048" s="275"/>
      <c r="G6048" s="275"/>
      <c r="H6048" s="277"/>
    </row>
    <row r="6049" ht="13.65" customHeight="1">
      <c r="A6049" s="278"/>
      <c r="B6049" s="278"/>
      <c r="C6049" s="278"/>
      <c r="D6049" s="278"/>
      <c r="E6049" s="278"/>
      <c r="F6049" s="278"/>
      <c r="G6049" s="278"/>
      <c r="H6049" s="278"/>
    </row>
    <row r="6050" ht="13.65" customHeight="1">
      <c r="A6050" s="3"/>
      <c r="B6050" s="3"/>
      <c r="C6050" s="3"/>
      <c r="D6050" s="3"/>
      <c r="E6050" s="3"/>
      <c r="F6050" s="3"/>
      <c r="G6050" s="3"/>
      <c r="H6050" s="3"/>
    </row>
    <row r="6051" ht="13.65" customHeight="1">
      <c r="A6051" t="s" s="5">
        <v>886</v>
      </c>
      <c r="B6051" s="3"/>
      <c r="C6051" s="3"/>
      <c r="D6051" s="3"/>
      <c r="E6051" s="3"/>
      <c r="F6051" s="3"/>
      <c r="G6051" s="3"/>
      <c r="H6051" s="3"/>
    </row>
    <row r="6052" ht="13.65" customHeight="1">
      <c r="A6052" s="11"/>
      <c r="B6052" s="11"/>
      <c r="C6052" s="11"/>
      <c r="D6052" s="11"/>
      <c r="E6052" s="11"/>
      <c r="F6052" s="11"/>
      <c r="G6052" s="11"/>
      <c r="H6052" s="3"/>
    </row>
    <row r="6053" ht="13.65" customHeight="1">
      <c r="A6053" s="12"/>
      <c r="B6053" s="12"/>
      <c r="C6053" s="13"/>
      <c r="D6053" s="14"/>
      <c r="E6053" s="13"/>
      <c r="F6053" s="13"/>
      <c r="G6053" t="s" s="14">
        <v>252</v>
      </c>
      <c r="H6053" s="150"/>
    </row>
    <row r="6054" ht="13.65" customHeight="1">
      <c r="A6054" t="s" s="16">
        <v>93</v>
      </c>
      <c r="B6054" t="s" s="16">
        <v>94</v>
      </c>
      <c r="C6054" t="s" s="16">
        <v>95</v>
      </c>
      <c r="D6054" t="s" s="16">
        <v>96</v>
      </c>
      <c r="E6054" t="s" s="16">
        <v>97</v>
      </c>
      <c r="F6054" t="s" s="16">
        <v>98</v>
      </c>
      <c r="G6054" t="s" s="16">
        <v>99</v>
      </c>
      <c r="H6054" s="15"/>
    </row>
    <row r="6055" ht="13.65" customHeight="1">
      <c r="A6055" s="151"/>
      <c r="B6055" s="151"/>
      <c r="C6055" s="19"/>
      <c r="D6055" s="20"/>
      <c r="E6055" s="19"/>
      <c r="F6055" s="19"/>
      <c r="G6055" t="s" s="20">
        <v>100</v>
      </c>
      <c r="H6055" s="15"/>
    </row>
    <row r="6056" ht="13.65" customHeight="1">
      <c r="A6056" s="21">
        <v>72</v>
      </c>
      <c r="B6056" t="s" s="22">
        <v>101</v>
      </c>
      <c r="C6056" s="23">
        <v>50</v>
      </c>
      <c r="D6056" t="s" s="24">
        <v>274</v>
      </c>
      <c r="E6056" s="25">
        <v>1.93</v>
      </c>
      <c r="F6056" s="23">
        <v>12.5</v>
      </c>
      <c r="G6056" s="152" cm="1">
        <f t="array" ref="G6056">SUM(E6056/F6056)</f>
        <v>0.1544</v>
      </c>
      <c r="H6056" s="15"/>
    </row>
    <row r="6057" ht="13.65" customHeight="1">
      <c r="A6057" s="21">
        <v>123</v>
      </c>
      <c r="B6057" t="s" s="22">
        <v>103</v>
      </c>
      <c r="C6057" s="23">
        <v>40</v>
      </c>
      <c r="D6057" t="s" s="24">
        <v>102</v>
      </c>
      <c r="E6057" s="25">
        <v>3.2</v>
      </c>
      <c r="F6057" s="23">
        <v>20</v>
      </c>
      <c r="G6057" s="152" cm="1">
        <f t="array" ref="G6057">SUM(E6057/F6057)</f>
        <v>0.16</v>
      </c>
      <c r="H6057" s="15"/>
    </row>
    <row r="6058" ht="13.65" customHeight="1">
      <c r="A6058" s="21">
        <v>65</v>
      </c>
      <c r="B6058" t="s" s="22">
        <v>394</v>
      </c>
      <c r="C6058" s="23">
        <v>500</v>
      </c>
      <c r="D6058" t="s" s="24">
        <v>633</v>
      </c>
      <c r="E6058" s="25">
        <v>26</v>
      </c>
      <c r="F6058" s="23">
        <v>16.6</v>
      </c>
      <c r="G6058" s="152" cm="1">
        <f t="array" ref="G6058">SUM(E6058/F6058)</f>
        <v>1.56626506024096</v>
      </c>
      <c r="H6058" s="15"/>
    </row>
    <row r="6059" ht="13.65" customHeight="1">
      <c r="A6059" s="21">
        <v>140</v>
      </c>
      <c r="B6059" t="s" s="22">
        <v>470</v>
      </c>
      <c r="C6059" t="s" s="24">
        <v>108</v>
      </c>
      <c r="D6059" t="s" s="24">
        <v>102</v>
      </c>
      <c r="E6059" s="25">
        <v>1.12</v>
      </c>
      <c r="F6059" t="s" s="24">
        <v>387</v>
      </c>
      <c r="G6059" s="152" cm="1">
        <f t="array" ref="G6059">SUM(E6059*2)</f>
        <v>2.24</v>
      </c>
      <c r="H6059" s="15"/>
    </row>
    <row r="6060" ht="13.65" customHeight="1">
      <c r="A6060" s="21">
        <v>71</v>
      </c>
      <c r="B6060" t="s" s="22">
        <v>109</v>
      </c>
      <c r="C6060" s="23">
        <v>10</v>
      </c>
      <c r="D6060" t="s" s="24">
        <v>102</v>
      </c>
      <c r="E6060" s="25">
        <v>5.92</v>
      </c>
      <c r="F6060" s="23">
        <v>5</v>
      </c>
      <c r="G6060" s="152" cm="1">
        <f t="array" ref="G6060">SUM(E6060/F6060)</f>
        <v>1.184</v>
      </c>
      <c r="H6060" s="15"/>
    </row>
    <row r="6061" ht="13.65" customHeight="1">
      <c r="A6061" s="21">
        <v>87</v>
      </c>
      <c r="B6061" t="s" s="22">
        <v>110</v>
      </c>
      <c r="C6061" s="23">
        <v>50</v>
      </c>
      <c r="D6061" t="s" s="24">
        <v>102</v>
      </c>
      <c r="E6061" s="25">
        <v>9</v>
      </c>
      <c r="F6061" s="23">
        <v>25</v>
      </c>
      <c r="G6061" s="152" cm="1">
        <f t="array" ref="G6061">SUM(E6061/F6061)</f>
        <v>0.36</v>
      </c>
      <c r="H6061" s="15"/>
    </row>
    <row r="6062" ht="13.65" customHeight="1">
      <c r="A6062" s="21">
        <v>55</v>
      </c>
      <c r="B6062" t="s" s="22">
        <v>111</v>
      </c>
      <c r="C6062" t="s" s="24">
        <v>112</v>
      </c>
      <c r="D6062" t="s" s="24">
        <v>461</v>
      </c>
      <c r="E6062" s="25">
        <v>2.71</v>
      </c>
      <c r="F6062" s="23">
        <v>37.5</v>
      </c>
      <c r="G6062" s="152" cm="1">
        <f t="array" ref="G6062">SUM(E6062/F6062)</f>
        <v>0.0722666666666667</v>
      </c>
      <c r="H6062" s="15"/>
    </row>
    <row r="6063" ht="13.65" customHeight="1">
      <c r="A6063" s="21">
        <v>10</v>
      </c>
      <c r="B6063" t="s" s="22">
        <v>395</v>
      </c>
      <c r="C6063" t="s" s="24">
        <v>396</v>
      </c>
      <c r="D6063" t="s" s="24">
        <v>397</v>
      </c>
      <c r="E6063" s="25">
        <v>3.92</v>
      </c>
      <c r="F6063" s="23">
        <v>50</v>
      </c>
      <c r="G6063" s="152" cm="1">
        <f t="array" ref="G6063">SUM(E6063/F6063)</f>
        <v>0.0784</v>
      </c>
      <c r="H6063" s="15"/>
    </row>
    <row r="6064" ht="13.65" customHeight="1">
      <c r="A6064" s="21">
        <v>9</v>
      </c>
      <c r="B6064" t="s" s="22">
        <v>692</v>
      </c>
      <c r="C6064" s="23">
        <v>50</v>
      </c>
      <c r="D6064" t="s" s="24">
        <v>274</v>
      </c>
      <c r="E6064" s="25">
        <v>14</v>
      </c>
      <c r="F6064" s="23">
        <v>12.5</v>
      </c>
      <c r="G6064" s="152" cm="1">
        <f t="array" ref="G6064">SUM(E6064/F6064)</f>
        <v>1.12</v>
      </c>
      <c r="H6064" s="15"/>
    </row>
    <row r="6065" ht="13.65" customHeight="1">
      <c r="A6065" s="21">
        <v>6</v>
      </c>
      <c r="B6065" t="s" s="22">
        <v>399</v>
      </c>
      <c r="C6065" s="23">
        <v>100</v>
      </c>
      <c r="D6065" t="s" s="24">
        <v>104</v>
      </c>
      <c r="E6065" s="25">
        <v>19</v>
      </c>
      <c r="F6065" s="23">
        <v>100</v>
      </c>
      <c r="G6065" s="152" cm="1">
        <f t="array" ref="G6065">SUM(E6065/F6065)</f>
        <v>0.19</v>
      </c>
      <c r="H6065" s="15"/>
    </row>
    <row r="6066" ht="13.65" customHeight="1">
      <c r="A6066" s="21">
        <v>23</v>
      </c>
      <c r="B6066" t="s" s="22">
        <v>488</v>
      </c>
      <c r="C6066" s="23">
        <v>1</v>
      </c>
      <c r="D6066" t="s" s="24">
        <v>104</v>
      </c>
      <c r="E6066" s="25">
        <v>11</v>
      </c>
      <c r="F6066" s="23">
        <v>1</v>
      </c>
      <c r="G6066" s="152" cm="1">
        <f t="array" ref="G6066">SUM(E6066/F6066)</f>
        <v>11</v>
      </c>
      <c r="H6066" s="15"/>
    </row>
    <row r="6067" ht="13.65" customHeight="1">
      <c r="A6067" s="21">
        <v>119</v>
      </c>
      <c r="B6067" t="s" s="22">
        <v>467</v>
      </c>
      <c r="C6067" s="23">
        <v>1</v>
      </c>
      <c r="D6067" t="s" s="24">
        <v>468</v>
      </c>
      <c r="E6067" s="25">
        <v>0.45</v>
      </c>
      <c r="F6067" s="23">
        <v>1</v>
      </c>
      <c r="G6067" s="152" cm="1">
        <f t="array" ref="G6067">SUM(E6067/F6067)</f>
        <v>0.45</v>
      </c>
      <c r="H6067" s="15"/>
    </row>
    <row r="6068" ht="13.65" customHeight="1">
      <c r="A6068" s="21">
        <v>122</v>
      </c>
      <c r="B6068" t="s" s="22">
        <v>489</v>
      </c>
      <c r="C6068" t="s" s="24">
        <v>490</v>
      </c>
      <c r="D6068" t="s" s="24">
        <v>648</v>
      </c>
      <c r="E6068" s="25">
        <v>1.7</v>
      </c>
      <c r="F6068" s="23">
        <v>16</v>
      </c>
      <c r="G6068" s="152" cm="1">
        <f t="array" ref="G6068">SUM(E6068/F6068)</f>
        <v>0.10625</v>
      </c>
      <c r="H6068" s="15"/>
    </row>
    <row r="6069" ht="13.65" customHeight="1">
      <c r="A6069" s="21">
        <v>56</v>
      </c>
      <c r="B6069" t="s" s="22">
        <v>471</v>
      </c>
      <c r="C6069" s="23">
        <v>1</v>
      </c>
      <c r="D6069" t="s" s="24">
        <v>104</v>
      </c>
      <c r="E6069" s="25">
        <v>3.5</v>
      </c>
      <c r="F6069" s="23">
        <v>1</v>
      </c>
      <c r="G6069" s="152" cm="1">
        <f t="array" ref="G6069">SUM(E6069/F6069)</f>
        <v>3.5</v>
      </c>
      <c r="H6069" s="15"/>
    </row>
    <row r="6070" ht="13.65" customHeight="1">
      <c r="A6070" s="21">
        <v>78</v>
      </c>
      <c r="B6070" t="s" s="22">
        <v>492</v>
      </c>
      <c r="C6070" s="23">
        <v>1</v>
      </c>
      <c r="D6070" t="s" s="24">
        <v>104</v>
      </c>
      <c r="E6070" s="25">
        <v>1</v>
      </c>
      <c r="F6070" s="23">
        <v>1</v>
      </c>
      <c r="G6070" s="152" cm="1">
        <f t="array" ref="G6070">SUM(E6070/F6070)</f>
        <v>1</v>
      </c>
      <c r="H6070" s="15"/>
    </row>
    <row r="6071" ht="13.65" customHeight="1">
      <c r="A6071" s="21">
        <v>36</v>
      </c>
      <c r="B6071" t="s" s="22">
        <v>496</v>
      </c>
      <c r="C6071" t="s" s="24">
        <v>497</v>
      </c>
      <c r="D6071" t="s" s="24">
        <v>498</v>
      </c>
      <c r="E6071" s="25">
        <v>13</v>
      </c>
      <c r="F6071" s="23">
        <v>16</v>
      </c>
      <c r="G6071" s="152" cm="1">
        <f t="array" ref="G6071">SUM(E6071/F6071)</f>
        <v>0.8125</v>
      </c>
      <c r="H6071" s="15"/>
    </row>
    <row r="6072" ht="13.65" customHeight="1">
      <c r="A6072" s="28"/>
      <c r="B6072" s="28"/>
      <c r="C6072" s="27"/>
      <c r="D6072" s="24"/>
      <c r="E6072" s="27"/>
      <c r="F6072" t="s" s="29">
        <v>118</v>
      </c>
      <c r="G6072" s="197" cm="1">
        <f t="array" ref="G6072">SUM(G6056:G6071)</f>
        <v>23.9940817269076</v>
      </c>
      <c r="H6072" s="15"/>
    </row>
    <row r="6073" ht="13.65" customHeight="1">
      <c r="A6073" s="129"/>
      <c r="B6073" s="129"/>
      <c r="C6073" s="129"/>
      <c r="D6073" s="129"/>
      <c r="E6073" s="129"/>
      <c r="F6073" s="31"/>
      <c r="G6073" s="31"/>
      <c r="H6073" s="3"/>
    </row>
    <row r="6074" ht="11.7" customHeight="1">
      <c r="A6074" t="s" s="167">
        <v>136</v>
      </c>
      <c r="B6074" t="s" s="167">
        <v>281</v>
      </c>
      <c r="C6074" t="s" s="167">
        <v>282</v>
      </c>
      <c r="D6074" t="s" s="168">
        <v>283</v>
      </c>
      <c r="E6074" s="169"/>
      <c r="F6074" s="170"/>
      <c r="G6074" s="171"/>
      <c r="H6074" s="171"/>
    </row>
    <row r="6075" ht="13.65" customHeight="1">
      <c r="A6075" s="23">
        <v>360</v>
      </c>
      <c r="B6075" s="172" cm="1">
        <f t="array" ref="B6075">SUM(H256)</f>
        <v>2.47496540404041</v>
      </c>
      <c r="C6075" s="172" cm="1">
        <f t="array" ref="C6075">SUM(G6072)</f>
        <v>23.9940817269076</v>
      </c>
      <c r="D6075" s="199" cm="1">
        <f t="array" ref="D6075">SUM(A6075*B6075)+(C6075)</f>
        <v>914.981627181455</v>
      </c>
      <c r="E6075" s="200"/>
      <c r="F6075" s="15"/>
      <c r="G6075" s="3"/>
      <c r="H6075" s="3"/>
    </row>
    <row r="6076" ht="13.65" customHeight="1">
      <c r="A6076" s="31"/>
      <c r="B6076" s="31"/>
      <c r="C6076" s="31"/>
      <c r="D6076" s="31"/>
      <c r="E6076" s="31"/>
      <c r="F6076" s="3"/>
      <c r="G6076" s="3"/>
      <c r="H6076" s="3"/>
    </row>
    <row r="6077" ht="13.65" customHeight="1">
      <c r="A6077" s="3"/>
      <c r="B6077" s="3"/>
      <c r="C6077" s="3"/>
      <c r="D6077" s="3"/>
      <c r="E6077" s="3"/>
      <c r="F6077" s="3"/>
      <c r="G6077" s="3"/>
      <c r="H6077" s="3"/>
    </row>
    <row r="6078" ht="13.65" customHeight="1">
      <c r="A6078" t="s" s="5">
        <v>887</v>
      </c>
      <c r="B6078" s="3"/>
      <c r="C6078" s="3"/>
      <c r="D6078" s="3"/>
      <c r="E6078" s="3"/>
      <c r="F6078" s="3"/>
      <c r="G6078" s="3"/>
      <c r="H6078" s="3"/>
    </row>
    <row r="6079" ht="13.65" customHeight="1">
      <c r="A6079" s="11"/>
      <c r="B6079" s="11"/>
      <c r="C6079" s="11"/>
      <c r="D6079" s="11"/>
      <c r="E6079" s="11"/>
      <c r="F6079" s="11"/>
      <c r="G6079" s="11"/>
      <c r="H6079" s="3"/>
    </row>
    <row r="6080" ht="13.65" customHeight="1">
      <c r="A6080" s="12"/>
      <c r="B6080" s="12"/>
      <c r="C6080" s="13"/>
      <c r="D6080" s="14"/>
      <c r="E6080" s="13"/>
      <c r="F6080" s="13"/>
      <c r="G6080" t="s" s="14">
        <v>252</v>
      </c>
      <c r="H6080" s="150"/>
    </row>
    <row r="6081" ht="13.65" customHeight="1">
      <c r="A6081" t="s" s="16">
        <v>93</v>
      </c>
      <c r="B6081" t="s" s="16">
        <v>94</v>
      </c>
      <c r="C6081" t="s" s="16">
        <v>95</v>
      </c>
      <c r="D6081" t="s" s="16">
        <v>96</v>
      </c>
      <c r="E6081" t="s" s="16">
        <v>97</v>
      </c>
      <c r="F6081" t="s" s="16">
        <v>98</v>
      </c>
      <c r="G6081" t="s" s="16">
        <v>99</v>
      </c>
      <c r="H6081" s="15"/>
    </row>
    <row r="6082" ht="13.65" customHeight="1">
      <c r="A6082" s="151"/>
      <c r="B6082" s="151"/>
      <c r="C6082" s="19"/>
      <c r="D6082" s="20"/>
      <c r="E6082" s="19"/>
      <c r="F6082" s="19"/>
      <c r="G6082" t="s" s="20">
        <v>100</v>
      </c>
      <c r="H6082" s="15"/>
    </row>
    <row r="6083" ht="13.65" customHeight="1">
      <c r="A6083" s="21">
        <v>72</v>
      </c>
      <c r="B6083" t="s" s="22">
        <v>101</v>
      </c>
      <c r="C6083" s="23">
        <v>50</v>
      </c>
      <c r="D6083" t="s" s="24">
        <v>274</v>
      </c>
      <c r="E6083" s="25">
        <v>1.93</v>
      </c>
      <c r="F6083" s="23">
        <v>12.5</v>
      </c>
      <c r="G6083" s="152" cm="1">
        <f t="array" ref="G6083">SUM(E6083/F6083)</f>
        <v>0.1544</v>
      </c>
      <c r="H6083" s="15"/>
    </row>
    <row r="6084" ht="13.65" customHeight="1">
      <c r="A6084" s="21">
        <v>123</v>
      </c>
      <c r="B6084" t="s" s="22">
        <v>103</v>
      </c>
      <c r="C6084" s="23">
        <v>40</v>
      </c>
      <c r="D6084" t="s" s="24">
        <v>102</v>
      </c>
      <c r="E6084" s="25">
        <v>3.2</v>
      </c>
      <c r="F6084" s="23">
        <v>20</v>
      </c>
      <c r="G6084" s="152" cm="1">
        <f t="array" ref="G6084">SUM(E6084/F6084)</f>
        <v>0.16</v>
      </c>
      <c r="H6084" s="15"/>
    </row>
    <row r="6085" ht="13.65" customHeight="1">
      <c r="A6085" s="21">
        <v>65</v>
      </c>
      <c r="B6085" t="s" s="22">
        <v>394</v>
      </c>
      <c r="C6085" s="23">
        <v>500</v>
      </c>
      <c r="D6085" t="s" s="24">
        <v>633</v>
      </c>
      <c r="E6085" s="25">
        <v>26</v>
      </c>
      <c r="F6085" s="23">
        <v>16.6</v>
      </c>
      <c r="G6085" s="152" cm="1">
        <f t="array" ref="G6085">SUM(E6085/F6085)</f>
        <v>1.56626506024096</v>
      </c>
      <c r="H6085" s="15"/>
    </row>
    <row r="6086" ht="13.65" customHeight="1">
      <c r="A6086" s="21">
        <v>140</v>
      </c>
      <c r="B6086" t="s" s="22">
        <v>470</v>
      </c>
      <c r="C6086" t="s" s="24">
        <v>108</v>
      </c>
      <c r="D6086" t="s" s="24">
        <v>102</v>
      </c>
      <c r="E6086" s="25">
        <v>1.12</v>
      </c>
      <c r="F6086" t="s" s="24">
        <v>387</v>
      </c>
      <c r="G6086" s="152" cm="1">
        <f t="array" ref="G6086">SUM(E6086*2)</f>
        <v>2.24</v>
      </c>
      <c r="H6086" s="15"/>
    </row>
    <row r="6087" ht="13.65" customHeight="1">
      <c r="A6087" s="21">
        <v>71</v>
      </c>
      <c r="B6087" t="s" s="22">
        <v>109</v>
      </c>
      <c r="C6087" s="23">
        <v>10</v>
      </c>
      <c r="D6087" t="s" s="24">
        <v>102</v>
      </c>
      <c r="E6087" s="25">
        <v>5.92</v>
      </c>
      <c r="F6087" s="23">
        <v>5</v>
      </c>
      <c r="G6087" s="152" cm="1">
        <f t="array" ref="G6087">SUM(E6087/F6087)</f>
        <v>1.184</v>
      </c>
      <c r="H6087" s="15"/>
    </row>
    <row r="6088" ht="13.65" customHeight="1">
      <c r="A6088" s="21">
        <v>87</v>
      </c>
      <c r="B6088" t="s" s="22">
        <v>110</v>
      </c>
      <c r="C6088" s="23">
        <v>50</v>
      </c>
      <c r="D6088" t="s" s="24">
        <v>102</v>
      </c>
      <c r="E6088" s="25">
        <v>9</v>
      </c>
      <c r="F6088" s="23">
        <v>25</v>
      </c>
      <c r="G6088" s="152" cm="1">
        <f t="array" ref="G6088">SUM(E6088/F6088)</f>
        <v>0.36</v>
      </c>
      <c r="H6088" s="15"/>
    </row>
    <row r="6089" ht="13.65" customHeight="1">
      <c r="A6089" s="21">
        <v>55</v>
      </c>
      <c r="B6089" t="s" s="22">
        <v>111</v>
      </c>
      <c r="C6089" t="s" s="24">
        <v>112</v>
      </c>
      <c r="D6089" t="s" s="24">
        <v>461</v>
      </c>
      <c r="E6089" s="25">
        <v>2.71</v>
      </c>
      <c r="F6089" s="23">
        <v>37.5</v>
      </c>
      <c r="G6089" s="152" cm="1">
        <f t="array" ref="G6089">SUM(E6089/F6089)</f>
        <v>0.0722666666666667</v>
      </c>
      <c r="H6089" s="15"/>
    </row>
    <row r="6090" ht="13.65" customHeight="1">
      <c r="A6090" s="21">
        <v>10</v>
      </c>
      <c r="B6090" t="s" s="22">
        <v>395</v>
      </c>
      <c r="C6090" t="s" s="24">
        <v>396</v>
      </c>
      <c r="D6090" t="s" s="24">
        <v>397</v>
      </c>
      <c r="E6090" s="25">
        <v>3.92</v>
      </c>
      <c r="F6090" s="23">
        <v>50</v>
      </c>
      <c r="G6090" s="152" cm="1">
        <f t="array" ref="G6090">SUM(E6090/F6090)</f>
        <v>0.0784</v>
      </c>
      <c r="H6090" s="15"/>
    </row>
    <row r="6091" ht="13.65" customHeight="1">
      <c r="A6091" s="21">
        <v>9</v>
      </c>
      <c r="B6091" t="s" s="22">
        <v>692</v>
      </c>
      <c r="C6091" s="23">
        <v>50</v>
      </c>
      <c r="D6091" t="s" s="24">
        <v>274</v>
      </c>
      <c r="E6091" s="25">
        <v>14</v>
      </c>
      <c r="F6091" s="23">
        <v>12.5</v>
      </c>
      <c r="G6091" s="152" cm="1">
        <f t="array" ref="G6091">SUM(E6091/F6091)</f>
        <v>1.12</v>
      </c>
      <c r="H6091" s="15"/>
    </row>
    <row r="6092" ht="13.65" customHeight="1">
      <c r="A6092" s="21">
        <v>6</v>
      </c>
      <c r="B6092" t="s" s="22">
        <v>399</v>
      </c>
      <c r="C6092" s="23">
        <v>100</v>
      </c>
      <c r="D6092" t="s" s="24">
        <v>104</v>
      </c>
      <c r="E6092" s="25">
        <v>19</v>
      </c>
      <c r="F6092" s="23">
        <v>100</v>
      </c>
      <c r="G6092" s="152" cm="1">
        <f t="array" ref="G6092">SUM(E6092/F6092)</f>
        <v>0.19</v>
      </c>
      <c r="H6092" s="15"/>
    </row>
    <row r="6093" ht="13.65" customHeight="1">
      <c r="A6093" s="21">
        <v>23</v>
      </c>
      <c r="B6093" t="s" s="22">
        <v>488</v>
      </c>
      <c r="C6093" s="23">
        <v>1</v>
      </c>
      <c r="D6093" t="s" s="24">
        <v>104</v>
      </c>
      <c r="E6093" s="25">
        <v>11</v>
      </c>
      <c r="F6093" s="23">
        <v>1</v>
      </c>
      <c r="G6093" s="152" cm="1">
        <f t="array" ref="G6093">SUM(E6093/F6093)</f>
        <v>11</v>
      </c>
      <c r="H6093" s="15"/>
    </row>
    <row r="6094" ht="13.65" customHeight="1">
      <c r="A6094" s="21">
        <v>119</v>
      </c>
      <c r="B6094" t="s" s="22">
        <v>467</v>
      </c>
      <c r="C6094" s="23">
        <v>1</v>
      </c>
      <c r="D6094" t="s" s="24">
        <v>468</v>
      </c>
      <c r="E6094" s="25">
        <v>0.45</v>
      </c>
      <c r="F6094" s="23">
        <v>1</v>
      </c>
      <c r="G6094" s="152" cm="1">
        <f t="array" ref="G6094">SUM(E6094/F6094)</f>
        <v>0.45</v>
      </c>
      <c r="H6094" s="15"/>
    </row>
    <row r="6095" ht="13.65" customHeight="1">
      <c r="A6095" s="21">
        <v>122</v>
      </c>
      <c r="B6095" t="s" s="22">
        <v>489</v>
      </c>
      <c r="C6095" t="s" s="24">
        <v>490</v>
      </c>
      <c r="D6095" t="s" s="24">
        <v>648</v>
      </c>
      <c r="E6095" s="25">
        <v>1.7</v>
      </c>
      <c r="F6095" s="23">
        <v>16</v>
      </c>
      <c r="G6095" s="152" cm="1">
        <f t="array" ref="G6095">SUM(E6095/F6095)</f>
        <v>0.10625</v>
      </c>
      <c r="H6095" s="15"/>
    </row>
    <row r="6096" ht="13.65" customHeight="1">
      <c r="A6096" s="21">
        <v>56</v>
      </c>
      <c r="B6096" t="s" s="22">
        <v>471</v>
      </c>
      <c r="C6096" s="23">
        <v>1</v>
      </c>
      <c r="D6096" t="s" s="24">
        <v>104</v>
      </c>
      <c r="E6096" s="25">
        <v>3.5</v>
      </c>
      <c r="F6096" s="23">
        <v>1</v>
      </c>
      <c r="G6096" s="152" cm="1">
        <f t="array" ref="G6096">SUM(E6096/F6096)</f>
        <v>3.5</v>
      </c>
      <c r="H6096" s="15"/>
    </row>
    <row r="6097" ht="13.65" customHeight="1">
      <c r="A6097" s="21">
        <v>78</v>
      </c>
      <c r="B6097" t="s" s="22">
        <v>492</v>
      </c>
      <c r="C6097" s="23">
        <v>1</v>
      </c>
      <c r="D6097" t="s" s="24">
        <v>104</v>
      </c>
      <c r="E6097" s="25">
        <v>1</v>
      </c>
      <c r="F6097" s="23">
        <v>1</v>
      </c>
      <c r="G6097" s="152" cm="1">
        <f t="array" ref="G6097">SUM(E6097/F6097)</f>
        <v>1</v>
      </c>
      <c r="H6097" s="15"/>
    </row>
    <row r="6098" ht="13.65" customHeight="1">
      <c r="A6098" s="21">
        <v>36</v>
      </c>
      <c r="B6098" t="s" s="22">
        <v>496</v>
      </c>
      <c r="C6098" t="s" s="24">
        <v>497</v>
      </c>
      <c r="D6098" t="s" s="24">
        <v>498</v>
      </c>
      <c r="E6098" s="25">
        <v>13</v>
      </c>
      <c r="F6098" s="23">
        <v>16</v>
      </c>
      <c r="G6098" s="152" cm="1">
        <f t="array" ref="G6098">SUM(E6098/F6098)</f>
        <v>0.8125</v>
      </c>
      <c r="H6098" s="15"/>
    </row>
    <row r="6099" ht="13.65" customHeight="1">
      <c r="A6099" s="28"/>
      <c r="B6099" s="28"/>
      <c r="C6099" s="27"/>
      <c r="D6099" s="24"/>
      <c r="E6099" s="27"/>
      <c r="F6099" t="s" s="29">
        <v>118</v>
      </c>
      <c r="G6099" s="197" cm="1">
        <f t="array" ref="G6099">SUM(G6083:G6098)</f>
        <v>23.9940817269076</v>
      </c>
      <c r="H6099" s="15"/>
    </row>
    <row r="6100" ht="13.65" customHeight="1">
      <c r="A6100" s="129"/>
      <c r="B6100" s="129"/>
      <c r="C6100" s="129"/>
      <c r="D6100" s="129"/>
      <c r="E6100" s="129"/>
      <c r="F6100" s="31"/>
      <c r="G6100" s="31"/>
      <c r="H6100" s="3"/>
    </row>
    <row r="6101" ht="11.7" customHeight="1">
      <c r="A6101" t="s" s="167">
        <v>136</v>
      </c>
      <c r="B6101" t="s" s="167">
        <v>281</v>
      </c>
      <c r="C6101" t="s" s="167">
        <v>282</v>
      </c>
      <c r="D6101" t="s" s="168">
        <v>283</v>
      </c>
      <c r="E6101" s="169"/>
      <c r="F6101" s="170"/>
      <c r="G6101" s="171"/>
      <c r="H6101" s="171"/>
    </row>
    <row r="6102" ht="13.65" customHeight="1">
      <c r="A6102" s="23">
        <v>130</v>
      </c>
      <c r="B6102" s="172" cm="1">
        <f t="array" ref="B6102">SUM(H256)</f>
        <v>2.47496540404041</v>
      </c>
      <c r="C6102" s="172" cm="1">
        <f t="array" ref="C6102">SUM(G6099)</f>
        <v>23.9940817269076</v>
      </c>
      <c r="D6102" s="199" cm="1">
        <f t="array" ref="D6102">SUM(A6102*B6102)+(C6102)</f>
        <v>345.739584252161</v>
      </c>
      <c r="E6102" s="200"/>
      <c r="F6102" s="15"/>
      <c r="G6102" s="3"/>
      <c r="H6102" s="3"/>
    </row>
    <row r="6103" ht="13.65" customHeight="1">
      <c r="A6103" s="31"/>
      <c r="B6103" s="31"/>
      <c r="C6103" s="31"/>
      <c r="D6103" s="31"/>
      <c r="E6103" s="31"/>
      <c r="F6103" s="3"/>
      <c r="G6103" s="3"/>
      <c r="H6103" s="3"/>
    </row>
    <row r="6104" ht="13.65" customHeight="1">
      <c r="A6104" s="203"/>
      <c r="B6104" s="203"/>
      <c r="C6104" s="203"/>
      <c r="D6104" s="203"/>
      <c r="E6104" s="203"/>
      <c r="F6104" s="203"/>
      <c r="G6104" s="203"/>
      <c r="H6104" s="203"/>
    </row>
    <row r="6105" ht="13.65" customHeight="1">
      <c r="A6105" t="s" s="274">
        <v>185</v>
      </c>
      <c r="B6105" s="275"/>
      <c r="C6105" s="275"/>
      <c r="D6105" s="275"/>
      <c r="E6105" s="280"/>
      <c r="F6105" s="275"/>
      <c r="G6105" s="275"/>
      <c r="H6105" s="277"/>
    </row>
    <row r="6106" ht="13.65" customHeight="1">
      <c r="A6106" s="278"/>
      <c r="B6106" s="278"/>
      <c r="C6106" s="278"/>
      <c r="D6106" s="278"/>
      <c r="E6106" s="278"/>
      <c r="F6106" s="278"/>
      <c r="G6106" s="278"/>
      <c r="H6106" s="278"/>
    </row>
    <row r="6107" ht="13.65" customHeight="1">
      <c r="A6107" s="3"/>
      <c r="B6107" s="3"/>
      <c r="C6107" s="3"/>
      <c r="D6107" s="3"/>
      <c r="E6107" s="3"/>
      <c r="F6107" s="3"/>
      <c r="G6107" s="3"/>
      <c r="H6107" s="3"/>
    </row>
    <row r="6108" ht="13.65" customHeight="1">
      <c r="A6108" t="s" s="5">
        <v>888</v>
      </c>
      <c r="B6108" s="3"/>
      <c r="C6108" s="3"/>
      <c r="D6108" s="3"/>
      <c r="E6108" s="3"/>
      <c r="F6108" s="3"/>
      <c r="G6108" s="3"/>
      <c r="H6108" s="3"/>
    </row>
    <row r="6109" ht="13.65" customHeight="1">
      <c r="A6109" s="11"/>
      <c r="B6109" s="11"/>
      <c r="C6109" s="11"/>
      <c r="D6109" s="11"/>
      <c r="E6109" s="11"/>
      <c r="F6109" s="11"/>
      <c r="G6109" s="11"/>
      <c r="H6109" s="3"/>
    </row>
    <row r="6110" ht="13.65" customHeight="1">
      <c r="A6110" s="12"/>
      <c r="B6110" s="12"/>
      <c r="C6110" s="13"/>
      <c r="D6110" s="14"/>
      <c r="E6110" s="13"/>
      <c r="F6110" s="13"/>
      <c r="G6110" t="s" s="14">
        <v>252</v>
      </c>
      <c r="H6110" s="150"/>
    </row>
    <row r="6111" ht="13.65" customHeight="1">
      <c r="A6111" t="s" s="16">
        <v>93</v>
      </c>
      <c r="B6111" t="s" s="16">
        <v>94</v>
      </c>
      <c r="C6111" t="s" s="16">
        <v>95</v>
      </c>
      <c r="D6111" t="s" s="16">
        <v>96</v>
      </c>
      <c r="E6111" t="s" s="16">
        <v>97</v>
      </c>
      <c r="F6111" t="s" s="16">
        <v>98</v>
      </c>
      <c r="G6111" t="s" s="16">
        <v>99</v>
      </c>
      <c r="H6111" s="15"/>
    </row>
    <row r="6112" ht="13.65" customHeight="1">
      <c r="A6112" s="151"/>
      <c r="B6112" s="151"/>
      <c r="C6112" s="19"/>
      <c r="D6112" s="20"/>
      <c r="E6112" s="19"/>
      <c r="F6112" s="19"/>
      <c r="G6112" t="s" s="20">
        <v>100</v>
      </c>
      <c r="H6112" s="15"/>
    </row>
    <row r="6113" ht="13.65" customHeight="1">
      <c r="A6113" s="21">
        <v>72</v>
      </c>
      <c r="B6113" t="s" s="22">
        <v>101</v>
      </c>
      <c r="C6113" s="23">
        <v>50</v>
      </c>
      <c r="D6113" t="s" s="24">
        <v>274</v>
      </c>
      <c r="E6113" s="25">
        <v>1.93</v>
      </c>
      <c r="F6113" s="23">
        <v>12.5</v>
      </c>
      <c r="G6113" s="152" cm="1">
        <f t="array" ref="G6113">SUM(E6113/F6113)</f>
        <v>0.1544</v>
      </c>
      <c r="H6113" s="15"/>
    </row>
    <row r="6114" ht="13.65" customHeight="1">
      <c r="A6114" s="21">
        <v>123</v>
      </c>
      <c r="B6114" t="s" s="22">
        <v>103</v>
      </c>
      <c r="C6114" s="23">
        <v>40</v>
      </c>
      <c r="D6114" t="s" s="24">
        <v>102</v>
      </c>
      <c r="E6114" s="25">
        <v>3.2</v>
      </c>
      <c r="F6114" s="23">
        <v>20</v>
      </c>
      <c r="G6114" s="152" cm="1">
        <f t="array" ref="G6114">SUM(E6114/F6114)</f>
        <v>0.16</v>
      </c>
      <c r="H6114" s="15"/>
    </row>
    <row r="6115" ht="13.65" customHeight="1">
      <c r="A6115" s="21">
        <v>65</v>
      </c>
      <c r="B6115" t="s" s="22">
        <v>394</v>
      </c>
      <c r="C6115" s="23">
        <v>500</v>
      </c>
      <c r="D6115" t="s" s="24">
        <v>633</v>
      </c>
      <c r="E6115" s="25">
        <v>26</v>
      </c>
      <c r="F6115" s="23">
        <v>16.6</v>
      </c>
      <c r="G6115" s="152" cm="1">
        <f t="array" ref="G6115">SUM(E6115/F6115)</f>
        <v>1.56626506024096</v>
      </c>
      <c r="H6115" s="15"/>
    </row>
    <row r="6116" ht="13.65" customHeight="1">
      <c r="A6116" s="21">
        <v>140</v>
      </c>
      <c r="B6116" t="s" s="22">
        <v>470</v>
      </c>
      <c r="C6116" t="s" s="24">
        <v>108</v>
      </c>
      <c r="D6116" t="s" s="24">
        <v>102</v>
      </c>
      <c r="E6116" s="25">
        <v>1.12</v>
      </c>
      <c r="F6116" t="s" s="24">
        <v>387</v>
      </c>
      <c r="G6116" s="152" cm="1">
        <f t="array" ref="G6116">SUM(E6116*2)</f>
        <v>2.24</v>
      </c>
      <c r="H6116" s="15"/>
    </row>
    <row r="6117" ht="13.65" customHeight="1">
      <c r="A6117" s="21">
        <v>71</v>
      </c>
      <c r="B6117" t="s" s="22">
        <v>109</v>
      </c>
      <c r="C6117" s="23">
        <v>10</v>
      </c>
      <c r="D6117" t="s" s="24">
        <v>102</v>
      </c>
      <c r="E6117" s="25">
        <v>5.92</v>
      </c>
      <c r="F6117" s="23">
        <v>5</v>
      </c>
      <c r="G6117" s="152" cm="1">
        <f t="array" ref="G6117">SUM(E6117/F6117)</f>
        <v>1.184</v>
      </c>
      <c r="H6117" s="15"/>
    </row>
    <row r="6118" ht="13.65" customHeight="1">
      <c r="A6118" s="21">
        <v>87</v>
      </c>
      <c r="B6118" t="s" s="22">
        <v>110</v>
      </c>
      <c r="C6118" s="23">
        <v>50</v>
      </c>
      <c r="D6118" t="s" s="24">
        <v>102</v>
      </c>
      <c r="E6118" s="25">
        <v>9</v>
      </c>
      <c r="F6118" s="23">
        <v>25</v>
      </c>
      <c r="G6118" s="152" cm="1">
        <f t="array" ref="G6118">SUM(E6118/F6118)</f>
        <v>0.36</v>
      </c>
      <c r="H6118" s="15"/>
    </row>
    <row r="6119" ht="13.65" customHeight="1">
      <c r="A6119" s="21">
        <v>55</v>
      </c>
      <c r="B6119" t="s" s="22">
        <v>111</v>
      </c>
      <c r="C6119" t="s" s="24">
        <v>112</v>
      </c>
      <c r="D6119" t="s" s="24">
        <v>461</v>
      </c>
      <c r="E6119" s="25">
        <v>2.71</v>
      </c>
      <c r="F6119" s="23">
        <v>37.5</v>
      </c>
      <c r="G6119" s="152" cm="1">
        <f t="array" ref="G6119">SUM(E6119/F6119)</f>
        <v>0.0722666666666667</v>
      </c>
      <c r="H6119" s="15"/>
    </row>
    <row r="6120" ht="13.65" customHeight="1">
      <c r="A6120" s="21">
        <v>10</v>
      </c>
      <c r="B6120" t="s" s="22">
        <v>395</v>
      </c>
      <c r="C6120" t="s" s="24">
        <v>396</v>
      </c>
      <c r="D6120" t="s" s="24">
        <v>397</v>
      </c>
      <c r="E6120" s="25">
        <v>3.92</v>
      </c>
      <c r="F6120" s="23">
        <v>50</v>
      </c>
      <c r="G6120" s="152" cm="1">
        <f t="array" ref="G6120">SUM(E6120/F6120)</f>
        <v>0.0784</v>
      </c>
      <c r="H6120" s="15"/>
    </row>
    <row r="6121" ht="13.65" customHeight="1">
      <c r="A6121" s="21">
        <v>9</v>
      </c>
      <c r="B6121" t="s" s="22">
        <v>692</v>
      </c>
      <c r="C6121" s="23">
        <v>50</v>
      </c>
      <c r="D6121" t="s" s="24">
        <v>274</v>
      </c>
      <c r="E6121" s="25">
        <v>14</v>
      </c>
      <c r="F6121" s="23">
        <v>12.5</v>
      </c>
      <c r="G6121" s="152" cm="1">
        <f t="array" ref="G6121">SUM(E6121/F6121)</f>
        <v>1.12</v>
      </c>
      <c r="H6121" s="15"/>
    </row>
    <row r="6122" ht="13.65" customHeight="1">
      <c r="A6122" s="21">
        <v>6</v>
      </c>
      <c r="B6122" t="s" s="22">
        <v>889</v>
      </c>
      <c r="C6122" s="23">
        <v>100</v>
      </c>
      <c r="D6122" t="s" s="24">
        <v>104</v>
      </c>
      <c r="E6122" s="25">
        <v>19</v>
      </c>
      <c r="F6122" s="23">
        <v>100</v>
      </c>
      <c r="G6122" s="152" cm="1">
        <f t="array" ref="G6122">SUM(E6122/F6122)</f>
        <v>0.19</v>
      </c>
      <c r="H6122" s="15"/>
    </row>
    <row r="6123" ht="13.65" customHeight="1">
      <c r="A6123" s="21">
        <v>23</v>
      </c>
      <c r="B6123" t="s" s="22">
        <v>488</v>
      </c>
      <c r="C6123" s="23">
        <v>1</v>
      </c>
      <c r="D6123" t="s" s="24">
        <v>104</v>
      </c>
      <c r="E6123" s="25">
        <v>11</v>
      </c>
      <c r="F6123" s="23">
        <v>1</v>
      </c>
      <c r="G6123" s="152" cm="1">
        <f t="array" ref="G6123">SUM(E6123/F6123)</f>
        <v>11</v>
      </c>
      <c r="H6123" s="15"/>
    </row>
    <row r="6124" ht="13.65" customHeight="1">
      <c r="A6124" s="21">
        <v>119</v>
      </c>
      <c r="B6124" t="s" s="22">
        <v>467</v>
      </c>
      <c r="C6124" s="23">
        <v>1</v>
      </c>
      <c r="D6124" t="s" s="24">
        <v>468</v>
      </c>
      <c r="E6124" s="25">
        <v>0.45</v>
      </c>
      <c r="F6124" s="23">
        <v>1</v>
      </c>
      <c r="G6124" s="152" cm="1">
        <f t="array" ref="G6124">SUM(E6124/F6124)</f>
        <v>0.45</v>
      </c>
      <c r="H6124" s="15"/>
    </row>
    <row r="6125" ht="13.65" customHeight="1">
      <c r="A6125" s="21">
        <v>122</v>
      </c>
      <c r="B6125" t="s" s="22">
        <v>489</v>
      </c>
      <c r="C6125" t="s" s="24">
        <v>490</v>
      </c>
      <c r="D6125" t="s" s="24">
        <v>648</v>
      </c>
      <c r="E6125" s="25">
        <v>1.7</v>
      </c>
      <c r="F6125" s="23">
        <v>16</v>
      </c>
      <c r="G6125" s="152" cm="1">
        <f t="array" ref="G6125">SUM(E6125/F6125)</f>
        <v>0.10625</v>
      </c>
      <c r="H6125" s="15"/>
    </row>
    <row r="6126" ht="13.65" customHeight="1">
      <c r="A6126" s="21">
        <v>56</v>
      </c>
      <c r="B6126" t="s" s="22">
        <v>471</v>
      </c>
      <c r="C6126" s="23">
        <v>1</v>
      </c>
      <c r="D6126" t="s" s="24">
        <v>104</v>
      </c>
      <c r="E6126" s="25">
        <v>3.5</v>
      </c>
      <c r="F6126" s="23">
        <v>1</v>
      </c>
      <c r="G6126" s="152" cm="1">
        <f t="array" ref="G6126">SUM(E6126/F6126)</f>
        <v>3.5</v>
      </c>
      <c r="H6126" s="15"/>
    </row>
    <row r="6127" ht="13.65" customHeight="1">
      <c r="A6127" s="21">
        <v>78</v>
      </c>
      <c r="B6127" t="s" s="22">
        <v>492</v>
      </c>
      <c r="C6127" s="23">
        <v>1</v>
      </c>
      <c r="D6127" t="s" s="24">
        <v>104</v>
      </c>
      <c r="E6127" s="25">
        <v>1</v>
      </c>
      <c r="F6127" s="23">
        <v>1</v>
      </c>
      <c r="G6127" s="152" cm="1">
        <f t="array" ref="G6127">SUM(E6127/F6127)</f>
        <v>1</v>
      </c>
      <c r="H6127" s="15"/>
    </row>
    <row r="6128" ht="13.65" customHeight="1">
      <c r="A6128" s="21">
        <v>36</v>
      </c>
      <c r="B6128" t="s" s="22">
        <v>496</v>
      </c>
      <c r="C6128" t="s" s="24">
        <v>497</v>
      </c>
      <c r="D6128" t="s" s="24">
        <v>498</v>
      </c>
      <c r="E6128" s="25">
        <v>13</v>
      </c>
      <c r="F6128" s="23">
        <v>16</v>
      </c>
      <c r="G6128" s="152" cm="1">
        <f t="array" ref="G6128">SUM(E6128/F6128)</f>
        <v>0.8125</v>
      </c>
      <c r="H6128" s="15"/>
    </row>
    <row r="6129" ht="13.65" customHeight="1">
      <c r="A6129" s="28"/>
      <c r="B6129" s="28"/>
      <c r="C6129" s="27"/>
      <c r="D6129" s="24"/>
      <c r="E6129" s="27"/>
      <c r="F6129" t="s" s="29">
        <v>118</v>
      </c>
      <c r="G6129" s="197" cm="1">
        <f t="array" ref="G6129">SUM(G6113:G6128)</f>
        <v>23.9940817269076</v>
      </c>
      <c r="H6129" s="15"/>
    </row>
    <row r="6130" ht="13.65" customHeight="1">
      <c r="A6130" s="129"/>
      <c r="B6130" s="129"/>
      <c r="C6130" s="129"/>
      <c r="D6130" s="129"/>
      <c r="E6130" s="129"/>
      <c r="F6130" s="31"/>
      <c r="G6130" s="31"/>
      <c r="H6130" s="3"/>
    </row>
    <row r="6131" ht="11.7" customHeight="1">
      <c r="A6131" t="s" s="167">
        <v>136</v>
      </c>
      <c r="B6131" t="s" s="167">
        <v>281</v>
      </c>
      <c r="C6131" t="s" s="167">
        <v>282</v>
      </c>
      <c r="D6131" t="s" s="168">
        <v>283</v>
      </c>
      <c r="E6131" s="169"/>
      <c r="F6131" s="170"/>
      <c r="G6131" s="171"/>
      <c r="H6131" s="171"/>
    </row>
    <row r="6132" ht="13.65" customHeight="1">
      <c r="A6132" s="23">
        <v>80</v>
      </c>
      <c r="B6132" s="172" cm="1">
        <f t="array" ref="B6132">SUM(H256)</f>
        <v>2.47496540404041</v>
      </c>
      <c r="C6132" s="172" cm="1">
        <f t="array" ref="C6132">SUM(G6129)</f>
        <v>23.9940817269076</v>
      </c>
      <c r="D6132" s="199" cm="1">
        <f t="array" ref="D6132">SUM(A6132*B6132)+(C6132)</f>
        <v>221.991314050140</v>
      </c>
      <c r="E6132" s="200"/>
      <c r="F6132" s="15"/>
      <c r="G6132" s="3"/>
      <c r="H6132" s="3"/>
    </row>
    <row r="6133" ht="13.65" customHeight="1">
      <c r="A6133" s="31"/>
      <c r="B6133" s="31"/>
      <c r="C6133" s="31"/>
      <c r="D6133" s="31"/>
      <c r="E6133" s="31"/>
      <c r="F6133" s="3"/>
      <c r="G6133" s="3"/>
      <c r="H6133" s="3"/>
    </row>
    <row r="6134" ht="13.65" customHeight="1">
      <c r="A6134" s="3"/>
      <c r="B6134" s="3"/>
      <c r="C6134" s="3"/>
      <c r="D6134" s="3"/>
      <c r="E6134" s="3"/>
      <c r="F6134" s="3"/>
      <c r="G6134" s="3"/>
      <c r="H6134" s="3"/>
    </row>
    <row r="6135" ht="13.65" customHeight="1">
      <c r="A6135" t="s" s="5">
        <v>890</v>
      </c>
      <c r="B6135" s="3"/>
      <c r="C6135" s="3"/>
      <c r="D6135" s="3"/>
      <c r="E6135" s="3"/>
      <c r="F6135" s="3"/>
      <c r="G6135" s="3"/>
      <c r="H6135" s="3"/>
    </row>
    <row r="6136" ht="13.65" customHeight="1">
      <c r="A6136" s="11"/>
      <c r="B6136" s="11"/>
      <c r="C6136" s="11"/>
      <c r="D6136" s="11"/>
      <c r="E6136" s="11"/>
      <c r="F6136" s="11"/>
      <c r="G6136" s="11"/>
      <c r="H6136" s="3"/>
    </row>
    <row r="6137" ht="13.65" customHeight="1">
      <c r="A6137" s="12"/>
      <c r="B6137" s="12"/>
      <c r="C6137" s="13"/>
      <c r="D6137" s="14"/>
      <c r="E6137" s="13"/>
      <c r="F6137" s="13"/>
      <c r="G6137" t="s" s="14">
        <v>252</v>
      </c>
      <c r="H6137" s="150"/>
    </row>
    <row r="6138" ht="13.65" customHeight="1">
      <c r="A6138" t="s" s="16">
        <v>93</v>
      </c>
      <c r="B6138" t="s" s="16">
        <v>94</v>
      </c>
      <c r="C6138" t="s" s="16">
        <v>95</v>
      </c>
      <c r="D6138" t="s" s="16">
        <v>96</v>
      </c>
      <c r="E6138" t="s" s="16">
        <v>97</v>
      </c>
      <c r="F6138" t="s" s="16">
        <v>98</v>
      </c>
      <c r="G6138" t="s" s="16">
        <v>99</v>
      </c>
      <c r="H6138" s="15"/>
    </row>
    <row r="6139" ht="13.65" customHeight="1">
      <c r="A6139" s="151"/>
      <c r="B6139" s="151"/>
      <c r="C6139" s="19"/>
      <c r="D6139" s="20"/>
      <c r="E6139" s="19"/>
      <c r="F6139" s="19"/>
      <c r="G6139" t="s" s="20">
        <v>100</v>
      </c>
      <c r="H6139" s="15"/>
    </row>
    <row r="6140" ht="13.65" customHeight="1">
      <c r="A6140" s="21">
        <v>72</v>
      </c>
      <c r="B6140" t="s" s="22">
        <v>101</v>
      </c>
      <c r="C6140" s="23">
        <v>50</v>
      </c>
      <c r="D6140" t="s" s="24">
        <v>274</v>
      </c>
      <c r="E6140" s="25">
        <v>1.93</v>
      </c>
      <c r="F6140" s="23">
        <v>12.5</v>
      </c>
      <c r="G6140" s="152" cm="1">
        <f t="array" ref="G6140">SUM(E6140/F6140)</f>
        <v>0.1544</v>
      </c>
      <c r="H6140" s="15"/>
    </row>
    <row r="6141" ht="13.65" customHeight="1">
      <c r="A6141" s="21">
        <v>123</v>
      </c>
      <c r="B6141" t="s" s="22">
        <v>103</v>
      </c>
      <c r="C6141" s="23">
        <v>40</v>
      </c>
      <c r="D6141" t="s" s="24">
        <v>102</v>
      </c>
      <c r="E6141" s="25">
        <v>3.2</v>
      </c>
      <c r="F6141" s="23">
        <v>20</v>
      </c>
      <c r="G6141" s="152" cm="1">
        <f t="array" ref="G6141">SUM(E6141/F6141)</f>
        <v>0.16</v>
      </c>
      <c r="H6141" s="15"/>
    </row>
    <row r="6142" ht="13.65" customHeight="1">
      <c r="A6142" s="21">
        <v>65</v>
      </c>
      <c r="B6142" t="s" s="22">
        <v>394</v>
      </c>
      <c r="C6142" s="23">
        <v>500</v>
      </c>
      <c r="D6142" t="s" s="24">
        <v>663</v>
      </c>
      <c r="E6142" s="25">
        <v>26</v>
      </c>
      <c r="F6142" s="23">
        <v>12.5</v>
      </c>
      <c r="G6142" s="152" cm="1">
        <f t="array" ref="G6142">SUM(E6142/F6142)</f>
        <v>2.08</v>
      </c>
      <c r="H6142" s="15"/>
    </row>
    <row r="6143" ht="13.65" customHeight="1">
      <c r="A6143" s="21">
        <v>140</v>
      </c>
      <c r="B6143" t="s" s="22">
        <v>470</v>
      </c>
      <c r="C6143" t="s" s="24">
        <v>108</v>
      </c>
      <c r="D6143" t="s" s="24">
        <v>102</v>
      </c>
      <c r="E6143" s="25">
        <v>1.12</v>
      </c>
      <c r="F6143" t="s" s="24">
        <v>387</v>
      </c>
      <c r="G6143" s="152" cm="1">
        <f t="array" ref="G6143">SUM(E6143*2)</f>
        <v>2.24</v>
      </c>
      <c r="H6143" s="15"/>
    </row>
    <row r="6144" ht="13.65" customHeight="1">
      <c r="A6144" s="21">
        <v>71</v>
      </c>
      <c r="B6144" t="s" s="22">
        <v>109</v>
      </c>
      <c r="C6144" s="23">
        <v>10</v>
      </c>
      <c r="D6144" t="s" s="24">
        <v>102</v>
      </c>
      <c r="E6144" s="25">
        <v>5.92</v>
      </c>
      <c r="F6144" s="23">
        <v>5</v>
      </c>
      <c r="G6144" s="152" cm="1">
        <f t="array" ref="G6144">SUM(E6144/F6144)</f>
        <v>1.184</v>
      </c>
      <c r="H6144" s="15"/>
    </row>
    <row r="6145" ht="13.65" customHeight="1">
      <c r="A6145" s="21">
        <v>87</v>
      </c>
      <c r="B6145" t="s" s="22">
        <v>110</v>
      </c>
      <c r="C6145" s="23">
        <v>50</v>
      </c>
      <c r="D6145" t="s" s="24">
        <v>102</v>
      </c>
      <c r="E6145" s="25">
        <v>9</v>
      </c>
      <c r="F6145" s="23">
        <v>25</v>
      </c>
      <c r="G6145" s="152" cm="1">
        <f t="array" ref="G6145">SUM(E6145/F6145)</f>
        <v>0.36</v>
      </c>
      <c r="H6145" s="15"/>
    </row>
    <row r="6146" ht="13.65" customHeight="1">
      <c r="A6146" s="21">
        <v>55</v>
      </c>
      <c r="B6146" t="s" s="22">
        <v>111</v>
      </c>
      <c r="C6146" t="s" s="24">
        <v>112</v>
      </c>
      <c r="D6146" t="s" s="24">
        <v>113</v>
      </c>
      <c r="E6146" s="25">
        <v>2.71</v>
      </c>
      <c r="F6146" s="23">
        <v>70</v>
      </c>
      <c r="G6146" s="152" cm="1">
        <f t="array" ref="G6146">SUM(E6146/F6146)</f>
        <v>0.0387142857142857</v>
      </c>
      <c r="H6146" s="15"/>
    </row>
    <row r="6147" ht="13.65" customHeight="1">
      <c r="A6147" s="21">
        <v>10</v>
      </c>
      <c r="B6147" t="s" s="22">
        <v>395</v>
      </c>
      <c r="C6147" t="s" s="24">
        <v>396</v>
      </c>
      <c r="D6147" t="s" s="24">
        <v>397</v>
      </c>
      <c r="E6147" s="25">
        <v>3.92</v>
      </c>
      <c r="F6147" s="23">
        <v>50</v>
      </c>
      <c r="G6147" s="152" cm="1">
        <f t="array" ref="G6147">SUM(E6147/F6147)</f>
        <v>0.0784</v>
      </c>
      <c r="H6147" s="15"/>
    </row>
    <row r="6148" ht="13.65" customHeight="1">
      <c r="A6148" s="21">
        <v>9</v>
      </c>
      <c r="B6148" t="s" s="22">
        <v>692</v>
      </c>
      <c r="C6148" s="23">
        <v>50</v>
      </c>
      <c r="D6148" t="s" s="24">
        <v>274</v>
      </c>
      <c r="E6148" s="25">
        <v>14</v>
      </c>
      <c r="F6148" s="23">
        <v>12.5</v>
      </c>
      <c r="G6148" s="152" cm="1">
        <f t="array" ref="G6148">SUM(E6148/F6148)</f>
        <v>1.12</v>
      </c>
      <c r="H6148" s="15"/>
    </row>
    <row r="6149" ht="13.65" customHeight="1">
      <c r="A6149" s="21">
        <v>6</v>
      </c>
      <c r="B6149" t="s" s="22">
        <v>399</v>
      </c>
      <c r="C6149" s="23">
        <v>100</v>
      </c>
      <c r="D6149" t="s" s="24">
        <v>104</v>
      </c>
      <c r="E6149" s="25">
        <v>19</v>
      </c>
      <c r="F6149" s="23">
        <v>100</v>
      </c>
      <c r="G6149" s="152" cm="1">
        <f t="array" ref="G6149">SUM(E6149/F6149)</f>
        <v>0.19</v>
      </c>
      <c r="H6149" s="15"/>
    </row>
    <row r="6150" ht="13.65" customHeight="1">
      <c r="A6150" s="21">
        <v>23</v>
      </c>
      <c r="B6150" t="s" s="22">
        <v>488</v>
      </c>
      <c r="C6150" s="23">
        <v>1</v>
      </c>
      <c r="D6150" t="s" s="24">
        <v>104</v>
      </c>
      <c r="E6150" s="25">
        <v>11</v>
      </c>
      <c r="F6150" s="23">
        <v>1</v>
      </c>
      <c r="G6150" s="152" cm="1">
        <f t="array" ref="G6150">SUM(E6150/F6150)</f>
        <v>11</v>
      </c>
      <c r="H6150" s="15"/>
    </row>
    <row r="6151" ht="13.65" customHeight="1">
      <c r="A6151" s="21">
        <v>78</v>
      </c>
      <c r="B6151" t="s" s="22">
        <v>492</v>
      </c>
      <c r="C6151" s="23">
        <v>1</v>
      </c>
      <c r="D6151" t="s" s="24">
        <v>104</v>
      </c>
      <c r="E6151" s="25">
        <v>1</v>
      </c>
      <c r="F6151" s="23">
        <v>1</v>
      </c>
      <c r="G6151" s="152" cm="1">
        <f t="array" ref="G6151">SUM(E6151/F6151)</f>
        <v>1</v>
      </c>
      <c r="H6151" s="15"/>
    </row>
    <row r="6152" ht="13.65" customHeight="1">
      <c r="A6152" s="21">
        <v>36</v>
      </c>
      <c r="B6152" t="s" s="22">
        <v>496</v>
      </c>
      <c r="C6152" t="s" s="24">
        <v>497</v>
      </c>
      <c r="D6152" t="s" s="24">
        <v>498</v>
      </c>
      <c r="E6152" s="25">
        <v>13</v>
      </c>
      <c r="F6152" s="23">
        <v>16</v>
      </c>
      <c r="G6152" s="152" cm="1">
        <f t="array" ref="G6152">SUM(E6152/F6152)</f>
        <v>0.8125</v>
      </c>
      <c r="H6152" s="15"/>
    </row>
    <row r="6153" ht="13.65" customHeight="1">
      <c r="A6153" s="28"/>
      <c r="B6153" s="28"/>
      <c r="C6153" s="27"/>
      <c r="D6153" s="24"/>
      <c r="E6153" s="27"/>
      <c r="F6153" t="s" s="29">
        <v>118</v>
      </c>
      <c r="G6153" s="197" cm="1">
        <f t="array" ref="G6153">SUM(G6140:G6152)</f>
        <v>20.4180142857143</v>
      </c>
      <c r="H6153" s="15"/>
    </row>
    <row r="6154" ht="13.65" customHeight="1">
      <c r="A6154" s="129"/>
      <c r="B6154" s="129"/>
      <c r="C6154" s="129"/>
      <c r="D6154" s="129"/>
      <c r="E6154" s="129"/>
      <c r="F6154" s="31"/>
      <c r="G6154" s="31"/>
      <c r="H6154" s="3"/>
    </row>
    <row r="6155" ht="11.7" customHeight="1">
      <c r="A6155" t="s" s="167">
        <v>136</v>
      </c>
      <c r="B6155" t="s" s="167">
        <v>281</v>
      </c>
      <c r="C6155" t="s" s="167">
        <v>282</v>
      </c>
      <c r="D6155" t="s" s="168">
        <v>283</v>
      </c>
      <c r="E6155" s="169"/>
      <c r="F6155" s="170"/>
      <c r="G6155" s="171"/>
      <c r="H6155" s="171"/>
    </row>
    <row r="6156" ht="13.65" customHeight="1">
      <c r="A6156" s="23">
        <v>35</v>
      </c>
      <c r="B6156" s="172" cm="1">
        <f t="array" ref="B6156">SUM(H256)</f>
        <v>2.47496540404041</v>
      </c>
      <c r="C6156" s="172" cm="1">
        <f t="array" ref="C6156">SUM(G6153)</f>
        <v>20.4180142857143</v>
      </c>
      <c r="D6156" s="199" cm="1">
        <f t="array" ref="D6156">SUM(A6156*B6156)+(C6156)</f>
        <v>107.041803427129</v>
      </c>
      <c r="E6156" s="200"/>
      <c r="F6156" s="15"/>
      <c r="G6156" s="3"/>
      <c r="H6156" s="3"/>
    </row>
    <row r="6157" ht="13.65" customHeight="1">
      <c r="A6157" s="31"/>
      <c r="B6157" s="31"/>
      <c r="C6157" s="31"/>
      <c r="D6157" s="31"/>
      <c r="E6157" s="31"/>
      <c r="F6157" s="3"/>
      <c r="G6157" s="3"/>
      <c r="H6157" s="3"/>
    </row>
    <row r="6158" ht="13.65" customHeight="1">
      <c r="A6158" s="203"/>
      <c r="B6158" s="203"/>
      <c r="C6158" s="203"/>
      <c r="D6158" s="203"/>
      <c r="E6158" s="203"/>
      <c r="F6158" s="203"/>
      <c r="G6158" s="203"/>
      <c r="H6158" s="203"/>
    </row>
    <row r="6159" ht="13.65" customHeight="1">
      <c r="A6159" t="s" s="274">
        <v>185</v>
      </c>
      <c r="B6159" s="275"/>
      <c r="C6159" s="275"/>
      <c r="D6159" s="275"/>
      <c r="E6159" s="280"/>
      <c r="F6159" s="275"/>
      <c r="G6159" s="275"/>
      <c r="H6159" s="277"/>
    </row>
    <row r="6160" ht="13.65" customHeight="1">
      <c r="A6160" s="278"/>
      <c r="B6160" s="278"/>
      <c r="C6160" s="278"/>
      <c r="D6160" s="278"/>
      <c r="E6160" s="278"/>
      <c r="F6160" s="278"/>
      <c r="G6160" s="278"/>
      <c r="H6160" s="278"/>
    </row>
    <row r="6161" ht="13.65" customHeight="1">
      <c r="A6161" s="3"/>
      <c r="B6161" s="3"/>
      <c r="C6161" s="3"/>
      <c r="D6161" s="3"/>
      <c r="E6161" s="3"/>
      <c r="F6161" s="3"/>
      <c r="G6161" s="3"/>
      <c r="H6161" s="3"/>
    </row>
    <row r="6162" ht="13.65" customHeight="1">
      <c r="A6162" t="s" s="5">
        <v>891</v>
      </c>
      <c r="B6162" s="3"/>
      <c r="C6162" s="3"/>
      <c r="D6162" s="3"/>
      <c r="E6162" s="3"/>
      <c r="F6162" s="3"/>
      <c r="G6162" s="3"/>
      <c r="H6162" s="3"/>
    </row>
    <row r="6163" ht="13.65" customHeight="1">
      <c r="A6163" s="11"/>
      <c r="B6163" s="11"/>
      <c r="C6163" s="11"/>
      <c r="D6163" s="11"/>
      <c r="E6163" s="11"/>
      <c r="F6163" s="11"/>
      <c r="G6163" s="11"/>
      <c r="H6163" s="3"/>
    </row>
    <row r="6164" ht="13.65" customHeight="1">
      <c r="A6164" s="12"/>
      <c r="B6164" s="12"/>
      <c r="C6164" s="13"/>
      <c r="D6164" s="14"/>
      <c r="E6164" s="13"/>
      <c r="F6164" s="13"/>
      <c r="G6164" t="s" s="14">
        <v>252</v>
      </c>
      <c r="H6164" s="150"/>
    </row>
    <row r="6165" ht="13.65" customHeight="1">
      <c r="A6165" t="s" s="16">
        <v>93</v>
      </c>
      <c r="B6165" t="s" s="16">
        <v>94</v>
      </c>
      <c r="C6165" t="s" s="16">
        <v>95</v>
      </c>
      <c r="D6165" t="s" s="16">
        <v>96</v>
      </c>
      <c r="E6165" t="s" s="16">
        <v>97</v>
      </c>
      <c r="F6165" t="s" s="16">
        <v>98</v>
      </c>
      <c r="G6165" t="s" s="16">
        <v>99</v>
      </c>
      <c r="H6165" s="15"/>
    </row>
    <row r="6166" ht="13.65" customHeight="1">
      <c r="A6166" s="151"/>
      <c r="B6166" s="151"/>
      <c r="C6166" s="19"/>
      <c r="D6166" s="20"/>
      <c r="E6166" s="19"/>
      <c r="F6166" s="19"/>
      <c r="G6166" t="s" s="20">
        <v>100</v>
      </c>
      <c r="H6166" s="15"/>
    </row>
    <row r="6167" ht="13.65" customHeight="1">
      <c r="A6167" s="21">
        <v>72</v>
      </c>
      <c r="B6167" t="s" s="22">
        <v>101</v>
      </c>
      <c r="C6167" s="23">
        <v>50</v>
      </c>
      <c r="D6167" t="s" s="24">
        <v>274</v>
      </c>
      <c r="E6167" s="25">
        <v>1.93</v>
      </c>
      <c r="F6167" s="23">
        <v>12.5</v>
      </c>
      <c r="G6167" s="152" cm="1">
        <f t="array" ref="G6167">SUM(E6167/F6167)</f>
        <v>0.1544</v>
      </c>
      <c r="H6167" s="15"/>
    </row>
    <row r="6168" ht="13.65" customHeight="1">
      <c r="A6168" s="21">
        <v>123</v>
      </c>
      <c r="B6168" t="s" s="22">
        <v>103</v>
      </c>
      <c r="C6168" s="23">
        <v>40</v>
      </c>
      <c r="D6168" t="s" s="24">
        <v>104</v>
      </c>
      <c r="E6168" s="25">
        <v>3.2</v>
      </c>
      <c r="F6168" s="23">
        <v>40</v>
      </c>
      <c r="G6168" s="152" cm="1">
        <f t="array" ref="G6168">SUM(E6168/F6168)</f>
        <v>0.08</v>
      </c>
      <c r="H6168" s="15"/>
    </row>
    <row r="6169" ht="13.65" customHeight="1">
      <c r="A6169" s="21">
        <v>65</v>
      </c>
      <c r="B6169" t="s" s="22">
        <v>394</v>
      </c>
      <c r="C6169" s="23">
        <v>500</v>
      </c>
      <c r="D6169" t="s" s="24">
        <v>106</v>
      </c>
      <c r="E6169" s="25">
        <v>26</v>
      </c>
      <c r="F6169" s="23">
        <v>50</v>
      </c>
      <c r="G6169" s="152" cm="1">
        <f t="array" ref="G6169">SUM(E6169/F6169)</f>
        <v>0.52</v>
      </c>
      <c r="H6169" s="15"/>
    </row>
    <row r="6170" ht="13.65" customHeight="1">
      <c r="A6170" s="21">
        <v>140</v>
      </c>
      <c r="B6170" t="s" s="22">
        <v>470</v>
      </c>
      <c r="C6170" t="s" s="24">
        <v>108</v>
      </c>
      <c r="D6170" t="s" s="24">
        <v>102</v>
      </c>
      <c r="E6170" s="25">
        <v>1.12</v>
      </c>
      <c r="F6170" t="s" s="24">
        <v>387</v>
      </c>
      <c r="G6170" s="152" cm="1">
        <f t="array" ref="G6170">SUM(E6170*2)</f>
        <v>2.24</v>
      </c>
      <c r="H6170" s="15"/>
    </row>
    <row r="6171" ht="13.65" customHeight="1">
      <c r="A6171" s="21">
        <v>71</v>
      </c>
      <c r="B6171" t="s" s="22">
        <v>109</v>
      </c>
      <c r="C6171" s="23">
        <v>10</v>
      </c>
      <c r="D6171" t="s" s="24">
        <v>274</v>
      </c>
      <c r="E6171" s="25">
        <v>5.92</v>
      </c>
      <c r="F6171" s="23">
        <v>2.5</v>
      </c>
      <c r="G6171" s="152" cm="1">
        <f t="array" ref="G6171">SUM(E6171/F6171)</f>
        <v>2.368</v>
      </c>
      <c r="H6171" s="15"/>
    </row>
    <row r="6172" ht="13.65" customHeight="1">
      <c r="A6172" s="21">
        <v>87</v>
      </c>
      <c r="B6172" t="s" s="22">
        <v>110</v>
      </c>
      <c r="C6172" s="23">
        <v>50</v>
      </c>
      <c r="D6172" t="s" s="24">
        <v>274</v>
      </c>
      <c r="E6172" s="25">
        <v>9</v>
      </c>
      <c r="F6172" s="23">
        <v>12.5</v>
      </c>
      <c r="G6172" s="152" cm="1">
        <f t="array" ref="G6172">SUM(E6172/F6172)</f>
        <v>0.72</v>
      </c>
      <c r="H6172" s="15"/>
    </row>
    <row r="6173" ht="13.65" customHeight="1">
      <c r="A6173" s="21">
        <v>55</v>
      </c>
      <c r="B6173" t="s" s="22">
        <v>111</v>
      </c>
      <c r="C6173" t="s" s="24">
        <v>112</v>
      </c>
      <c r="D6173" t="s" s="24">
        <v>461</v>
      </c>
      <c r="E6173" s="25">
        <v>2.71</v>
      </c>
      <c r="F6173" s="23">
        <v>37</v>
      </c>
      <c r="G6173" s="152" cm="1">
        <f t="array" ref="G6173">SUM(E6173/F6173)</f>
        <v>0.0732432432432432</v>
      </c>
      <c r="H6173" s="15"/>
    </row>
    <row r="6174" ht="13.65" customHeight="1">
      <c r="A6174" s="21">
        <v>10</v>
      </c>
      <c r="B6174" t="s" s="22">
        <v>395</v>
      </c>
      <c r="C6174" t="s" s="24">
        <v>396</v>
      </c>
      <c r="D6174" t="s" s="24">
        <v>397</v>
      </c>
      <c r="E6174" s="25">
        <v>3.92</v>
      </c>
      <c r="F6174" s="23">
        <v>50</v>
      </c>
      <c r="G6174" s="152" cm="1">
        <f t="array" ref="G6174">SUM(E6174/F6174)</f>
        <v>0.0784</v>
      </c>
      <c r="H6174" s="15"/>
    </row>
    <row r="6175" ht="13.65" customHeight="1">
      <c r="A6175" s="21">
        <v>9</v>
      </c>
      <c r="B6175" t="s" s="22">
        <v>398</v>
      </c>
      <c r="C6175" s="23">
        <v>50</v>
      </c>
      <c r="D6175" t="s" s="24">
        <v>102</v>
      </c>
      <c r="E6175" s="25">
        <v>14</v>
      </c>
      <c r="F6175" s="23">
        <v>25</v>
      </c>
      <c r="G6175" s="152" cm="1">
        <f t="array" ref="G6175">SUM(E6175/F6175)</f>
        <v>0.5600000000000001</v>
      </c>
      <c r="H6175" s="15"/>
    </row>
    <row r="6176" ht="13.65" customHeight="1">
      <c r="A6176" s="21">
        <v>6</v>
      </c>
      <c r="B6176" t="s" s="22">
        <v>399</v>
      </c>
      <c r="C6176" s="23">
        <v>100</v>
      </c>
      <c r="D6176" t="s" s="24">
        <v>104</v>
      </c>
      <c r="E6176" s="25">
        <v>19</v>
      </c>
      <c r="F6176" s="23">
        <v>100</v>
      </c>
      <c r="G6176" s="152" cm="1">
        <f t="array" ref="G6176">SUM(E6176/F6176)</f>
        <v>0.19</v>
      </c>
      <c r="H6176" s="15"/>
    </row>
    <row r="6177" ht="13.65" customHeight="1">
      <c r="A6177" s="21">
        <v>23</v>
      </c>
      <c r="B6177" t="s" s="22">
        <v>488</v>
      </c>
      <c r="C6177" s="23">
        <v>1</v>
      </c>
      <c r="D6177" t="s" s="24">
        <v>104</v>
      </c>
      <c r="E6177" s="25">
        <v>11</v>
      </c>
      <c r="F6177" s="23">
        <v>1</v>
      </c>
      <c r="G6177" s="152" cm="1">
        <f t="array" ref="G6177">SUM(E6177/F6177)</f>
        <v>11</v>
      </c>
      <c r="H6177" s="15"/>
    </row>
    <row r="6178" ht="13.65" customHeight="1">
      <c r="A6178" s="21">
        <v>122</v>
      </c>
      <c r="B6178" t="s" s="22">
        <v>489</v>
      </c>
      <c r="C6178" t="s" s="24">
        <v>490</v>
      </c>
      <c r="D6178" t="s" s="24">
        <v>491</v>
      </c>
      <c r="E6178" s="25">
        <v>1.7</v>
      </c>
      <c r="F6178" s="23">
        <v>10</v>
      </c>
      <c r="G6178" s="152" cm="1">
        <f t="array" ref="G6178">SUM(E6178/F6178)</f>
        <v>0.17</v>
      </c>
      <c r="H6178" s="15"/>
    </row>
    <row r="6179" ht="13.65" customHeight="1">
      <c r="A6179" s="21">
        <v>78</v>
      </c>
      <c r="B6179" t="s" s="22">
        <v>492</v>
      </c>
      <c r="C6179" s="23">
        <v>1</v>
      </c>
      <c r="D6179" t="s" s="24">
        <v>104</v>
      </c>
      <c r="E6179" s="25">
        <v>1</v>
      </c>
      <c r="F6179" s="23">
        <v>1</v>
      </c>
      <c r="G6179" s="152" cm="1">
        <f t="array" ref="G6179">SUM(E6179/F6179)</f>
        <v>1</v>
      </c>
      <c r="H6179" s="15"/>
    </row>
    <row r="6180" ht="13.65" customHeight="1">
      <c r="A6180" s="21">
        <v>29</v>
      </c>
      <c r="B6180" t="s" s="22">
        <v>493</v>
      </c>
      <c r="C6180" t="s" s="24">
        <v>500</v>
      </c>
      <c r="D6180" t="s" s="24">
        <v>495</v>
      </c>
      <c r="E6180" s="25">
        <v>74</v>
      </c>
      <c r="F6180" s="23">
        <v>20</v>
      </c>
      <c r="G6180" s="152" cm="1">
        <f t="array" ref="G6180">SUM(E6180/F6180)</f>
        <v>3.7</v>
      </c>
      <c r="H6180" s="15"/>
    </row>
    <row r="6181" ht="13.65" customHeight="1">
      <c r="A6181" s="21">
        <v>36</v>
      </c>
      <c r="B6181" t="s" s="22">
        <v>496</v>
      </c>
      <c r="C6181" t="s" s="24">
        <v>497</v>
      </c>
      <c r="D6181" t="s" s="24">
        <v>498</v>
      </c>
      <c r="E6181" s="25">
        <v>13</v>
      </c>
      <c r="F6181" s="23">
        <v>16</v>
      </c>
      <c r="G6181" s="152" cm="1">
        <f t="array" ref="G6181">SUM(E6181/F6181)</f>
        <v>0.8125</v>
      </c>
      <c r="H6181" s="15"/>
    </row>
    <row r="6182" ht="13.65" customHeight="1">
      <c r="A6182" s="28"/>
      <c r="B6182" s="28"/>
      <c r="C6182" s="27"/>
      <c r="D6182" s="24"/>
      <c r="E6182" s="27"/>
      <c r="F6182" t="s" s="29">
        <v>118</v>
      </c>
      <c r="G6182" s="197" cm="1">
        <f t="array" ref="G6182">SUM(G6167:G6181)</f>
        <v>23.6665432432432</v>
      </c>
      <c r="H6182" s="15"/>
    </row>
    <row r="6183" ht="13.65" customHeight="1">
      <c r="A6183" s="129"/>
      <c r="B6183" s="129"/>
      <c r="C6183" s="129"/>
      <c r="D6183" s="129"/>
      <c r="E6183" s="129"/>
      <c r="F6183" s="31"/>
      <c r="G6183" s="31"/>
      <c r="H6183" s="3"/>
    </row>
    <row r="6184" ht="11.7" customHeight="1">
      <c r="A6184" t="s" s="167">
        <v>136</v>
      </c>
      <c r="B6184" t="s" s="167">
        <v>281</v>
      </c>
      <c r="C6184" t="s" s="167">
        <v>282</v>
      </c>
      <c r="D6184" t="s" s="168">
        <v>283</v>
      </c>
      <c r="E6184" s="169"/>
      <c r="F6184" s="170"/>
      <c r="G6184" s="171"/>
      <c r="H6184" s="171"/>
    </row>
    <row r="6185" ht="13.65" customHeight="1">
      <c r="A6185" s="23">
        <v>45</v>
      </c>
      <c r="B6185" s="172" cm="1">
        <f t="array" ref="B6185">SUM(H256)</f>
        <v>2.47496540404041</v>
      </c>
      <c r="C6185" s="172" cm="1">
        <f t="array" ref="C6185">SUM(G6182)</f>
        <v>23.6665432432432</v>
      </c>
      <c r="D6185" s="199" cm="1">
        <f t="array" ref="D6185">SUM(A6185*B6185)+(C6185)</f>
        <v>135.039986425062</v>
      </c>
      <c r="E6185" s="200"/>
      <c r="F6185" s="15"/>
      <c r="G6185" s="3"/>
      <c r="H6185" s="3"/>
    </row>
    <row r="6186" ht="13.65" customHeight="1">
      <c r="A6186" s="31"/>
      <c r="B6186" s="31"/>
      <c r="C6186" s="31"/>
      <c r="D6186" s="31"/>
      <c r="E6186" s="31"/>
      <c r="F6186" s="3"/>
      <c r="G6186" s="3"/>
      <c r="H6186" s="3"/>
    </row>
    <row r="6187" ht="13.65" customHeight="1">
      <c r="A6187" s="203"/>
      <c r="B6187" s="203"/>
      <c r="C6187" s="203"/>
      <c r="D6187" s="203"/>
      <c r="E6187" s="203"/>
      <c r="F6187" s="203"/>
      <c r="G6187" s="203"/>
      <c r="H6187" s="203"/>
    </row>
    <row r="6188" ht="13.65" customHeight="1">
      <c r="A6188" t="s" s="274">
        <v>853</v>
      </c>
      <c r="B6188" s="275"/>
      <c r="C6188" s="275"/>
      <c r="D6188" s="280"/>
      <c r="E6188" s="275"/>
      <c r="F6188" s="311"/>
      <c r="G6188" s="312"/>
      <c r="H6188" s="277"/>
    </row>
    <row r="6189" ht="13.65" customHeight="1">
      <c r="A6189" s="278"/>
      <c r="B6189" s="278"/>
      <c r="C6189" s="278"/>
      <c r="D6189" s="313"/>
      <c r="E6189" s="278"/>
      <c r="F6189" s="314"/>
      <c r="G6189" s="315"/>
      <c r="H6189" s="278"/>
    </row>
    <row r="6190" ht="13.65" customHeight="1">
      <c r="A6190" s="3"/>
      <c r="B6190" s="3"/>
      <c r="C6190" s="3"/>
      <c r="D6190" s="316"/>
      <c r="E6190" s="3"/>
      <c r="F6190" s="317"/>
      <c r="G6190" s="318"/>
      <c r="H6190" s="3"/>
    </row>
    <row r="6191" ht="13.65" customHeight="1">
      <c r="A6191" t="s" s="5">
        <v>892</v>
      </c>
      <c r="B6191" s="3"/>
      <c r="C6191" s="3"/>
      <c r="D6191" s="316"/>
      <c r="E6191" s="3"/>
      <c r="F6191" s="317"/>
      <c r="G6191" s="318"/>
      <c r="H6191" s="3"/>
    </row>
    <row r="6192" ht="13.65" customHeight="1">
      <c r="A6192" s="11"/>
      <c r="B6192" s="11"/>
      <c r="C6192" s="11"/>
      <c r="D6192" s="319"/>
      <c r="E6192" s="11"/>
      <c r="F6192" s="320"/>
      <c r="G6192" s="321"/>
      <c r="H6192" s="3"/>
    </row>
    <row r="6193" ht="13.65" customHeight="1">
      <c r="A6193" s="13"/>
      <c r="B6193" s="13"/>
      <c r="C6193" s="13"/>
      <c r="D6193" s="14"/>
      <c r="E6193" s="13"/>
      <c r="F6193" s="13"/>
      <c r="G6193" t="s" s="14">
        <v>92</v>
      </c>
      <c r="H6193" s="15"/>
    </row>
    <row r="6194" ht="13.65" customHeight="1">
      <c r="A6194" t="s" s="16">
        <v>93</v>
      </c>
      <c r="B6194" t="s" s="16">
        <v>94</v>
      </c>
      <c r="C6194" t="s" s="16">
        <v>95</v>
      </c>
      <c r="D6194" t="s" s="16">
        <v>96</v>
      </c>
      <c r="E6194" t="s" s="16">
        <v>97</v>
      </c>
      <c r="F6194" t="s" s="16">
        <v>98</v>
      </c>
      <c r="G6194" t="s" s="16">
        <v>99</v>
      </c>
      <c r="H6194" s="15"/>
    </row>
    <row r="6195" ht="13.65" customHeight="1">
      <c r="A6195" s="19"/>
      <c r="B6195" s="19"/>
      <c r="C6195" s="19"/>
      <c r="D6195" s="20"/>
      <c r="E6195" s="19"/>
      <c r="F6195" s="19"/>
      <c r="G6195" t="s" s="20">
        <v>100</v>
      </c>
      <c r="H6195" s="15"/>
    </row>
    <row r="6196" ht="13.65" customHeight="1">
      <c r="A6196" s="21">
        <v>4</v>
      </c>
      <c r="B6196" t="s" s="22">
        <v>512</v>
      </c>
      <c r="C6196" t="s" s="165">
        <v>412</v>
      </c>
      <c r="D6196" t="s" s="165">
        <v>401</v>
      </c>
      <c r="E6196" s="179">
        <v>64</v>
      </c>
      <c r="F6196" s="23">
        <v>30</v>
      </c>
      <c r="G6196" s="322" cm="1">
        <f t="array" ref="G6196">E6196/F6196</f>
        <v>2.13333333333333</v>
      </c>
      <c r="H6196" s="15"/>
    </row>
    <row r="6197" ht="13.65" customHeight="1">
      <c r="A6197" s="21">
        <v>141</v>
      </c>
      <c r="B6197" t="s" s="22">
        <v>893</v>
      </c>
      <c r="C6197" s="323">
        <v>100</v>
      </c>
      <c r="D6197" t="s" s="165">
        <v>608</v>
      </c>
      <c r="E6197" s="179">
        <v>10</v>
      </c>
      <c r="F6197" s="23">
        <v>12.5</v>
      </c>
      <c r="G6197" s="322" cm="1">
        <f t="array" ref="G6197">E6197/F6197</f>
        <v>0.8</v>
      </c>
      <c r="H6197" s="15"/>
    </row>
    <row r="6198" ht="13.65" customHeight="1">
      <c r="A6198" s="21">
        <v>142</v>
      </c>
      <c r="B6198" t="s" s="22">
        <v>894</v>
      </c>
      <c r="C6198" s="323">
        <v>1</v>
      </c>
      <c r="D6198" t="s" s="165">
        <v>274</v>
      </c>
      <c r="E6198" s="179">
        <v>3.02</v>
      </c>
      <c r="F6198" t="s" s="24">
        <v>301</v>
      </c>
      <c r="G6198" s="322" cm="1">
        <f t="array" ref="G6198">E6198*4</f>
        <v>12.08</v>
      </c>
      <c r="H6198" s="15"/>
    </row>
    <row r="6199" ht="13.65" customHeight="1">
      <c r="A6199" s="21">
        <v>143</v>
      </c>
      <c r="B6199" t="s" s="22">
        <v>895</v>
      </c>
      <c r="C6199" s="323">
        <v>20</v>
      </c>
      <c r="D6199" t="s" s="165">
        <v>106</v>
      </c>
      <c r="E6199" s="179">
        <v>66.8</v>
      </c>
      <c r="F6199" s="23">
        <v>2</v>
      </c>
      <c r="G6199" s="322" cm="1">
        <f t="array" ref="G6199">E6199/F6199</f>
        <v>33.4</v>
      </c>
      <c r="H6199" s="15"/>
    </row>
    <row r="6200" ht="13.65" customHeight="1">
      <c r="A6200" s="21">
        <v>144</v>
      </c>
      <c r="B6200" t="s" s="22">
        <v>896</v>
      </c>
      <c r="C6200" s="323">
        <v>280</v>
      </c>
      <c r="D6200" t="s" s="165">
        <v>104</v>
      </c>
      <c r="E6200" s="179">
        <v>137.5</v>
      </c>
      <c r="F6200" s="23">
        <v>280</v>
      </c>
      <c r="G6200" s="322" cm="1">
        <f t="array" ref="G6200">E6200/F6200</f>
        <v>0.491071428571429</v>
      </c>
      <c r="H6200" s="15"/>
    </row>
    <row r="6201" ht="13.65" customHeight="1">
      <c r="A6201" s="21">
        <v>145</v>
      </c>
      <c r="B6201" t="s" s="22">
        <v>897</v>
      </c>
      <c r="C6201" s="323">
        <v>50</v>
      </c>
      <c r="D6201" t="s" s="165">
        <v>102</v>
      </c>
      <c r="E6201" s="179">
        <v>100</v>
      </c>
      <c r="F6201" s="23">
        <v>25</v>
      </c>
      <c r="G6201" s="322" cm="1">
        <f t="array" ref="G6201">E6201/F6201</f>
        <v>4</v>
      </c>
      <c r="H6201" s="15"/>
    </row>
    <row r="6202" ht="12.75" customHeight="1">
      <c r="A6202" s="23">
        <v>146</v>
      </c>
      <c r="B6202" t="s" s="324">
        <v>898</v>
      </c>
      <c r="C6202" t="s" s="165">
        <v>899</v>
      </c>
      <c r="D6202" t="s" s="165">
        <v>900</v>
      </c>
      <c r="E6202" s="179">
        <v>270</v>
      </c>
      <c r="F6202" s="23">
        <v>26</v>
      </c>
      <c r="G6202" s="322" cm="1">
        <f t="array" ref="G6202">E6202/F6202</f>
        <v>10.3846153846154</v>
      </c>
      <c r="H6202" s="15"/>
    </row>
    <row r="6203" ht="12.75" customHeight="1">
      <c r="A6203" s="21">
        <v>47</v>
      </c>
      <c r="B6203" t="s" s="22">
        <v>901</v>
      </c>
      <c r="C6203" s="323">
        <v>1</v>
      </c>
      <c r="D6203" t="s" s="165">
        <v>104</v>
      </c>
      <c r="E6203" s="179">
        <v>0.61</v>
      </c>
      <c r="F6203" s="23">
        <v>1</v>
      </c>
      <c r="G6203" s="322" cm="1">
        <f t="array" ref="G6203">E6203/F6203</f>
        <v>0.61</v>
      </c>
      <c r="H6203" s="15"/>
    </row>
    <row r="6204" ht="13.65" customHeight="1">
      <c r="A6204" s="21">
        <v>55</v>
      </c>
      <c r="B6204" t="s" s="22">
        <v>111</v>
      </c>
      <c r="C6204" t="s" s="165">
        <v>112</v>
      </c>
      <c r="D6204" t="s" s="165">
        <v>902</v>
      </c>
      <c r="E6204" s="179">
        <v>2.71</v>
      </c>
      <c r="F6204" s="23">
        <v>9.300000000000001</v>
      </c>
      <c r="G6204" s="322" cm="1">
        <f t="array" ref="G6204">E6204/F6204</f>
        <v>0.291397849462366</v>
      </c>
      <c r="H6204" s="15"/>
    </row>
    <row r="6205" ht="13.65" customHeight="1">
      <c r="A6205" s="21">
        <v>57</v>
      </c>
      <c r="B6205" t="s" s="22">
        <v>253</v>
      </c>
      <c r="C6205" t="s" s="165">
        <v>254</v>
      </c>
      <c r="D6205" t="s" s="165">
        <v>903</v>
      </c>
      <c r="E6205" s="179">
        <v>4.5</v>
      </c>
      <c r="F6205" s="23">
        <v>40</v>
      </c>
      <c r="G6205" s="322" cm="1">
        <f t="array" ref="G6205">E6205/F6205</f>
        <v>0.1125</v>
      </c>
      <c r="H6205" s="15"/>
    </row>
    <row r="6206" ht="13.65" customHeight="1">
      <c r="A6206" s="21">
        <v>147</v>
      </c>
      <c r="B6206" t="s" s="22">
        <v>904</v>
      </c>
      <c r="C6206" s="323">
        <v>1</v>
      </c>
      <c r="D6206" t="s" s="165">
        <v>104</v>
      </c>
      <c r="E6206" s="179">
        <v>5.34</v>
      </c>
      <c r="F6206" s="23">
        <v>1</v>
      </c>
      <c r="G6206" s="322" cm="1">
        <f t="array" ref="G6206">E6206/F6206</f>
        <v>5.34</v>
      </c>
      <c r="H6206" s="15"/>
    </row>
    <row r="6207" ht="13.65" customHeight="1">
      <c r="A6207" s="21">
        <v>71</v>
      </c>
      <c r="B6207" t="s" s="22">
        <v>109</v>
      </c>
      <c r="C6207" s="323">
        <v>10</v>
      </c>
      <c r="D6207" t="s" s="165">
        <v>608</v>
      </c>
      <c r="E6207" s="179">
        <v>5.92</v>
      </c>
      <c r="F6207" s="325">
        <v>1.25</v>
      </c>
      <c r="G6207" s="322" cm="1">
        <f t="array" ref="G6207">E6207/F6207</f>
        <v>4.736</v>
      </c>
      <c r="H6207" s="15"/>
    </row>
    <row r="6208" ht="13.65" customHeight="1">
      <c r="A6208" s="21">
        <v>72</v>
      </c>
      <c r="B6208" t="s" s="22">
        <v>101</v>
      </c>
      <c r="C6208" s="323">
        <v>50</v>
      </c>
      <c r="D6208" t="s" s="165">
        <v>608</v>
      </c>
      <c r="E6208" s="179">
        <v>1.93</v>
      </c>
      <c r="F6208" s="23">
        <v>6.25</v>
      </c>
      <c r="G6208" s="322" cm="1">
        <f t="array" ref="G6208">E6208/F6208</f>
        <v>0.3088</v>
      </c>
      <c r="H6208" s="15"/>
    </row>
    <row r="6209" ht="13.65" customHeight="1">
      <c r="A6209" s="21">
        <v>148</v>
      </c>
      <c r="B6209" t="s" s="22">
        <v>905</v>
      </c>
      <c r="C6209" s="323">
        <v>45</v>
      </c>
      <c r="D6209" t="s" s="165">
        <v>104</v>
      </c>
      <c r="E6209" s="179">
        <v>35.55</v>
      </c>
      <c r="F6209" s="23">
        <v>45</v>
      </c>
      <c r="G6209" s="322" cm="1">
        <f t="array" ref="G6209">E6209/F6209</f>
        <v>0.79</v>
      </c>
      <c r="H6209" s="15"/>
    </row>
    <row r="6210" ht="13.65" customHeight="1">
      <c r="A6210" s="21">
        <v>87</v>
      </c>
      <c r="B6210" t="s" s="22">
        <v>107</v>
      </c>
      <c r="C6210" t="s" s="165">
        <v>108</v>
      </c>
      <c r="D6210" t="s" s="165">
        <v>608</v>
      </c>
      <c r="E6210" s="179">
        <v>0.32</v>
      </c>
      <c r="F6210" t="s" s="24">
        <v>650</v>
      </c>
      <c r="G6210" s="322" cm="1">
        <f t="array" ref="G6210">E6210*8</f>
        <v>2.56</v>
      </c>
      <c r="H6210" s="15"/>
    </row>
    <row r="6211" ht="13.65" customHeight="1">
      <c r="A6211" s="21">
        <v>149</v>
      </c>
      <c r="B6211" t="s" s="22">
        <v>906</v>
      </c>
      <c r="C6211" s="323">
        <v>100</v>
      </c>
      <c r="D6211" t="s" s="165">
        <v>256</v>
      </c>
      <c r="E6211" s="179">
        <v>9.6</v>
      </c>
      <c r="F6211" s="23">
        <v>33.33</v>
      </c>
      <c r="G6211" s="322" cm="1">
        <f t="array" ref="G6211">E6211/F6211</f>
        <v>0.288028802880288</v>
      </c>
      <c r="H6211" s="15"/>
    </row>
    <row r="6212" ht="13.65" customHeight="1">
      <c r="A6212" s="21">
        <v>87</v>
      </c>
      <c r="B6212" t="s" s="22">
        <v>110</v>
      </c>
      <c r="C6212" s="323">
        <v>50</v>
      </c>
      <c r="D6212" t="s" s="165">
        <v>608</v>
      </c>
      <c r="E6212" s="179">
        <v>9</v>
      </c>
      <c r="F6212" s="23">
        <v>6.25</v>
      </c>
      <c r="G6212" s="322" cm="1">
        <f t="array" ref="G6212">E6212/F6212</f>
        <v>1.44</v>
      </c>
      <c r="H6212" s="15"/>
    </row>
    <row r="6213" ht="13.65" customHeight="1">
      <c r="A6213" s="21">
        <v>100</v>
      </c>
      <c r="B6213" t="s" s="22">
        <v>376</v>
      </c>
      <c r="C6213" t="s" s="165">
        <v>377</v>
      </c>
      <c r="D6213" t="s" s="165">
        <v>378</v>
      </c>
      <c r="E6213" s="179">
        <v>4.5</v>
      </c>
      <c r="F6213" s="23">
        <v>40</v>
      </c>
      <c r="G6213" s="322" cm="1">
        <f t="array" ref="G6213">E6213/F6213</f>
        <v>0.1125</v>
      </c>
      <c r="H6213" s="15"/>
    </row>
    <row r="6214" ht="13.65" customHeight="1">
      <c r="A6214" s="21">
        <v>103</v>
      </c>
      <c r="B6214" t="s" s="22">
        <v>114</v>
      </c>
      <c r="C6214" s="323">
        <v>144</v>
      </c>
      <c r="D6214" t="s" s="165">
        <v>104</v>
      </c>
      <c r="E6214" s="179">
        <v>18</v>
      </c>
      <c r="F6214" s="23">
        <v>144</v>
      </c>
      <c r="G6214" s="322" cm="1">
        <f t="array" ref="G6214">E6214/F6214</f>
        <v>0.125</v>
      </c>
      <c r="H6214" s="15"/>
    </row>
    <row r="6215" ht="13.65" customHeight="1">
      <c r="A6215" s="21">
        <v>111</v>
      </c>
      <c r="B6215" t="s" s="22">
        <v>476</v>
      </c>
      <c r="C6215" s="323">
        <v>1</v>
      </c>
      <c r="D6215" t="s" s="165">
        <v>373</v>
      </c>
      <c r="E6215" s="179">
        <v>2.7</v>
      </c>
      <c r="F6215" s="23">
        <v>15</v>
      </c>
      <c r="G6215" s="322" cm="1">
        <f t="array" ref="G6215">E6215/F6215</f>
        <v>0.18</v>
      </c>
      <c r="H6215" s="15"/>
    </row>
    <row r="6216" ht="13.65" customHeight="1">
      <c r="A6216" s="21">
        <v>150</v>
      </c>
      <c r="B6216" t="s" s="22">
        <v>907</v>
      </c>
      <c r="C6216" s="323">
        <v>1</v>
      </c>
      <c r="D6216" t="s" s="165">
        <v>104</v>
      </c>
      <c r="E6216" s="179">
        <v>8.85</v>
      </c>
      <c r="F6216" s="23">
        <v>1</v>
      </c>
      <c r="G6216" s="322" cm="1">
        <f t="array" ref="G6216">E6216/F6216</f>
        <v>8.85</v>
      </c>
      <c r="H6216" s="15"/>
    </row>
    <row r="6217" ht="13.65" customHeight="1">
      <c r="A6217" s="21">
        <v>151</v>
      </c>
      <c r="B6217" t="s" s="22">
        <v>908</v>
      </c>
      <c r="C6217" t="s" s="165">
        <v>909</v>
      </c>
      <c r="D6217" t="s" s="165">
        <v>910</v>
      </c>
      <c r="E6217" s="179">
        <v>249</v>
      </c>
      <c r="F6217" s="23">
        <v>40</v>
      </c>
      <c r="G6217" s="322" cm="1">
        <f t="array" ref="G6217">E6217/F6217</f>
        <v>6.225</v>
      </c>
      <c r="H6217" s="15"/>
    </row>
    <row r="6218" ht="13.65" customHeight="1">
      <c r="A6218" s="21">
        <v>117</v>
      </c>
      <c r="B6218" t="s" s="22">
        <v>586</v>
      </c>
      <c r="C6218" s="323">
        <v>100</v>
      </c>
      <c r="D6218" t="s" s="165">
        <v>261</v>
      </c>
      <c r="E6218" s="179">
        <v>1.2</v>
      </c>
      <c r="F6218" s="23">
        <v>5</v>
      </c>
      <c r="G6218" s="322" cm="1">
        <f t="array" ref="G6218">E6218/F6218</f>
        <v>0.24</v>
      </c>
      <c r="H6218" s="15"/>
    </row>
    <row r="6219" ht="13.65" customHeight="1">
      <c r="A6219" s="21">
        <v>123</v>
      </c>
      <c r="B6219" t="s" s="22">
        <v>103</v>
      </c>
      <c r="C6219" s="323">
        <v>40</v>
      </c>
      <c r="D6219" t="s" s="165">
        <v>256</v>
      </c>
      <c r="E6219" s="179">
        <v>3.2</v>
      </c>
      <c r="F6219" s="23">
        <v>13.33</v>
      </c>
      <c r="G6219" s="322" cm="1">
        <f t="array" ref="G6219">E6219/F6219</f>
        <v>0.240060015003751</v>
      </c>
      <c r="H6219" s="15"/>
    </row>
    <row r="6220" ht="13.65" customHeight="1">
      <c r="A6220" s="21">
        <v>124</v>
      </c>
      <c r="B6220" t="s" s="22">
        <v>372</v>
      </c>
      <c r="C6220" s="323">
        <v>1</v>
      </c>
      <c r="D6220" t="s" s="165">
        <v>427</v>
      </c>
      <c r="E6220" s="179">
        <v>2.2</v>
      </c>
      <c r="F6220" s="23">
        <v>2</v>
      </c>
      <c r="G6220" s="322" cm="1">
        <f t="array" ref="G6220">E6220/F6220</f>
        <v>1.1</v>
      </c>
      <c r="H6220" s="15"/>
    </row>
    <row r="6221" ht="13.65" customHeight="1">
      <c r="A6221" s="21">
        <v>152</v>
      </c>
      <c r="B6221" t="s" s="22">
        <v>911</v>
      </c>
      <c r="C6221" s="323">
        <v>1</v>
      </c>
      <c r="D6221" t="s" s="165">
        <v>274</v>
      </c>
      <c r="E6221" s="179">
        <v>4.04</v>
      </c>
      <c r="F6221" t="s" s="24">
        <v>301</v>
      </c>
      <c r="G6221" s="322" cm="1">
        <f t="array" ref="G6221">E6221*4</f>
        <v>16.16</v>
      </c>
      <c r="H6221" s="15"/>
    </row>
    <row r="6222" ht="13.65" customHeight="1">
      <c r="A6222" s="21">
        <v>153</v>
      </c>
      <c r="B6222" t="s" s="22">
        <v>912</v>
      </c>
      <c r="C6222" s="323">
        <v>1</v>
      </c>
      <c r="D6222" t="s" s="165">
        <v>274</v>
      </c>
      <c r="E6222" s="179">
        <v>6.63</v>
      </c>
      <c r="F6222" t="s" s="24">
        <v>301</v>
      </c>
      <c r="G6222" s="322" cm="1">
        <f t="array" ref="G6222">E6222*4</f>
        <v>26.52</v>
      </c>
      <c r="H6222" s="15"/>
    </row>
    <row r="6223" ht="13.65" customHeight="1">
      <c r="A6223" s="28"/>
      <c r="B6223" s="28"/>
      <c r="C6223" s="141"/>
      <c r="D6223" s="165"/>
      <c r="E6223" s="198"/>
      <c r="F6223" t="s" s="29">
        <v>118</v>
      </c>
      <c r="G6223" s="326" cm="1">
        <f t="array" ref="G6223">SUM(G6196:G6222)</f>
        <v>139.518306813867</v>
      </c>
      <c r="H6223" s="15"/>
    </row>
    <row r="6224" ht="13.65" customHeight="1">
      <c r="A6224" s="129"/>
      <c r="B6224" s="129"/>
      <c r="C6224" s="129"/>
      <c r="D6224" s="166"/>
      <c r="E6224" s="129"/>
      <c r="F6224" s="176"/>
      <c r="G6224" s="327"/>
      <c r="H6224" s="3"/>
    </row>
    <row r="6225" ht="13.65" customHeight="1">
      <c r="A6225" t="s" s="328">
        <v>136</v>
      </c>
      <c r="B6225" t="s" s="167">
        <v>913</v>
      </c>
      <c r="C6225" t="s" s="167">
        <v>914</v>
      </c>
      <c r="D6225" t="s" s="329">
        <v>915</v>
      </c>
      <c r="E6225" s="330"/>
      <c r="F6225" s="331"/>
      <c r="G6225" s="332"/>
      <c r="H6225" s="3"/>
    </row>
    <row r="6226" ht="13.65" customHeight="1">
      <c r="A6226" s="21">
        <v>180</v>
      </c>
      <c r="B6226" s="172" cm="1">
        <f t="array" ref="B6226">SUM(H256)</f>
        <v>2.47496540404041</v>
      </c>
      <c r="C6226" s="172" cm="1">
        <f t="array" ref="C6226">G6223</f>
        <v>139.518306813867</v>
      </c>
      <c r="D6226" s="199" cm="1">
        <f t="array" ref="D6226">SUM(A6226*B6226)+(C6226)</f>
        <v>585.012079541141</v>
      </c>
      <c r="E6226" s="200"/>
      <c r="F6226" s="331"/>
      <c r="G6226" s="332"/>
      <c r="H6226" s="3"/>
    </row>
    <row r="6227" ht="13.65" customHeight="1">
      <c r="A6227" s="129"/>
      <c r="B6227" s="129"/>
      <c r="C6227" s="333"/>
      <c r="D6227" s="166"/>
      <c r="E6227" s="136"/>
      <c r="F6227" s="317"/>
      <c r="G6227" s="332"/>
      <c r="H6227" s="3"/>
    </row>
    <row r="6228" ht="13.65" customHeight="1">
      <c r="A6228" t="s" s="22">
        <v>916</v>
      </c>
      <c r="B6228" t="s" s="22">
        <v>917</v>
      </c>
      <c r="C6228" s="28"/>
      <c r="D6228" t="s" s="22">
        <v>918</v>
      </c>
      <c r="E6228" s="15"/>
      <c r="F6228" s="317"/>
      <c r="G6228" s="332"/>
      <c r="H6228" s="3"/>
    </row>
    <row r="6229" ht="13.65" customHeight="1">
      <c r="A6229" t="s" s="22">
        <v>919</v>
      </c>
      <c r="B6229" t="s" s="22">
        <v>920</v>
      </c>
      <c r="C6229" s="28"/>
      <c r="D6229" t="s" s="22">
        <v>921</v>
      </c>
      <c r="E6229" s="15"/>
      <c r="F6229" s="317"/>
      <c r="G6229" s="332"/>
      <c r="H6229" s="3"/>
    </row>
    <row r="6230" ht="13.65" customHeight="1">
      <c r="A6230" t="s" s="22">
        <v>922</v>
      </c>
      <c r="B6230" t="s" s="22">
        <v>923</v>
      </c>
      <c r="C6230" s="28"/>
      <c r="D6230" t="s" s="22">
        <v>918</v>
      </c>
      <c r="E6230" s="15"/>
      <c r="F6230" s="317"/>
      <c r="G6230" s="332"/>
      <c r="H6230" s="3"/>
    </row>
    <row r="6231" ht="13.65" customHeight="1">
      <c r="A6231" s="28"/>
      <c r="B6231" s="164"/>
      <c r="C6231" t="s" s="334">
        <v>924</v>
      </c>
      <c r="D6231" t="s" s="335">
        <v>274</v>
      </c>
      <c r="E6231" s="15"/>
      <c r="F6231" s="317"/>
      <c r="G6231" s="332"/>
      <c r="H6231" s="3"/>
    </row>
    <row r="6232" ht="13.65" customHeight="1">
      <c r="A6232" s="31"/>
      <c r="B6232" s="31"/>
      <c r="C6232" s="336"/>
      <c r="D6232" s="337"/>
      <c r="E6232" s="3"/>
      <c r="F6232" s="317"/>
      <c r="G6232" s="332"/>
      <c r="H6232" s="3"/>
    </row>
    <row r="6233" ht="13.65" customHeight="1">
      <c r="A6233" s="203"/>
      <c r="B6233" s="203"/>
      <c r="C6233" s="338"/>
      <c r="D6233" s="339"/>
      <c r="E6233" s="203"/>
      <c r="F6233" s="340"/>
      <c r="G6233" s="341"/>
      <c r="H6233" s="203"/>
    </row>
    <row r="6234" ht="13.65" customHeight="1">
      <c r="A6234" t="s" s="274">
        <v>853</v>
      </c>
      <c r="B6234" s="275"/>
      <c r="C6234" s="275"/>
      <c r="D6234" s="342"/>
      <c r="E6234" s="275"/>
      <c r="F6234" s="311"/>
      <c r="G6234" s="343"/>
      <c r="H6234" s="277"/>
    </row>
    <row r="6235" ht="13.65" customHeight="1">
      <c r="A6235" s="278"/>
      <c r="B6235" s="278"/>
      <c r="C6235" s="278"/>
      <c r="D6235" s="344"/>
      <c r="E6235" s="278"/>
      <c r="F6235" s="314"/>
      <c r="G6235" s="345"/>
      <c r="H6235" s="278"/>
    </row>
    <row r="6236" ht="13.65" customHeight="1">
      <c r="A6236" s="3"/>
      <c r="B6236" s="3"/>
      <c r="C6236" s="3"/>
      <c r="D6236" s="316"/>
      <c r="E6236" s="3"/>
      <c r="F6236" s="317"/>
      <c r="G6236" s="332"/>
      <c r="H6236" s="3"/>
    </row>
    <row r="6237" ht="13.65" customHeight="1">
      <c r="A6237" t="s" s="5">
        <v>925</v>
      </c>
      <c r="B6237" s="3"/>
      <c r="C6237" s="3"/>
      <c r="D6237" s="316"/>
      <c r="E6237" s="316"/>
      <c r="F6237" s="317"/>
      <c r="G6237" s="332"/>
      <c r="H6237" s="3"/>
    </row>
    <row r="6238" ht="13.65" customHeight="1">
      <c r="A6238" s="11"/>
      <c r="B6238" s="11"/>
      <c r="C6238" s="11"/>
      <c r="D6238" s="319"/>
      <c r="E6238" s="319"/>
      <c r="F6238" s="320"/>
      <c r="G6238" s="346"/>
      <c r="H6238" s="3"/>
    </row>
    <row r="6239" ht="13.65" customHeight="1">
      <c r="A6239" s="13"/>
      <c r="B6239" s="13"/>
      <c r="C6239" s="13"/>
      <c r="D6239" s="14"/>
      <c r="E6239" s="13"/>
      <c r="F6239" s="13"/>
      <c r="G6239" t="s" s="14">
        <v>92</v>
      </c>
      <c r="H6239" s="15"/>
    </row>
    <row r="6240" ht="13.65" customHeight="1">
      <c r="A6240" t="s" s="16">
        <v>93</v>
      </c>
      <c r="B6240" t="s" s="16">
        <v>94</v>
      </c>
      <c r="C6240" t="s" s="16">
        <v>95</v>
      </c>
      <c r="D6240" t="s" s="16">
        <v>96</v>
      </c>
      <c r="E6240" t="s" s="16">
        <v>97</v>
      </c>
      <c r="F6240" t="s" s="16">
        <v>98</v>
      </c>
      <c r="G6240" t="s" s="16">
        <v>99</v>
      </c>
      <c r="H6240" s="15"/>
    </row>
    <row r="6241" ht="13.65" customHeight="1">
      <c r="A6241" s="19"/>
      <c r="B6241" s="19"/>
      <c r="C6241" s="19"/>
      <c r="D6241" s="20"/>
      <c r="E6241" s="19"/>
      <c r="F6241" s="19"/>
      <c r="G6241" t="s" s="20">
        <v>100</v>
      </c>
      <c r="H6241" s="15"/>
    </row>
    <row r="6242" ht="13.65" customHeight="1">
      <c r="A6242" s="21">
        <v>4</v>
      </c>
      <c r="B6242" t="s" s="22">
        <v>512</v>
      </c>
      <c r="C6242" t="s" s="165">
        <v>412</v>
      </c>
      <c r="D6242" t="s" s="165">
        <v>401</v>
      </c>
      <c r="E6242" s="179">
        <v>64</v>
      </c>
      <c r="F6242" s="23">
        <v>30</v>
      </c>
      <c r="G6242" s="322" cm="1">
        <f t="array" ref="G6242">E6242/F6242</f>
        <v>2.13333333333333</v>
      </c>
      <c r="H6242" s="15"/>
    </row>
    <row r="6243" ht="13.65" customHeight="1">
      <c r="A6243" s="21">
        <v>141</v>
      </c>
      <c r="B6243" t="s" s="22">
        <v>893</v>
      </c>
      <c r="C6243" s="323">
        <v>100</v>
      </c>
      <c r="D6243" t="s" s="165">
        <v>608</v>
      </c>
      <c r="E6243" s="179">
        <v>10</v>
      </c>
      <c r="F6243" s="23">
        <v>12.5</v>
      </c>
      <c r="G6243" s="322" cm="1">
        <f t="array" ref="G6243">E6243/F6243</f>
        <v>0.8</v>
      </c>
      <c r="H6243" s="15"/>
    </row>
    <row r="6244" ht="13.65" customHeight="1">
      <c r="A6244" s="21">
        <v>142</v>
      </c>
      <c r="B6244" t="s" s="22">
        <v>894</v>
      </c>
      <c r="C6244" s="323">
        <v>1</v>
      </c>
      <c r="D6244" t="s" s="165">
        <v>274</v>
      </c>
      <c r="E6244" s="179">
        <v>3.02</v>
      </c>
      <c r="F6244" t="s" s="24">
        <v>301</v>
      </c>
      <c r="G6244" s="322" cm="1">
        <f t="array" ref="G6244">E6244*4</f>
        <v>12.08</v>
      </c>
      <c r="H6244" s="15"/>
    </row>
    <row r="6245" ht="13.65" customHeight="1">
      <c r="A6245" s="21">
        <v>154</v>
      </c>
      <c r="B6245" t="s" s="22">
        <v>926</v>
      </c>
      <c r="C6245" s="323">
        <v>20</v>
      </c>
      <c r="D6245" t="s" s="165">
        <v>106</v>
      </c>
      <c r="E6245" s="179">
        <v>388.4</v>
      </c>
      <c r="F6245" s="23">
        <v>2</v>
      </c>
      <c r="G6245" s="322" cm="1">
        <f t="array" ref="G6245">E6245/F6245</f>
        <v>194.2</v>
      </c>
      <c r="H6245" s="15"/>
    </row>
    <row r="6246" ht="13.65" customHeight="1">
      <c r="A6246" s="21">
        <v>144</v>
      </c>
      <c r="B6246" t="s" s="22">
        <v>896</v>
      </c>
      <c r="C6246" s="323">
        <v>280</v>
      </c>
      <c r="D6246" t="s" s="165">
        <v>104</v>
      </c>
      <c r="E6246" s="179">
        <v>137.5</v>
      </c>
      <c r="F6246" s="23">
        <v>280</v>
      </c>
      <c r="G6246" s="322" cm="1">
        <f t="array" ref="G6246">E6246/F6246</f>
        <v>0.491071428571429</v>
      </c>
      <c r="H6246" s="15"/>
    </row>
    <row r="6247" ht="13.65" customHeight="1">
      <c r="A6247" s="21">
        <v>145</v>
      </c>
      <c r="B6247" t="s" s="22">
        <v>897</v>
      </c>
      <c r="C6247" s="323">
        <v>50</v>
      </c>
      <c r="D6247" t="s" s="165">
        <v>102</v>
      </c>
      <c r="E6247" s="179">
        <v>100</v>
      </c>
      <c r="F6247" s="23">
        <v>25</v>
      </c>
      <c r="G6247" s="322" cm="1">
        <f t="array" ref="G6247">E6247/F6247</f>
        <v>4</v>
      </c>
      <c r="H6247" s="15"/>
    </row>
    <row r="6248" ht="13.65" customHeight="1">
      <c r="A6248" s="21">
        <v>146</v>
      </c>
      <c r="B6248" t="s" s="347">
        <v>898</v>
      </c>
      <c r="C6248" t="s" s="165">
        <v>899</v>
      </c>
      <c r="D6248" t="s" s="165">
        <v>900</v>
      </c>
      <c r="E6248" s="179">
        <v>270</v>
      </c>
      <c r="F6248" s="23">
        <v>26</v>
      </c>
      <c r="G6248" s="322" cm="1">
        <f t="array" ref="G6248">E6248/F6248</f>
        <v>10.3846153846154</v>
      </c>
      <c r="H6248" s="15"/>
    </row>
    <row r="6249" ht="13.65" customHeight="1">
      <c r="A6249" s="21">
        <v>47</v>
      </c>
      <c r="B6249" t="s" s="22">
        <v>901</v>
      </c>
      <c r="C6249" s="323">
        <v>1</v>
      </c>
      <c r="D6249" t="s" s="165">
        <v>104</v>
      </c>
      <c r="E6249" s="179">
        <v>0.61</v>
      </c>
      <c r="F6249" s="23">
        <v>1</v>
      </c>
      <c r="G6249" s="322" cm="1">
        <f t="array" ref="G6249">E6249/F6249</f>
        <v>0.61</v>
      </c>
      <c r="H6249" s="15"/>
    </row>
    <row r="6250" ht="13.65" customHeight="1">
      <c r="A6250" s="21">
        <v>55</v>
      </c>
      <c r="B6250" t="s" s="22">
        <v>111</v>
      </c>
      <c r="C6250" t="s" s="165">
        <v>112</v>
      </c>
      <c r="D6250" t="s" s="165">
        <v>902</v>
      </c>
      <c r="E6250" s="179">
        <v>2.71</v>
      </c>
      <c r="F6250" s="23">
        <v>9.300000000000001</v>
      </c>
      <c r="G6250" s="322" cm="1">
        <f t="array" ref="G6250">E6250/F6250</f>
        <v>0.291397849462366</v>
      </c>
      <c r="H6250" s="15"/>
    </row>
    <row r="6251" ht="13.65" customHeight="1">
      <c r="A6251" s="21">
        <v>57</v>
      </c>
      <c r="B6251" t="s" s="22">
        <v>253</v>
      </c>
      <c r="C6251" t="s" s="165">
        <v>254</v>
      </c>
      <c r="D6251" t="s" s="165">
        <v>903</v>
      </c>
      <c r="E6251" s="179">
        <v>4.5</v>
      </c>
      <c r="F6251" s="23">
        <v>40</v>
      </c>
      <c r="G6251" s="322" cm="1">
        <f t="array" ref="G6251">E6251/F6251</f>
        <v>0.1125</v>
      </c>
      <c r="H6251" s="15"/>
    </row>
    <row r="6252" ht="13.65" customHeight="1">
      <c r="A6252" s="21">
        <v>155</v>
      </c>
      <c r="B6252" t="s" s="22">
        <v>927</v>
      </c>
      <c r="C6252" s="323">
        <v>1</v>
      </c>
      <c r="D6252" t="s" s="165">
        <v>104</v>
      </c>
      <c r="E6252" s="179">
        <v>17.45</v>
      </c>
      <c r="F6252" s="23">
        <v>1</v>
      </c>
      <c r="G6252" s="322" cm="1">
        <f t="array" ref="G6252">E6252/F6252</f>
        <v>17.45</v>
      </c>
      <c r="H6252" s="15"/>
    </row>
    <row r="6253" ht="13.65" customHeight="1">
      <c r="A6253" s="21">
        <v>71</v>
      </c>
      <c r="B6253" t="s" s="22">
        <v>109</v>
      </c>
      <c r="C6253" s="323">
        <v>10</v>
      </c>
      <c r="D6253" t="s" s="165">
        <v>608</v>
      </c>
      <c r="E6253" s="179">
        <v>5.92</v>
      </c>
      <c r="F6253" s="325">
        <v>1.25</v>
      </c>
      <c r="G6253" s="322" cm="1">
        <f t="array" ref="G6253">E6253/F6253</f>
        <v>4.736</v>
      </c>
      <c r="H6253" s="15"/>
    </row>
    <row r="6254" ht="13.65" customHeight="1">
      <c r="A6254" s="21">
        <v>72</v>
      </c>
      <c r="B6254" t="s" s="22">
        <v>101</v>
      </c>
      <c r="C6254" s="323">
        <v>50</v>
      </c>
      <c r="D6254" t="s" s="165">
        <v>608</v>
      </c>
      <c r="E6254" s="179">
        <v>1.93</v>
      </c>
      <c r="F6254" s="23">
        <v>6.25</v>
      </c>
      <c r="G6254" s="322" cm="1">
        <f t="array" ref="G6254">E6254/F6254</f>
        <v>0.3088</v>
      </c>
      <c r="H6254" s="15"/>
    </row>
    <row r="6255" ht="13.65" customHeight="1">
      <c r="A6255" s="21">
        <v>148</v>
      </c>
      <c r="B6255" t="s" s="22">
        <v>905</v>
      </c>
      <c r="C6255" s="323">
        <v>45</v>
      </c>
      <c r="D6255" t="s" s="165">
        <v>104</v>
      </c>
      <c r="E6255" s="179">
        <v>35.55</v>
      </c>
      <c r="F6255" s="23">
        <v>45</v>
      </c>
      <c r="G6255" s="322" cm="1">
        <f t="array" ref="G6255">E6255/F6255</f>
        <v>0.79</v>
      </c>
      <c r="H6255" s="15"/>
    </row>
    <row r="6256" ht="13.65" customHeight="1">
      <c r="A6256" s="21">
        <v>86</v>
      </c>
      <c r="B6256" t="s" s="22">
        <v>107</v>
      </c>
      <c r="C6256" t="s" s="165">
        <v>108</v>
      </c>
      <c r="D6256" t="s" s="165">
        <v>608</v>
      </c>
      <c r="E6256" s="179">
        <v>0.32</v>
      </c>
      <c r="F6256" t="s" s="24">
        <v>650</v>
      </c>
      <c r="G6256" s="322" cm="1">
        <f t="array" ref="G6256">E6256*8</f>
        <v>2.56</v>
      </c>
      <c r="H6256" s="15"/>
    </row>
    <row r="6257" ht="13.65" customHeight="1">
      <c r="A6257" s="21">
        <v>149</v>
      </c>
      <c r="B6257" t="s" s="22">
        <v>906</v>
      </c>
      <c r="C6257" s="323">
        <v>100</v>
      </c>
      <c r="D6257" t="s" s="165">
        <v>256</v>
      </c>
      <c r="E6257" s="179">
        <v>9.6</v>
      </c>
      <c r="F6257" s="23">
        <v>33.33</v>
      </c>
      <c r="G6257" s="322" cm="1">
        <f t="array" ref="G6257">E6257/F6257</f>
        <v>0.288028802880288</v>
      </c>
      <c r="H6257" s="15"/>
    </row>
    <row r="6258" ht="13.65" customHeight="1">
      <c r="A6258" s="21">
        <v>87</v>
      </c>
      <c r="B6258" t="s" s="22">
        <v>110</v>
      </c>
      <c r="C6258" s="323">
        <v>50</v>
      </c>
      <c r="D6258" t="s" s="165">
        <v>608</v>
      </c>
      <c r="E6258" s="179">
        <v>9</v>
      </c>
      <c r="F6258" s="23">
        <v>6.25</v>
      </c>
      <c r="G6258" s="322" cm="1">
        <f t="array" ref="G6258">E6258/F6258</f>
        <v>1.44</v>
      </c>
      <c r="H6258" s="15"/>
    </row>
    <row r="6259" ht="13.65" customHeight="1">
      <c r="A6259" s="21">
        <v>100</v>
      </c>
      <c r="B6259" t="s" s="22">
        <v>376</v>
      </c>
      <c r="C6259" t="s" s="165">
        <v>377</v>
      </c>
      <c r="D6259" t="s" s="165">
        <v>378</v>
      </c>
      <c r="E6259" s="179">
        <v>4.5</v>
      </c>
      <c r="F6259" s="23">
        <v>40</v>
      </c>
      <c r="G6259" s="322" cm="1">
        <f t="array" ref="G6259">E6259/F6259</f>
        <v>0.1125</v>
      </c>
      <c r="H6259" s="15"/>
    </row>
    <row r="6260" ht="13.65" customHeight="1">
      <c r="A6260" s="21">
        <v>103</v>
      </c>
      <c r="B6260" t="s" s="22">
        <v>114</v>
      </c>
      <c r="C6260" s="323">
        <v>144</v>
      </c>
      <c r="D6260" t="s" s="165">
        <v>104</v>
      </c>
      <c r="E6260" s="179">
        <v>18</v>
      </c>
      <c r="F6260" s="23">
        <v>144</v>
      </c>
      <c r="G6260" s="322" cm="1">
        <f t="array" ref="G6260">E6260/F6260</f>
        <v>0.125</v>
      </c>
      <c r="H6260" s="15"/>
    </row>
    <row r="6261" ht="13.65" customHeight="1">
      <c r="A6261" s="21">
        <v>111</v>
      </c>
      <c r="B6261" t="s" s="22">
        <v>476</v>
      </c>
      <c r="C6261" s="323">
        <v>1</v>
      </c>
      <c r="D6261" t="s" s="165">
        <v>373</v>
      </c>
      <c r="E6261" s="179">
        <v>2.7</v>
      </c>
      <c r="F6261" s="23">
        <v>15</v>
      </c>
      <c r="G6261" s="322" cm="1">
        <f t="array" ref="G6261">E6261/F6261</f>
        <v>0.18</v>
      </c>
      <c r="H6261" s="15"/>
    </row>
    <row r="6262" ht="13.65" customHeight="1">
      <c r="A6262" s="21">
        <v>150</v>
      </c>
      <c r="B6262" t="s" s="22">
        <v>907</v>
      </c>
      <c r="C6262" s="323">
        <v>1</v>
      </c>
      <c r="D6262" t="s" s="165">
        <v>104</v>
      </c>
      <c r="E6262" s="179">
        <v>8.85</v>
      </c>
      <c r="F6262" s="23">
        <v>1</v>
      </c>
      <c r="G6262" s="322" cm="1">
        <f t="array" ref="G6262">E6262/F6262</f>
        <v>8.85</v>
      </c>
      <c r="H6262" s="15"/>
    </row>
    <row r="6263" ht="13.65" customHeight="1">
      <c r="A6263" s="21">
        <v>151</v>
      </c>
      <c r="B6263" t="s" s="22">
        <v>928</v>
      </c>
      <c r="C6263" t="s" s="165">
        <v>909</v>
      </c>
      <c r="D6263" t="s" s="165">
        <v>910</v>
      </c>
      <c r="E6263" s="179">
        <v>249</v>
      </c>
      <c r="F6263" s="23">
        <v>40</v>
      </c>
      <c r="G6263" s="322" cm="1">
        <f t="array" ref="G6263">E6263/F6263</f>
        <v>6.225</v>
      </c>
      <c r="H6263" s="15"/>
    </row>
    <row r="6264" ht="13.65" customHeight="1">
      <c r="A6264" s="21">
        <v>117</v>
      </c>
      <c r="B6264" t="s" s="22">
        <v>586</v>
      </c>
      <c r="C6264" s="323">
        <v>100</v>
      </c>
      <c r="D6264" t="s" s="165">
        <v>261</v>
      </c>
      <c r="E6264" s="179">
        <v>1.2</v>
      </c>
      <c r="F6264" s="23">
        <v>5</v>
      </c>
      <c r="G6264" s="322" cm="1">
        <f t="array" ref="G6264">E6264/F6264</f>
        <v>0.24</v>
      </c>
      <c r="H6264" s="15"/>
    </row>
    <row r="6265" ht="13.65" customHeight="1">
      <c r="A6265" s="21">
        <v>123</v>
      </c>
      <c r="B6265" t="s" s="22">
        <v>103</v>
      </c>
      <c r="C6265" s="323">
        <v>40</v>
      </c>
      <c r="D6265" t="s" s="165">
        <v>256</v>
      </c>
      <c r="E6265" s="179">
        <v>3.2</v>
      </c>
      <c r="F6265" s="23">
        <v>13.33</v>
      </c>
      <c r="G6265" s="322" cm="1">
        <f t="array" ref="G6265">E6265/F6265</f>
        <v>0.240060015003751</v>
      </c>
      <c r="H6265" s="15"/>
    </row>
    <row r="6266" ht="13.65" customHeight="1">
      <c r="A6266" s="21">
        <v>124</v>
      </c>
      <c r="B6266" t="s" s="22">
        <v>372</v>
      </c>
      <c r="C6266" s="323">
        <v>1</v>
      </c>
      <c r="D6266" t="s" s="165">
        <v>427</v>
      </c>
      <c r="E6266" s="179">
        <v>2.2</v>
      </c>
      <c r="F6266" s="23">
        <v>2</v>
      </c>
      <c r="G6266" s="322" cm="1">
        <f t="array" ref="G6266">E6266/F6266</f>
        <v>1.1</v>
      </c>
      <c r="H6266" s="15"/>
    </row>
    <row r="6267" ht="13.65" customHeight="1">
      <c r="A6267" s="21">
        <v>152</v>
      </c>
      <c r="B6267" t="s" s="22">
        <v>911</v>
      </c>
      <c r="C6267" s="323">
        <v>1</v>
      </c>
      <c r="D6267" t="s" s="165">
        <v>274</v>
      </c>
      <c r="E6267" s="179">
        <v>4.04</v>
      </c>
      <c r="F6267" t="s" s="24">
        <v>301</v>
      </c>
      <c r="G6267" s="322" cm="1">
        <f t="array" ref="G6267">E6267*4</f>
        <v>16.16</v>
      </c>
      <c r="H6267" s="15"/>
    </row>
    <row r="6268" ht="13.65" customHeight="1">
      <c r="A6268" s="21">
        <v>153</v>
      </c>
      <c r="B6268" t="s" s="22">
        <v>912</v>
      </c>
      <c r="C6268" s="323">
        <v>1</v>
      </c>
      <c r="D6268" t="s" s="165">
        <v>274</v>
      </c>
      <c r="E6268" s="179">
        <v>6.63</v>
      </c>
      <c r="F6268" t="s" s="24">
        <v>301</v>
      </c>
      <c r="G6268" s="322" cm="1">
        <f t="array" ref="G6268">E6268*4</f>
        <v>26.52</v>
      </c>
      <c r="H6268" s="15"/>
    </row>
    <row r="6269" ht="13.65" customHeight="1">
      <c r="A6269" s="28"/>
      <c r="B6269" s="28"/>
      <c r="C6269" s="141"/>
      <c r="D6269" s="165"/>
      <c r="E6269" t="s" s="24">
        <v>118</v>
      </c>
      <c r="F6269" s="27"/>
      <c r="G6269" s="322" cm="1">
        <f t="array" ref="G6269">SUM(G6242:G6268)</f>
        <v>312.428306813867</v>
      </c>
      <c r="H6269" s="15"/>
    </row>
    <row r="6270" ht="13.65" customHeight="1">
      <c r="A6270" s="129"/>
      <c r="B6270" s="129"/>
      <c r="C6270" s="129"/>
      <c r="D6270" s="166"/>
      <c r="E6270" s="129"/>
      <c r="F6270" s="176"/>
      <c r="G6270" s="327"/>
      <c r="H6270" s="3"/>
    </row>
    <row r="6271" ht="13.65" customHeight="1">
      <c r="A6271" t="s" s="328">
        <v>136</v>
      </c>
      <c r="B6271" t="s" s="167">
        <v>913</v>
      </c>
      <c r="C6271" t="s" s="167">
        <v>914</v>
      </c>
      <c r="D6271" t="s" s="329">
        <v>929</v>
      </c>
      <c r="E6271" s="330"/>
      <c r="F6271" s="331"/>
      <c r="G6271" s="332"/>
      <c r="H6271" s="3"/>
    </row>
    <row r="6272" ht="13.65" customHeight="1">
      <c r="A6272" s="21">
        <v>180</v>
      </c>
      <c r="B6272" s="23">
        <v>0.734</v>
      </c>
      <c r="C6272" s="172" cm="1">
        <f t="array" ref="C6272">G6269</f>
        <v>312.428306813867</v>
      </c>
      <c r="D6272" s="199" cm="1">
        <f t="array" ref="D6272">SUM(A6272*B6272)+(C6272)</f>
        <v>444.548306813867</v>
      </c>
      <c r="E6272" s="200"/>
      <c r="F6272" s="331"/>
      <c r="G6272" s="332"/>
      <c r="H6272" s="3"/>
    </row>
    <row r="6273" ht="13.65" customHeight="1">
      <c r="A6273" s="129"/>
      <c r="B6273" s="129"/>
      <c r="C6273" s="333"/>
      <c r="D6273" s="166"/>
      <c r="E6273" s="136"/>
      <c r="F6273" s="317"/>
      <c r="G6273" s="332"/>
      <c r="H6273" s="3"/>
    </row>
    <row r="6274" ht="13.65" customHeight="1">
      <c r="A6274" t="s" s="22">
        <v>916</v>
      </c>
      <c r="B6274" t="s" s="22">
        <v>917</v>
      </c>
      <c r="C6274" s="28"/>
      <c r="D6274" t="s" s="22">
        <v>918</v>
      </c>
      <c r="E6274" s="15"/>
      <c r="F6274" s="317"/>
      <c r="G6274" s="332"/>
      <c r="H6274" s="3"/>
    </row>
    <row r="6275" ht="13.65" customHeight="1">
      <c r="A6275" t="s" s="22">
        <v>919</v>
      </c>
      <c r="B6275" t="s" s="22">
        <v>920</v>
      </c>
      <c r="C6275" s="28"/>
      <c r="D6275" t="s" s="22">
        <v>921</v>
      </c>
      <c r="E6275" s="15"/>
      <c r="F6275" s="317"/>
      <c r="G6275" s="332"/>
      <c r="H6275" s="3"/>
    </row>
    <row r="6276" ht="13.65" customHeight="1">
      <c r="A6276" t="s" s="22">
        <v>922</v>
      </c>
      <c r="B6276" t="s" s="22">
        <v>923</v>
      </c>
      <c r="C6276" s="28"/>
      <c r="D6276" t="s" s="22">
        <v>918</v>
      </c>
      <c r="E6276" s="15"/>
      <c r="F6276" s="317"/>
      <c r="G6276" s="332"/>
      <c r="H6276" s="3"/>
    </row>
    <row r="6277" ht="13.65" customHeight="1">
      <c r="A6277" s="28"/>
      <c r="B6277" s="164"/>
      <c r="C6277" t="s" s="334">
        <v>924</v>
      </c>
      <c r="D6277" s="348">
        <v>4</v>
      </c>
      <c r="E6277" s="15"/>
      <c r="F6277" s="317"/>
      <c r="G6277" s="332"/>
      <c r="H6277" s="3"/>
    </row>
    <row r="6278" ht="13.65" customHeight="1">
      <c r="A6278" s="31"/>
      <c r="B6278" s="31"/>
      <c r="C6278" s="31"/>
      <c r="D6278" s="32"/>
      <c r="E6278" s="3"/>
      <c r="F6278" s="317"/>
      <c r="G6278" s="332"/>
      <c r="H6278" s="3"/>
    </row>
    <row r="6279" ht="13.65" customHeight="1">
      <c r="A6279" s="203"/>
      <c r="B6279" s="203"/>
      <c r="C6279" s="203"/>
      <c r="D6279" s="349"/>
      <c r="E6279" s="203"/>
      <c r="F6279" s="340"/>
      <c r="G6279" s="341"/>
      <c r="H6279" s="203"/>
    </row>
    <row r="6280" ht="13.65" customHeight="1">
      <c r="A6280" t="s" s="274">
        <v>853</v>
      </c>
      <c r="B6280" s="275"/>
      <c r="C6280" s="275"/>
      <c r="D6280" s="342"/>
      <c r="E6280" s="275"/>
      <c r="F6280" s="311"/>
      <c r="G6280" s="343"/>
      <c r="H6280" s="277"/>
    </row>
    <row r="6281" ht="13.65" customHeight="1">
      <c r="A6281" s="278"/>
      <c r="B6281" s="278"/>
      <c r="C6281" s="278"/>
      <c r="D6281" s="344"/>
      <c r="E6281" s="278"/>
      <c r="F6281" s="314"/>
      <c r="G6281" s="345"/>
      <c r="H6281" s="278"/>
    </row>
    <row r="6282" ht="13.65" customHeight="1">
      <c r="A6282" s="3"/>
      <c r="B6282" s="3"/>
      <c r="C6282" s="3"/>
      <c r="D6282" s="316"/>
      <c r="E6282" s="3"/>
      <c r="F6282" s="317"/>
      <c r="G6282" s="332"/>
      <c r="H6282" s="3"/>
    </row>
    <row r="6283" ht="13.65" customHeight="1">
      <c r="A6283" t="s" s="5">
        <v>930</v>
      </c>
      <c r="B6283" s="3"/>
      <c r="C6283" s="3"/>
      <c r="D6283" s="316"/>
      <c r="E6283" s="3"/>
      <c r="F6283" s="317"/>
      <c r="G6283" s="332"/>
      <c r="H6283" s="3"/>
    </row>
    <row r="6284" ht="13.65" customHeight="1">
      <c r="A6284" s="11"/>
      <c r="B6284" s="11"/>
      <c r="C6284" s="11"/>
      <c r="D6284" s="319"/>
      <c r="E6284" s="11"/>
      <c r="F6284" s="320"/>
      <c r="G6284" s="346"/>
      <c r="H6284" s="3"/>
    </row>
    <row r="6285" ht="13.65" customHeight="1">
      <c r="A6285" s="13"/>
      <c r="B6285" s="13"/>
      <c r="C6285" s="13"/>
      <c r="D6285" s="14"/>
      <c r="E6285" s="13"/>
      <c r="F6285" s="13"/>
      <c r="G6285" t="s" s="14">
        <v>92</v>
      </c>
      <c r="H6285" s="15"/>
    </row>
    <row r="6286" ht="13.65" customHeight="1">
      <c r="A6286" t="s" s="16">
        <v>93</v>
      </c>
      <c r="B6286" t="s" s="16">
        <v>94</v>
      </c>
      <c r="C6286" t="s" s="16">
        <v>95</v>
      </c>
      <c r="D6286" t="s" s="16">
        <v>96</v>
      </c>
      <c r="E6286" t="s" s="16">
        <v>97</v>
      </c>
      <c r="F6286" t="s" s="16">
        <v>98</v>
      </c>
      <c r="G6286" t="s" s="16">
        <v>99</v>
      </c>
      <c r="H6286" s="15"/>
    </row>
    <row r="6287" ht="13.65" customHeight="1">
      <c r="A6287" s="19"/>
      <c r="B6287" s="19"/>
      <c r="C6287" s="19"/>
      <c r="D6287" s="20"/>
      <c r="E6287" s="19"/>
      <c r="F6287" s="19"/>
      <c r="G6287" t="s" s="20">
        <v>100</v>
      </c>
      <c r="H6287" s="15"/>
    </row>
    <row r="6288" ht="13.65" customHeight="1">
      <c r="A6288" s="21">
        <v>61</v>
      </c>
      <c r="B6288" t="s" s="22">
        <v>388</v>
      </c>
      <c r="C6288" t="s" s="165">
        <v>389</v>
      </c>
      <c r="D6288" t="s" s="165">
        <v>390</v>
      </c>
      <c r="E6288" s="179">
        <v>3</v>
      </c>
      <c r="F6288" s="23">
        <v>10</v>
      </c>
      <c r="G6288" s="322" cm="1">
        <f t="array" ref="G6288">E6288/F6288</f>
        <v>0.3</v>
      </c>
      <c r="H6288" s="15"/>
    </row>
    <row r="6289" ht="13.65" customHeight="1">
      <c r="A6289" s="21">
        <v>156</v>
      </c>
      <c r="B6289" t="s" s="22">
        <v>931</v>
      </c>
      <c r="C6289" t="s" s="165">
        <v>932</v>
      </c>
      <c r="D6289" t="s" s="165">
        <v>593</v>
      </c>
      <c r="E6289" s="179">
        <v>45</v>
      </c>
      <c r="F6289" s="23">
        <v>90</v>
      </c>
      <c r="G6289" s="322" cm="1">
        <f t="array" ref="G6289">E6289/F6289</f>
        <v>0.5</v>
      </c>
      <c r="H6289" s="15"/>
    </row>
    <row r="6290" ht="13.65" customHeight="1">
      <c r="A6290" s="21">
        <v>157</v>
      </c>
      <c r="B6290" t="s" s="22">
        <v>933</v>
      </c>
      <c r="C6290" s="323">
        <v>10</v>
      </c>
      <c r="D6290" t="s" s="165">
        <v>442</v>
      </c>
      <c r="E6290" s="179">
        <v>8</v>
      </c>
      <c r="F6290" s="23">
        <v>40</v>
      </c>
      <c r="G6290" s="322" cm="1">
        <f t="array" ref="G6290">E6290/F6290</f>
        <v>0.2</v>
      </c>
      <c r="H6290" s="15"/>
    </row>
    <row r="6291" ht="13.65" customHeight="1">
      <c r="A6291" s="21">
        <v>145</v>
      </c>
      <c r="B6291" t="s" s="22">
        <v>897</v>
      </c>
      <c r="C6291" s="323">
        <v>50</v>
      </c>
      <c r="D6291" t="s" s="165">
        <v>442</v>
      </c>
      <c r="E6291" s="179">
        <v>100</v>
      </c>
      <c r="F6291" s="23">
        <v>200</v>
      </c>
      <c r="G6291" s="322" cm="1">
        <f t="array" ref="G6291">E6291/F6291</f>
        <v>0.5</v>
      </c>
      <c r="H6291" s="15"/>
    </row>
    <row r="6292" ht="13.65" customHeight="1">
      <c r="A6292" s="21">
        <v>47</v>
      </c>
      <c r="B6292" t="s" s="22">
        <v>901</v>
      </c>
      <c r="C6292" s="323">
        <v>1</v>
      </c>
      <c r="D6292" t="s" s="165">
        <v>934</v>
      </c>
      <c r="E6292" s="179">
        <v>0.61</v>
      </c>
      <c r="F6292" s="23">
        <v>2</v>
      </c>
      <c r="G6292" s="322" cm="1">
        <f t="array" ref="G6292">E6292/F6292</f>
        <v>0.305</v>
      </c>
      <c r="H6292" s="15"/>
    </row>
    <row r="6293" ht="13.65" customHeight="1">
      <c r="A6293" s="21">
        <v>158</v>
      </c>
      <c r="B6293" t="s" s="324">
        <v>935</v>
      </c>
      <c r="C6293" s="323">
        <v>1000</v>
      </c>
      <c r="D6293" t="s" s="165">
        <v>936</v>
      </c>
      <c r="E6293" s="179">
        <v>20</v>
      </c>
      <c r="F6293" s="23">
        <v>10</v>
      </c>
      <c r="G6293" s="322" cm="1">
        <f t="array" ref="G6293">E6293/F6293</f>
        <v>2</v>
      </c>
      <c r="H6293" s="15"/>
    </row>
    <row r="6294" ht="13.65" customHeight="1">
      <c r="A6294" s="21">
        <v>55</v>
      </c>
      <c r="B6294" t="s" s="22">
        <v>111</v>
      </c>
      <c r="C6294" t="s" s="165">
        <v>112</v>
      </c>
      <c r="D6294" t="s" s="165">
        <v>461</v>
      </c>
      <c r="E6294" s="179">
        <v>2.71</v>
      </c>
      <c r="F6294" s="23">
        <v>37</v>
      </c>
      <c r="G6294" s="322" cm="1">
        <f t="array" ref="G6294">E6294/F6294</f>
        <v>0.0732432432432432</v>
      </c>
      <c r="H6294" s="15"/>
    </row>
    <row r="6295" ht="13.65" customHeight="1">
      <c r="A6295" s="21">
        <v>57</v>
      </c>
      <c r="B6295" t="s" s="22">
        <v>253</v>
      </c>
      <c r="C6295" t="s" s="165">
        <v>254</v>
      </c>
      <c r="D6295" t="s" s="165">
        <v>255</v>
      </c>
      <c r="E6295" s="179">
        <v>4.5</v>
      </c>
      <c r="F6295" s="23">
        <v>200</v>
      </c>
      <c r="G6295" s="322" cm="1">
        <f t="array" ref="G6295">E6295/F6295</f>
        <v>0.0225</v>
      </c>
      <c r="H6295" s="15"/>
    </row>
    <row r="6296" ht="13.65" customHeight="1">
      <c r="A6296" s="21">
        <v>147</v>
      </c>
      <c r="B6296" t="s" s="22">
        <v>904</v>
      </c>
      <c r="C6296" s="323">
        <v>1</v>
      </c>
      <c r="D6296" t="s" s="165">
        <v>102</v>
      </c>
      <c r="E6296" s="179">
        <v>5.34</v>
      </c>
      <c r="F6296" t="s" s="24">
        <v>387</v>
      </c>
      <c r="G6296" s="322" cm="1">
        <f t="array" ref="G6296">E6296*2</f>
        <v>10.68</v>
      </c>
      <c r="H6296" s="15"/>
    </row>
    <row r="6297" ht="13.65" customHeight="1">
      <c r="A6297" s="21">
        <v>71</v>
      </c>
      <c r="B6297" t="s" s="22">
        <v>109</v>
      </c>
      <c r="C6297" s="323">
        <v>10</v>
      </c>
      <c r="D6297" t="s" s="165">
        <v>102</v>
      </c>
      <c r="E6297" s="179">
        <v>5.92</v>
      </c>
      <c r="F6297" s="23">
        <v>5</v>
      </c>
      <c r="G6297" s="322" cm="1">
        <f t="array" ref="G6297">E6297/F6297</f>
        <v>1.184</v>
      </c>
      <c r="H6297" s="15"/>
    </row>
    <row r="6298" ht="13.65" customHeight="1">
      <c r="A6298" s="21">
        <v>72</v>
      </c>
      <c r="B6298" t="s" s="22">
        <v>101</v>
      </c>
      <c r="C6298" s="323">
        <v>50</v>
      </c>
      <c r="D6298" t="s" s="165">
        <v>102</v>
      </c>
      <c r="E6298" s="179">
        <v>1.93</v>
      </c>
      <c r="F6298" s="23">
        <v>25</v>
      </c>
      <c r="G6298" s="322" cm="1">
        <f t="array" ref="G6298">E6298/F6298</f>
        <v>0.0772</v>
      </c>
      <c r="H6298" s="15"/>
    </row>
    <row r="6299" ht="13.65" customHeight="1">
      <c r="A6299" s="21">
        <v>148</v>
      </c>
      <c r="B6299" t="s" s="22">
        <v>905</v>
      </c>
      <c r="C6299" s="323">
        <v>45</v>
      </c>
      <c r="D6299" t="s" s="165">
        <v>104</v>
      </c>
      <c r="E6299" s="179">
        <v>35.55</v>
      </c>
      <c r="F6299" s="23">
        <v>45</v>
      </c>
      <c r="G6299" s="322" cm="1">
        <f t="array" ref="G6299">E6299/F6299</f>
        <v>0.79</v>
      </c>
      <c r="H6299" s="15"/>
    </row>
    <row r="6300" ht="13.65" customHeight="1">
      <c r="A6300" s="21">
        <v>86</v>
      </c>
      <c r="B6300" t="s" s="22">
        <v>107</v>
      </c>
      <c r="C6300" s="323">
        <v>1</v>
      </c>
      <c r="D6300" t="s" s="165">
        <v>102</v>
      </c>
      <c r="E6300" s="179">
        <v>0.32</v>
      </c>
      <c r="F6300" t="s" s="24">
        <v>387</v>
      </c>
      <c r="G6300" s="322" cm="1">
        <f t="array" ref="G6300">E6300*2</f>
        <v>0.64</v>
      </c>
      <c r="H6300" s="15"/>
    </row>
    <row r="6301" ht="13.65" customHeight="1">
      <c r="A6301" s="21">
        <v>149</v>
      </c>
      <c r="B6301" t="s" s="22">
        <v>906</v>
      </c>
      <c r="C6301" s="323">
        <v>100</v>
      </c>
      <c r="D6301" t="s" s="165">
        <v>104</v>
      </c>
      <c r="E6301" s="179">
        <v>9.6</v>
      </c>
      <c r="F6301" s="23">
        <v>100</v>
      </c>
      <c r="G6301" s="322" cm="1">
        <f t="array" ref="G6301">E6301/F6301</f>
        <v>0.096</v>
      </c>
      <c r="H6301" s="15"/>
    </row>
    <row r="6302" ht="13.65" customHeight="1">
      <c r="A6302" s="21">
        <v>87</v>
      </c>
      <c r="B6302" t="s" s="22">
        <v>110</v>
      </c>
      <c r="C6302" s="323">
        <v>50</v>
      </c>
      <c r="D6302" t="s" s="165">
        <v>102</v>
      </c>
      <c r="E6302" s="179">
        <v>9</v>
      </c>
      <c r="F6302" s="23">
        <v>25</v>
      </c>
      <c r="G6302" s="322" cm="1">
        <f t="array" ref="G6302">E6302/F6302</f>
        <v>0.36</v>
      </c>
      <c r="H6302" s="15"/>
    </row>
    <row r="6303" ht="13.65" customHeight="1">
      <c r="A6303" s="21">
        <v>111</v>
      </c>
      <c r="B6303" t="s" s="22">
        <v>476</v>
      </c>
      <c r="C6303" s="323">
        <v>1</v>
      </c>
      <c r="D6303" t="s" s="165">
        <v>937</v>
      </c>
      <c r="E6303" s="179">
        <v>2.7</v>
      </c>
      <c r="F6303" s="23">
        <v>30</v>
      </c>
      <c r="G6303" s="322" cm="1">
        <f t="array" ref="G6303">E6303/F6303</f>
        <v>0.09</v>
      </c>
      <c r="H6303" s="15"/>
    </row>
    <row r="6304" ht="13.65" customHeight="1">
      <c r="A6304" s="21">
        <v>159</v>
      </c>
      <c r="B6304" t="s" s="22">
        <v>938</v>
      </c>
      <c r="C6304" t="s" s="165">
        <v>380</v>
      </c>
      <c r="D6304" t="s" s="165">
        <v>841</v>
      </c>
      <c r="E6304" s="179">
        <v>10.56</v>
      </c>
      <c r="F6304" s="23">
        <v>4</v>
      </c>
      <c r="G6304" s="322" cm="1">
        <f t="array" ref="G6304">E6304/F6304</f>
        <v>2.64</v>
      </c>
      <c r="H6304" s="15"/>
    </row>
    <row r="6305" ht="13.65" customHeight="1">
      <c r="A6305" s="21">
        <v>150</v>
      </c>
      <c r="B6305" t="s" s="22">
        <v>907</v>
      </c>
      <c r="C6305" s="323">
        <v>1</v>
      </c>
      <c r="D6305" t="s" s="165">
        <v>104</v>
      </c>
      <c r="E6305" s="179">
        <v>8.85</v>
      </c>
      <c r="F6305" s="23">
        <v>1</v>
      </c>
      <c r="G6305" s="322" cm="1">
        <f t="array" ref="G6305">E6305/F6305</f>
        <v>8.85</v>
      </c>
      <c r="H6305" s="15"/>
    </row>
    <row r="6306" ht="13.65" customHeight="1">
      <c r="A6306" s="21">
        <v>123</v>
      </c>
      <c r="B6306" t="s" s="22">
        <v>103</v>
      </c>
      <c r="C6306" s="323">
        <v>40</v>
      </c>
      <c r="D6306" t="s" s="165">
        <v>104</v>
      </c>
      <c r="E6306" s="179">
        <v>3.2</v>
      </c>
      <c r="F6306" s="23">
        <v>40</v>
      </c>
      <c r="G6306" s="322" cm="1">
        <f t="array" ref="G6306">E6306/F6306</f>
        <v>0.08</v>
      </c>
      <c r="H6306" s="15"/>
    </row>
    <row r="6307" ht="13.65" customHeight="1">
      <c r="A6307" s="28"/>
      <c r="B6307" s="28"/>
      <c r="C6307" s="141"/>
      <c r="D6307" s="165"/>
      <c r="E6307" s="28"/>
      <c r="F6307" t="s" s="24">
        <v>118</v>
      </c>
      <c r="G6307" s="322" cm="1">
        <f t="array" ref="G6307">SUM(G6288:G6306)</f>
        <v>29.3879432432432</v>
      </c>
      <c r="H6307" s="15"/>
    </row>
    <row r="6308" ht="13.65" customHeight="1">
      <c r="A6308" s="31"/>
      <c r="B6308" s="31"/>
      <c r="C6308" s="49"/>
      <c r="D6308" s="32"/>
      <c r="E6308" s="31"/>
      <c r="F6308" s="176"/>
      <c r="G6308" s="327"/>
      <c r="H6308" s="3"/>
    </row>
    <row r="6309" ht="13.65" customHeight="1">
      <c r="A6309" t="s" s="5">
        <v>939</v>
      </c>
      <c r="B6309" s="3"/>
      <c r="C6309" s="38"/>
      <c r="D6309" s="316"/>
      <c r="E6309" s="3"/>
      <c r="F6309" s="317"/>
      <c r="G6309" s="332"/>
      <c r="H6309" s="3"/>
    </row>
    <row r="6310" ht="13.65" customHeight="1">
      <c r="A6310" s="11"/>
      <c r="B6310" s="11"/>
      <c r="C6310" s="11"/>
      <c r="D6310" s="319"/>
      <c r="E6310" s="11"/>
      <c r="F6310" s="320"/>
      <c r="G6310" s="346"/>
      <c r="H6310" s="3"/>
    </row>
    <row r="6311" ht="11.7" customHeight="1">
      <c r="A6311" t="s" s="328">
        <v>136</v>
      </c>
      <c r="B6311" t="s" s="167">
        <v>913</v>
      </c>
      <c r="C6311" t="s" s="167">
        <v>914</v>
      </c>
      <c r="D6311" t="s" s="167">
        <v>940</v>
      </c>
      <c r="E6311" t="s" s="167">
        <v>118</v>
      </c>
      <c r="F6311" t="s" s="167">
        <v>604</v>
      </c>
      <c r="G6311" t="s" s="328">
        <v>941</v>
      </c>
      <c r="H6311" s="350"/>
    </row>
    <row r="6312" ht="13.65" customHeight="1">
      <c r="A6312" s="21">
        <v>30</v>
      </c>
      <c r="B6312" s="172" cm="1">
        <f t="array" ref="B6312">SUM(H256)</f>
        <v>2.47496540404041</v>
      </c>
      <c r="C6312" s="172" cm="1">
        <f t="array" ref="C6312">G6307</f>
        <v>29.3879432432432</v>
      </c>
      <c r="D6312" s="198" cm="1">
        <f t="array" ref="D6312">SUM(D364*1.44)</f>
        <v>152.740454545454</v>
      </c>
      <c r="E6312" s="351" cm="1">
        <f t="array" ref="E6312">SUM(A6312*B6312+C6312+D6312)</f>
        <v>256.377359909910</v>
      </c>
      <c r="F6312" s="172" cm="1">
        <f t="array" ref="F6312">SUM(E6312)*0.2</f>
        <v>51.275471981982</v>
      </c>
      <c r="G6312" s="352" cm="1">
        <f t="array" ref="G6312">SUM(E6312:F6312)</f>
        <v>307.652831891892</v>
      </c>
      <c r="H6312" s="15"/>
    </row>
    <row r="6313" ht="13.65" customHeight="1">
      <c r="A6313" s="31"/>
      <c r="B6313" s="31"/>
      <c r="C6313" s="327"/>
      <c r="D6313" s="32"/>
      <c r="E6313" s="307"/>
      <c r="F6313" s="176"/>
      <c r="G6313" s="327"/>
      <c r="H6313" s="3"/>
    </row>
    <row r="6314" ht="13.65" customHeight="1">
      <c r="A6314" t="s" s="5">
        <v>942</v>
      </c>
      <c r="B6314" t="s" s="5">
        <v>943</v>
      </c>
      <c r="C6314" s="3"/>
      <c r="D6314" s="316"/>
      <c r="E6314" s="3"/>
      <c r="F6314" s="317"/>
      <c r="G6314" s="332"/>
      <c r="H6314" s="3"/>
    </row>
    <row r="6315" ht="13.65" customHeight="1">
      <c r="A6315" s="3"/>
      <c r="B6315" t="s" s="5">
        <v>944</v>
      </c>
      <c r="C6315" s="3"/>
      <c r="D6315" s="316"/>
      <c r="E6315" s="3"/>
      <c r="F6315" s="317"/>
      <c r="G6315" s="332"/>
      <c r="H6315" s="3"/>
    </row>
    <row r="6316" ht="13.65" customHeight="1">
      <c r="A6316" s="3"/>
      <c r="B6316" t="s" s="5">
        <v>945</v>
      </c>
      <c r="C6316" s="3"/>
      <c r="D6316" s="316"/>
      <c r="E6316" s="3"/>
      <c r="F6316" s="317"/>
      <c r="G6316" s="332"/>
      <c r="H6316" s="3"/>
    </row>
    <row r="6317" ht="13.65" customHeight="1">
      <c r="A6317" s="3"/>
      <c r="B6317" t="s" s="5">
        <v>946</v>
      </c>
      <c r="C6317" s="3"/>
      <c r="D6317" s="316"/>
      <c r="E6317" s="3"/>
      <c r="F6317" s="317"/>
      <c r="G6317" s="332"/>
      <c r="H6317" s="3"/>
    </row>
    <row r="6318" ht="13.65" customHeight="1">
      <c r="A6318" s="3"/>
      <c r="B6318" s="3"/>
      <c r="C6318" s="3"/>
      <c r="D6318" s="316"/>
      <c r="E6318" s="3"/>
      <c r="F6318" s="317"/>
      <c r="G6318" s="332"/>
      <c r="H6318" s="3"/>
    </row>
    <row r="6319" ht="13.65" customHeight="1">
      <c r="A6319" s="203"/>
      <c r="B6319" s="203"/>
      <c r="C6319" s="203"/>
      <c r="D6319" s="349"/>
      <c r="E6319" s="203"/>
      <c r="F6319" s="340"/>
      <c r="G6319" s="341"/>
      <c r="H6319" s="203"/>
    </row>
    <row r="6320" ht="13.65" customHeight="1">
      <c r="A6320" t="s" s="274">
        <v>853</v>
      </c>
      <c r="B6320" s="275"/>
      <c r="C6320" s="275"/>
      <c r="D6320" s="342"/>
      <c r="E6320" s="275"/>
      <c r="F6320" s="311"/>
      <c r="G6320" s="343"/>
      <c r="H6320" s="277"/>
    </row>
    <row r="6321" ht="13.65" customHeight="1">
      <c r="A6321" s="278"/>
      <c r="B6321" s="278"/>
      <c r="C6321" s="278"/>
      <c r="D6321" s="344"/>
      <c r="E6321" s="278"/>
      <c r="F6321" s="314"/>
      <c r="G6321" s="345"/>
      <c r="H6321" s="278"/>
    </row>
    <row r="6322" ht="13.65" customHeight="1">
      <c r="A6322" s="3"/>
      <c r="B6322" s="3"/>
      <c r="C6322" s="3"/>
      <c r="D6322" s="316"/>
      <c r="E6322" s="3"/>
      <c r="F6322" s="317"/>
      <c r="G6322" s="332"/>
      <c r="H6322" s="3"/>
    </row>
    <row r="6323" ht="13.65" customHeight="1">
      <c r="A6323" t="s" s="5">
        <v>947</v>
      </c>
      <c r="B6323" s="3"/>
      <c r="C6323" s="3"/>
      <c r="D6323" s="316"/>
      <c r="E6323" s="3"/>
      <c r="F6323" s="317"/>
      <c r="G6323" s="332"/>
      <c r="H6323" s="3"/>
    </row>
    <row r="6324" ht="13.65" customHeight="1">
      <c r="A6324" s="11"/>
      <c r="B6324" s="11"/>
      <c r="C6324" s="11"/>
      <c r="D6324" s="319"/>
      <c r="E6324" s="11"/>
      <c r="F6324" s="320"/>
      <c r="G6324" s="346"/>
      <c r="H6324" s="3"/>
    </row>
    <row r="6325" ht="13.65" customHeight="1">
      <c r="A6325" s="13"/>
      <c r="B6325" s="13"/>
      <c r="C6325" s="13"/>
      <c r="D6325" s="14"/>
      <c r="E6325" s="13"/>
      <c r="F6325" s="13"/>
      <c r="G6325" t="s" s="14">
        <v>92</v>
      </c>
      <c r="H6325" s="15"/>
    </row>
    <row r="6326" ht="13.65" customHeight="1">
      <c r="A6326" t="s" s="16">
        <v>93</v>
      </c>
      <c r="B6326" t="s" s="16">
        <v>94</v>
      </c>
      <c r="C6326" t="s" s="16">
        <v>95</v>
      </c>
      <c r="D6326" t="s" s="16">
        <v>96</v>
      </c>
      <c r="E6326" t="s" s="16">
        <v>97</v>
      </c>
      <c r="F6326" t="s" s="16">
        <v>98</v>
      </c>
      <c r="G6326" t="s" s="16">
        <v>99</v>
      </c>
      <c r="H6326" s="15"/>
    </row>
    <row r="6327" ht="13.65" customHeight="1">
      <c r="A6327" s="19"/>
      <c r="B6327" s="19"/>
      <c r="C6327" s="19"/>
      <c r="D6327" s="20"/>
      <c r="E6327" s="19"/>
      <c r="F6327" s="19"/>
      <c r="G6327" t="s" s="20">
        <v>100</v>
      </c>
      <c r="H6327" s="15"/>
    </row>
    <row r="6328" ht="13.65" customHeight="1">
      <c r="A6328" s="21">
        <v>141</v>
      </c>
      <c r="B6328" t="s" s="22">
        <v>893</v>
      </c>
      <c r="C6328" s="323">
        <v>100</v>
      </c>
      <c r="D6328" t="s" s="165">
        <v>274</v>
      </c>
      <c r="E6328" s="179">
        <v>10</v>
      </c>
      <c r="F6328" s="23">
        <v>5</v>
      </c>
      <c r="G6328" s="322" cm="1">
        <f t="array" ref="G6328">E6328/F6328</f>
        <v>2</v>
      </c>
      <c r="H6328" s="15"/>
    </row>
    <row r="6329" ht="13.65" customHeight="1">
      <c r="A6329" s="21">
        <v>142</v>
      </c>
      <c r="B6329" t="s" s="22">
        <v>894</v>
      </c>
      <c r="C6329" s="323">
        <v>1</v>
      </c>
      <c r="D6329" t="s" s="165">
        <v>102</v>
      </c>
      <c r="E6329" s="179">
        <v>3.02</v>
      </c>
      <c r="F6329" t="s" s="24">
        <v>387</v>
      </c>
      <c r="G6329" s="322" cm="1">
        <f t="array" ref="G6329">E6329*2</f>
        <v>6.04</v>
      </c>
      <c r="H6329" s="15"/>
    </row>
    <row r="6330" ht="13.65" customHeight="1">
      <c r="A6330" s="21">
        <v>161</v>
      </c>
      <c r="B6330" t="s" s="22">
        <v>948</v>
      </c>
      <c r="C6330" s="323">
        <v>10</v>
      </c>
      <c r="D6330" t="s" s="165">
        <v>104</v>
      </c>
      <c r="E6330" s="179">
        <v>24.8</v>
      </c>
      <c r="F6330" s="23">
        <v>10</v>
      </c>
      <c r="G6330" s="322" cm="1">
        <f t="array" ref="G6330">E6330/F6330</f>
        <v>2.48</v>
      </c>
      <c r="H6330" s="15"/>
    </row>
    <row r="6331" ht="13.65" customHeight="1">
      <c r="A6331" s="21">
        <v>144</v>
      </c>
      <c r="B6331" t="s" s="22">
        <v>896</v>
      </c>
      <c r="C6331" s="323">
        <v>280</v>
      </c>
      <c r="D6331" t="s" s="165">
        <v>104</v>
      </c>
      <c r="E6331" s="179">
        <v>137.5</v>
      </c>
      <c r="F6331" s="23">
        <v>280</v>
      </c>
      <c r="G6331" s="322" cm="1">
        <f t="array" ref="G6331">E6331/F6331</f>
        <v>0.491071428571429</v>
      </c>
      <c r="H6331" s="15"/>
    </row>
    <row r="6332" ht="13.65" customHeight="1">
      <c r="A6332" s="21">
        <v>145</v>
      </c>
      <c r="B6332" t="s" s="22">
        <v>897</v>
      </c>
      <c r="C6332" s="323">
        <v>50</v>
      </c>
      <c r="D6332" t="s" s="165">
        <v>104</v>
      </c>
      <c r="E6332" s="179">
        <v>100</v>
      </c>
      <c r="F6332" s="23">
        <v>50</v>
      </c>
      <c r="G6332" s="322" cm="1">
        <f t="array" ref="G6332">E6332/F6332</f>
        <v>2</v>
      </c>
      <c r="H6332" s="15"/>
    </row>
    <row r="6333" ht="13.65" customHeight="1">
      <c r="A6333" s="21">
        <v>146</v>
      </c>
      <c r="B6333" t="s" s="324">
        <v>949</v>
      </c>
      <c r="C6333" t="s" s="165">
        <v>899</v>
      </c>
      <c r="D6333" t="s" s="165">
        <v>950</v>
      </c>
      <c r="E6333" s="179">
        <v>270</v>
      </c>
      <c r="F6333" s="23">
        <v>53</v>
      </c>
      <c r="G6333" s="322" cm="1">
        <f t="array" ref="G6333">E6333/F6333</f>
        <v>5.09433962264151</v>
      </c>
      <c r="H6333" s="15"/>
    </row>
    <row r="6334" ht="12.75" customHeight="1">
      <c r="A6334" s="21">
        <v>47</v>
      </c>
      <c r="B6334" t="s" s="22">
        <v>901</v>
      </c>
      <c r="C6334" s="323">
        <v>1</v>
      </c>
      <c r="D6334" t="s" s="165">
        <v>277</v>
      </c>
      <c r="E6334" s="179">
        <v>0.61</v>
      </c>
      <c r="F6334" s="23">
        <v>2</v>
      </c>
      <c r="G6334" s="322" cm="1">
        <f t="array" ref="G6334">E6334/F6334</f>
        <v>0.305</v>
      </c>
      <c r="H6334" s="15"/>
    </row>
    <row r="6335" ht="13.65" customHeight="1">
      <c r="A6335" s="21">
        <v>55</v>
      </c>
      <c r="B6335" t="s" s="22">
        <v>111</v>
      </c>
      <c r="C6335" t="s" s="165">
        <v>112</v>
      </c>
      <c r="D6335" t="s" s="165">
        <v>651</v>
      </c>
      <c r="E6335" s="179">
        <v>2.71</v>
      </c>
      <c r="F6335" s="23">
        <v>18.75</v>
      </c>
      <c r="G6335" s="322" cm="1">
        <f t="array" ref="G6335">E6335/F6335</f>
        <v>0.144533333333333</v>
      </c>
      <c r="H6335" s="15"/>
    </row>
    <row r="6336" ht="13.65" customHeight="1">
      <c r="A6336" s="21">
        <v>57</v>
      </c>
      <c r="B6336" t="s" s="22">
        <v>253</v>
      </c>
      <c r="C6336" t="s" s="165">
        <v>254</v>
      </c>
      <c r="D6336" t="s" s="165">
        <v>951</v>
      </c>
      <c r="E6336" s="179">
        <v>4.5</v>
      </c>
      <c r="F6336" s="23">
        <v>66.66</v>
      </c>
      <c r="G6336" s="322" cm="1">
        <f t="array" ref="G6336">E6336/F6336</f>
        <v>0.06750675067506751</v>
      </c>
      <c r="H6336" s="15"/>
    </row>
    <row r="6337" ht="13.65" customHeight="1">
      <c r="A6337" s="21">
        <v>71</v>
      </c>
      <c r="B6337" t="s" s="22">
        <v>109</v>
      </c>
      <c r="C6337" s="323">
        <v>10</v>
      </c>
      <c r="D6337" s="353">
        <v>4</v>
      </c>
      <c r="E6337" s="179">
        <v>5.92</v>
      </c>
      <c r="F6337" s="23">
        <v>2.5</v>
      </c>
      <c r="G6337" s="322" cm="1">
        <f t="array" ref="G6337">E6337/F6337</f>
        <v>2.368</v>
      </c>
      <c r="H6337" s="15"/>
    </row>
    <row r="6338" ht="13.65" customHeight="1">
      <c r="A6338" s="21">
        <v>72</v>
      </c>
      <c r="B6338" t="s" s="22">
        <v>101</v>
      </c>
      <c r="C6338" s="323">
        <v>50</v>
      </c>
      <c r="D6338" s="353">
        <v>8</v>
      </c>
      <c r="E6338" s="179">
        <v>1.93</v>
      </c>
      <c r="F6338" s="23">
        <v>6.25</v>
      </c>
      <c r="G6338" s="322" cm="1">
        <f t="array" ref="G6338">E6338/F6338</f>
        <v>0.3088</v>
      </c>
      <c r="H6338" s="15"/>
    </row>
    <row r="6339" ht="13.65" customHeight="1">
      <c r="A6339" s="21">
        <v>86</v>
      </c>
      <c r="B6339" t="s" s="22">
        <v>107</v>
      </c>
      <c r="C6339" t="s" s="165">
        <v>108</v>
      </c>
      <c r="D6339" t="s" s="165">
        <v>274</v>
      </c>
      <c r="E6339" s="179">
        <v>0.32</v>
      </c>
      <c r="F6339" t="s" s="24">
        <v>301</v>
      </c>
      <c r="G6339" s="322" cm="1">
        <f t="array" ref="G6339">E6339*4</f>
        <v>1.28</v>
      </c>
      <c r="H6339" s="15"/>
    </row>
    <row r="6340" ht="13.65" customHeight="1">
      <c r="A6340" s="21">
        <v>149</v>
      </c>
      <c r="B6340" t="s" s="22">
        <v>906</v>
      </c>
      <c r="C6340" s="323">
        <v>100</v>
      </c>
      <c r="D6340" t="s" s="165">
        <v>102</v>
      </c>
      <c r="E6340" s="179">
        <v>9.6</v>
      </c>
      <c r="F6340" s="23">
        <v>50</v>
      </c>
      <c r="G6340" s="322" cm="1">
        <f t="array" ref="G6340">E6340/F6340</f>
        <v>0.192</v>
      </c>
      <c r="H6340" s="15"/>
    </row>
    <row r="6341" ht="13.65" customHeight="1">
      <c r="A6341" s="21">
        <v>87</v>
      </c>
      <c r="B6341" t="s" s="22">
        <v>110</v>
      </c>
      <c r="C6341" s="323">
        <v>50</v>
      </c>
      <c r="D6341" t="s" s="165">
        <v>274</v>
      </c>
      <c r="E6341" s="179">
        <v>11.2</v>
      </c>
      <c r="F6341" s="23">
        <v>12.5</v>
      </c>
      <c r="G6341" s="322" cm="1">
        <f t="array" ref="G6341">E6341/F6341</f>
        <v>0.896</v>
      </c>
      <c r="H6341" s="15"/>
    </row>
    <row r="6342" ht="13.65" customHeight="1">
      <c r="A6342" s="21">
        <v>100</v>
      </c>
      <c r="B6342" t="s" s="22">
        <v>376</v>
      </c>
      <c r="C6342" t="s" s="165">
        <v>377</v>
      </c>
      <c r="D6342" t="s" s="165">
        <v>378</v>
      </c>
      <c r="E6342" s="179">
        <v>4.5</v>
      </c>
      <c r="F6342" s="23">
        <v>40</v>
      </c>
      <c r="G6342" s="322" cm="1">
        <f t="array" ref="G6342">E6342/F6342</f>
        <v>0.1125</v>
      </c>
      <c r="H6342" s="15"/>
    </row>
    <row r="6343" ht="13.65" customHeight="1">
      <c r="A6343" s="21">
        <v>162</v>
      </c>
      <c r="B6343" t="s" s="22">
        <v>952</v>
      </c>
      <c r="C6343" s="323">
        <v>1</v>
      </c>
      <c r="D6343" t="s" s="165">
        <v>104</v>
      </c>
      <c r="E6343" s="179">
        <v>14.52</v>
      </c>
      <c r="F6343" s="23">
        <v>1</v>
      </c>
      <c r="G6343" s="322" cm="1">
        <f t="array" ref="G6343">E6343/F6343</f>
        <v>14.52</v>
      </c>
      <c r="H6343" s="15"/>
    </row>
    <row r="6344" ht="13.65" customHeight="1">
      <c r="A6344" s="21">
        <v>111</v>
      </c>
      <c r="B6344" t="s" s="22">
        <v>476</v>
      </c>
      <c r="C6344" s="323">
        <v>1</v>
      </c>
      <c r="D6344" s="354">
        <v>0.05</v>
      </c>
      <c r="E6344" s="179">
        <v>2.7</v>
      </c>
      <c r="F6344" s="23">
        <v>20</v>
      </c>
      <c r="G6344" s="322" cm="1">
        <f t="array" ref="G6344">E6344/F6344</f>
        <v>0.135</v>
      </c>
      <c r="H6344" s="15"/>
    </row>
    <row r="6345" ht="13.65" customHeight="1">
      <c r="A6345" s="21">
        <v>117</v>
      </c>
      <c r="B6345" t="s" s="22">
        <v>586</v>
      </c>
      <c r="C6345" s="323">
        <v>100</v>
      </c>
      <c r="D6345" t="s" s="165">
        <v>106</v>
      </c>
      <c r="E6345" s="179">
        <v>1.2</v>
      </c>
      <c r="F6345" s="23">
        <v>10</v>
      </c>
      <c r="G6345" s="322" cm="1">
        <f t="array" ref="G6345">E6345/F6345</f>
        <v>0.12</v>
      </c>
      <c r="H6345" s="15"/>
    </row>
    <row r="6346" ht="13.65" customHeight="1">
      <c r="A6346" s="21">
        <v>123</v>
      </c>
      <c r="B6346" t="s" s="22">
        <v>103</v>
      </c>
      <c r="C6346" s="323">
        <v>40</v>
      </c>
      <c r="D6346" t="s" s="165">
        <v>104</v>
      </c>
      <c r="E6346" s="179">
        <v>3.2</v>
      </c>
      <c r="F6346" s="23">
        <v>40</v>
      </c>
      <c r="G6346" s="322" cm="1">
        <f t="array" ref="G6346">E6346/F6346</f>
        <v>0.08</v>
      </c>
      <c r="H6346" s="15"/>
    </row>
    <row r="6347" ht="13.65" customHeight="1">
      <c r="A6347" s="21">
        <v>124</v>
      </c>
      <c r="B6347" t="s" s="22">
        <v>372</v>
      </c>
      <c r="C6347" s="323">
        <v>1</v>
      </c>
      <c r="D6347" t="s" s="165">
        <v>427</v>
      </c>
      <c r="E6347" s="179">
        <v>2.2</v>
      </c>
      <c r="F6347" s="23">
        <v>2</v>
      </c>
      <c r="G6347" s="322" cm="1">
        <f t="array" ref="G6347">E6347/F6347</f>
        <v>1.1</v>
      </c>
      <c r="H6347" s="15"/>
    </row>
    <row r="6348" ht="13.65" customHeight="1">
      <c r="A6348" s="21">
        <v>152</v>
      </c>
      <c r="B6348" t="s" s="22">
        <v>911</v>
      </c>
      <c r="C6348" s="323">
        <v>1</v>
      </c>
      <c r="D6348" t="s" s="165">
        <v>102</v>
      </c>
      <c r="E6348" s="179">
        <v>4.04</v>
      </c>
      <c r="F6348" t="s" s="24">
        <v>387</v>
      </c>
      <c r="G6348" s="322" cm="1">
        <f t="array" ref="G6348">E6348*2</f>
        <v>8.08</v>
      </c>
      <c r="H6348" s="15"/>
    </row>
    <row r="6349" ht="13.65" customHeight="1">
      <c r="A6349" s="21">
        <v>153</v>
      </c>
      <c r="B6349" t="s" s="22">
        <v>912</v>
      </c>
      <c r="C6349" s="323">
        <v>1</v>
      </c>
      <c r="D6349" t="s" s="165">
        <v>102</v>
      </c>
      <c r="E6349" s="179">
        <v>6.63</v>
      </c>
      <c r="F6349" t="s" s="24">
        <v>387</v>
      </c>
      <c r="G6349" s="322" cm="1">
        <f t="array" ref="G6349">E6349*2</f>
        <v>13.26</v>
      </c>
      <c r="H6349" s="15"/>
    </row>
    <row r="6350" ht="13.65" customHeight="1">
      <c r="A6350" s="28"/>
      <c r="B6350" s="28"/>
      <c r="C6350" s="141"/>
      <c r="D6350" s="165"/>
      <c r="E6350" s="28"/>
      <c r="F6350" t="s" s="24">
        <v>118</v>
      </c>
      <c r="G6350" s="322" cm="1">
        <f t="array" ref="G6350">SUM(G6328:G6349)</f>
        <v>61.0747511352213</v>
      </c>
      <c r="H6350" s="15"/>
    </row>
    <row r="6351" ht="13.65" customHeight="1">
      <c r="A6351" s="129"/>
      <c r="B6351" s="129"/>
      <c r="C6351" s="129"/>
      <c r="D6351" s="166"/>
      <c r="E6351" s="129"/>
      <c r="F6351" s="176"/>
      <c r="G6351" s="327"/>
      <c r="H6351" s="3"/>
    </row>
    <row r="6352" ht="11.7" customHeight="1">
      <c r="A6352" t="s" s="328">
        <v>136</v>
      </c>
      <c r="B6352" t="s" s="167">
        <v>913</v>
      </c>
      <c r="C6352" t="s" s="167">
        <v>914</v>
      </c>
      <c r="D6352" t="s" s="329">
        <v>953</v>
      </c>
      <c r="E6352" s="330"/>
      <c r="F6352" s="170"/>
      <c r="G6352" s="355"/>
      <c r="H6352" s="356"/>
    </row>
    <row r="6353" ht="13.65" customHeight="1">
      <c r="A6353" s="21">
        <v>105</v>
      </c>
      <c r="B6353" s="172" cm="1">
        <f t="array" ref="B6353">SUM(H256)</f>
        <v>2.47496540404041</v>
      </c>
      <c r="C6353" s="172" cm="1">
        <f t="array" ref="C6353">G6350</f>
        <v>61.0747511352213</v>
      </c>
      <c r="D6353" s="199" cm="1">
        <f t="array" ref="D6353">SUM(A6353*B6353)+(C6353)</f>
        <v>320.946118559464</v>
      </c>
      <c r="E6353" s="200"/>
      <c r="F6353" s="331"/>
      <c r="G6353" s="332"/>
      <c r="H6353" s="3"/>
    </row>
    <row r="6354" ht="13.65" customHeight="1">
      <c r="A6354" s="129"/>
      <c r="B6354" s="129"/>
      <c r="C6354" s="333"/>
      <c r="D6354" s="166"/>
      <c r="E6354" s="136"/>
      <c r="F6354" s="317"/>
      <c r="G6354" s="332"/>
      <c r="H6354" s="3"/>
    </row>
    <row r="6355" ht="13.65" customHeight="1">
      <c r="A6355" t="s" s="22">
        <v>954</v>
      </c>
      <c r="B6355" t="s" s="132">
        <v>955</v>
      </c>
      <c r="C6355" s="131"/>
      <c r="D6355" t="s" s="165">
        <v>918</v>
      </c>
      <c r="E6355" s="15"/>
      <c r="F6355" s="317"/>
      <c r="G6355" s="332"/>
      <c r="H6355" s="3"/>
    </row>
    <row r="6356" ht="13.65" customHeight="1">
      <c r="A6356" t="s" s="22">
        <v>956</v>
      </c>
      <c r="B6356" t="s" s="132">
        <v>957</v>
      </c>
      <c r="C6356" s="131"/>
      <c r="D6356" t="s" s="165">
        <v>918</v>
      </c>
      <c r="E6356" s="15"/>
      <c r="F6356" s="317"/>
      <c r="G6356" s="332"/>
      <c r="H6356" s="3"/>
    </row>
    <row r="6357" ht="13.65" customHeight="1">
      <c r="A6357" t="s" s="22">
        <v>958</v>
      </c>
      <c r="B6357" t="s" s="132">
        <v>959</v>
      </c>
      <c r="C6357" s="131"/>
      <c r="D6357" t="s" s="165">
        <v>918</v>
      </c>
      <c r="E6357" s="15"/>
      <c r="F6357" s="317"/>
      <c r="G6357" s="332"/>
      <c r="H6357" s="3"/>
    </row>
    <row r="6358" ht="13.65" customHeight="1">
      <c r="A6358" s="28"/>
      <c r="B6358" s="164"/>
      <c r="C6358" t="s" s="334">
        <v>924</v>
      </c>
      <c r="D6358" t="s" s="335">
        <v>256</v>
      </c>
      <c r="E6358" s="15"/>
      <c r="F6358" s="317"/>
      <c r="G6358" s="332"/>
      <c r="H6358" s="3"/>
    </row>
    <row r="6359" ht="13.65" customHeight="1">
      <c r="A6359" s="31"/>
      <c r="B6359" s="31"/>
      <c r="C6359" s="31"/>
      <c r="D6359" s="32"/>
      <c r="E6359" s="3"/>
      <c r="F6359" s="317"/>
      <c r="G6359" s="332"/>
      <c r="H6359" s="3"/>
    </row>
    <row r="6360" ht="13.65" customHeight="1">
      <c r="A6360" s="203"/>
      <c r="B6360" s="203"/>
      <c r="C6360" s="203"/>
      <c r="D6360" s="349"/>
      <c r="E6360" s="203"/>
      <c r="F6360" s="340"/>
      <c r="G6360" s="341"/>
      <c r="H6360" s="203"/>
    </row>
    <row r="6361" ht="13.65" customHeight="1">
      <c r="A6361" t="s" s="274">
        <v>853</v>
      </c>
      <c r="B6361" s="275"/>
      <c r="C6361" s="275"/>
      <c r="D6361" s="342"/>
      <c r="E6361" s="275"/>
      <c r="F6361" s="311"/>
      <c r="G6361" s="343"/>
      <c r="H6361" s="277"/>
    </row>
    <row r="6362" ht="13.65" customHeight="1">
      <c r="A6362" s="278"/>
      <c r="B6362" s="278"/>
      <c r="C6362" s="278"/>
      <c r="D6362" s="344"/>
      <c r="E6362" s="278"/>
      <c r="F6362" s="314"/>
      <c r="G6362" s="345"/>
      <c r="H6362" s="278"/>
    </row>
    <row r="6363" ht="13.65" customHeight="1">
      <c r="A6363" s="3"/>
      <c r="B6363" s="3"/>
      <c r="C6363" s="3"/>
      <c r="D6363" s="316"/>
      <c r="E6363" s="3"/>
      <c r="F6363" s="317"/>
      <c r="G6363" s="332"/>
      <c r="H6363" s="3"/>
    </row>
    <row r="6364" ht="13.65" customHeight="1">
      <c r="A6364" t="s" s="5">
        <v>960</v>
      </c>
      <c r="B6364" s="3"/>
      <c r="C6364" s="3"/>
      <c r="D6364" s="316"/>
      <c r="E6364" s="3"/>
      <c r="F6364" s="317"/>
      <c r="G6364" s="332"/>
      <c r="H6364" s="3"/>
    </row>
    <row r="6365" ht="13.65" customHeight="1">
      <c r="A6365" s="11"/>
      <c r="B6365" s="11"/>
      <c r="C6365" s="11"/>
      <c r="D6365" s="319"/>
      <c r="E6365" s="11"/>
      <c r="F6365" s="320"/>
      <c r="G6365" s="346"/>
      <c r="H6365" s="3"/>
    </row>
    <row r="6366" ht="13.65" customHeight="1">
      <c r="A6366" s="13"/>
      <c r="B6366" s="13"/>
      <c r="C6366" s="13"/>
      <c r="D6366" s="14"/>
      <c r="E6366" s="13"/>
      <c r="F6366" s="13"/>
      <c r="G6366" t="s" s="14">
        <v>92</v>
      </c>
      <c r="H6366" s="15"/>
    </row>
    <row r="6367" ht="13.65" customHeight="1">
      <c r="A6367" t="s" s="16">
        <v>93</v>
      </c>
      <c r="B6367" t="s" s="16">
        <v>94</v>
      </c>
      <c r="C6367" t="s" s="16">
        <v>95</v>
      </c>
      <c r="D6367" t="s" s="16">
        <v>96</v>
      </c>
      <c r="E6367" t="s" s="16">
        <v>97</v>
      </c>
      <c r="F6367" t="s" s="16">
        <v>98</v>
      </c>
      <c r="G6367" t="s" s="16">
        <v>99</v>
      </c>
      <c r="H6367" s="15"/>
    </row>
    <row r="6368" ht="13.65" customHeight="1">
      <c r="A6368" s="19"/>
      <c r="B6368" s="19"/>
      <c r="C6368" s="19"/>
      <c r="D6368" s="20"/>
      <c r="E6368" s="19"/>
      <c r="F6368" s="19"/>
      <c r="G6368" t="s" s="20">
        <v>100</v>
      </c>
      <c r="H6368" s="15"/>
    </row>
    <row r="6369" ht="13.65" customHeight="1">
      <c r="A6369" s="21">
        <v>163</v>
      </c>
      <c r="B6369" t="s" s="22">
        <v>961</v>
      </c>
      <c r="C6369" s="323">
        <v>1</v>
      </c>
      <c r="D6369" t="s" s="165">
        <v>104</v>
      </c>
      <c r="E6369" s="179">
        <v>19.1</v>
      </c>
      <c r="F6369" s="23">
        <v>1</v>
      </c>
      <c r="G6369" s="322" cm="1">
        <f t="array" ref="G6369">E6369/F6369</f>
        <v>19.1</v>
      </c>
      <c r="H6369" s="15"/>
    </row>
    <row r="6370" ht="13.65" customHeight="1">
      <c r="A6370" s="21">
        <v>141</v>
      </c>
      <c r="B6370" t="s" s="22">
        <v>893</v>
      </c>
      <c r="C6370" s="323">
        <v>100</v>
      </c>
      <c r="D6370" t="s" s="165">
        <v>274</v>
      </c>
      <c r="E6370" s="179">
        <v>10</v>
      </c>
      <c r="F6370" s="23">
        <v>5</v>
      </c>
      <c r="G6370" s="322" cm="1">
        <f t="array" ref="G6370">E6370/F6370</f>
        <v>2</v>
      </c>
      <c r="H6370" s="15"/>
    </row>
    <row r="6371" ht="13.65" customHeight="1">
      <c r="A6371" s="21">
        <v>142</v>
      </c>
      <c r="B6371" t="s" s="22">
        <v>894</v>
      </c>
      <c r="C6371" s="323">
        <v>1</v>
      </c>
      <c r="D6371" t="s" s="165">
        <v>102</v>
      </c>
      <c r="E6371" s="179">
        <v>3.02</v>
      </c>
      <c r="F6371" t="s" s="24">
        <v>387</v>
      </c>
      <c r="G6371" s="322" cm="1">
        <f t="array" ref="G6371">E6371*2</f>
        <v>6.04</v>
      </c>
      <c r="H6371" s="15"/>
    </row>
    <row r="6372" ht="13.65" customHeight="1">
      <c r="A6372" s="21">
        <v>164</v>
      </c>
      <c r="B6372" t="s" s="22">
        <v>962</v>
      </c>
      <c r="C6372" s="323">
        <v>1</v>
      </c>
      <c r="D6372" t="s" s="165">
        <v>104</v>
      </c>
      <c r="E6372" s="179">
        <v>2.99</v>
      </c>
      <c r="F6372" s="23">
        <v>1</v>
      </c>
      <c r="G6372" s="322" cm="1">
        <f t="array" ref="G6372">E6372/F6372</f>
        <v>2.99</v>
      </c>
      <c r="H6372" s="15"/>
    </row>
    <row r="6373" ht="13.65" customHeight="1">
      <c r="A6373" s="21">
        <v>144</v>
      </c>
      <c r="B6373" t="s" s="22">
        <v>896</v>
      </c>
      <c r="C6373" s="323">
        <v>280</v>
      </c>
      <c r="D6373" t="s" s="165">
        <v>104</v>
      </c>
      <c r="E6373" s="179">
        <v>137.5</v>
      </c>
      <c r="F6373" s="23">
        <v>280</v>
      </c>
      <c r="G6373" s="322" cm="1">
        <f t="array" ref="G6373">E6373/F6373</f>
        <v>0.491071428571429</v>
      </c>
      <c r="H6373" s="15"/>
    </row>
    <row r="6374" ht="13.65" customHeight="1">
      <c r="A6374" s="21">
        <v>145</v>
      </c>
      <c r="B6374" t="s" s="22">
        <v>897</v>
      </c>
      <c r="C6374" s="323">
        <v>50</v>
      </c>
      <c r="D6374" t="s" s="165">
        <v>104</v>
      </c>
      <c r="E6374" s="179">
        <v>100</v>
      </c>
      <c r="F6374" s="23">
        <v>50</v>
      </c>
      <c r="G6374" s="322" cm="1">
        <f t="array" ref="G6374">E6374/F6374</f>
        <v>2</v>
      </c>
      <c r="H6374" s="15"/>
    </row>
    <row r="6375" ht="13.65" customHeight="1">
      <c r="A6375" s="21">
        <v>146</v>
      </c>
      <c r="B6375" t="s" s="324">
        <v>963</v>
      </c>
      <c r="C6375" t="s" s="165">
        <v>899</v>
      </c>
      <c r="D6375" t="s" s="165">
        <v>950</v>
      </c>
      <c r="E6375" s="179">
        <v>270</v>
      </c>
      <c r="F6375" s="23">
        <v>53</v>
      </c>
      <c r="G6375" s="322" cm="1">
        <f t="array" ref="G6375">E6375/F6375</f>
        <v>5.09433962264151</v>
      </c>
      <c r="H6375" s="15"/>
    </row>
    <row r="6376" ht="13.65" customHeight="1">
      <c r="A6376" s="21">
        <v>47</v>
      </c>
      <c r="B6376" t="s" s="22">
        <v>901</v>
      </c>
      <c r="C6376" s="323">
        <v>1</v>
      </c>
      <c r="D6376" t="s" s="165">
        <v>104</v>
      </c>
      <c r="E6376" s="179">
        <v>0.61</v>
      </c>
      <c r="F6376" s="23">
        <v>1</v>
      </c>
      <c r="G6376" s="322" cm="1">
        <f t="array" ref="G6376">E6376/F6376</f>
        <v>0.61</v>
      </c>
      <c r="H6376" s="15"/>
    </row>
    <row r="6377" ht="13.65" customHeight="1">
      <c r="A6377" s="21">
        <v>55</v>
      </c>
      <c r="B6377" t="s" s="22">
        <v>111</v>
      </c>
      <c r="C6377" t="s" s="165">
        <v>112</v>
      </c>
      <c r="D6377" t="s" s="165">
        <v>964</v>
      </c>
      <c r="E6377" s="179">
        <v>2.71</v>
      </c>
      <c r="F6377" s="23">
        <v>12.5</v>
      </c>
      <c r="G6377" s="322" cm="1">
        <f t="array" ref="G6377">E6377/F6377</f>
        <v>0.2168</v>
      </c>
      <c r="H6377" s="15"/>
    </row>
    <row r="6378" ht="13.65" customHeight="1">
      <c r="A6378" s="21">
        <v>57</v>
      </c>
      <c r="B6378" t="s" s="22">
        <v>253</v>
      </c>
      <c r="C6378" t="s" s="165">
        <v>254</v>
      </c>
      <c r="D6378" t="s" s="165">
        <v>951</v>
      </c>
      <c r="E6378" s="179">
        <v>4.5</v>
      </c>
      <c r="F6378" s="23">
        <v>66.66</v>
      </c>
      <c r="G6378" s="322" cm="1">
        <f t="array" ref="G6378">E6378/F6378</f>
        <v>0.06750675067506751</v>
      </c>
      <c r="H6378" s="15"/>
    </row>
    <row r="6379" ht="13.65" customHeight="1">
      <c r="A6379" s="21">
        <v>71</v>
      </c>
      <c r="B6379" t="s" s="22">
        <v>109</v>
      </c>
      <c r="C6379" s="323">
        <v>10</v>
      </c>
      <c r="D6379" s="353">
        <v>6</v>
      </c>
      <c r="E6379" s="179">
        <v>5.92</v>
      </c>
      <c r="F6379" s="23">
        <v>1.66</v>
      </c>
      <c r="G6379" s="322" cm="1">
        <f t="array" ref="G6379">E6379/F6379</f>
        <v>3.56626506024096</v>
      </c>
      <c r="H6379" s="15"/>
    </row>
    <row r="6380" ht="13.65" customHeight="1">
      <c r="A6380" s="21">
        <v>72</v>
      </c>
      <c r="B6380" t="s" s="22">
        <v>101</v>
      </c>
      <c r="C6380" s="323">
        <v>50</v>
      </c>
      <c r="D6380" s="353">
        <v>6</v>
      </c>
      <c r="E6380" s="179">
        <v>1.93</v>
      </c>
      <c r="F6380" s="23">
        <v>8.33</v>
      </c>
      <c r="G6380" s="322" cm="1">
        <f t="array" ref="G6380">E6380/F6380</f>
        <v>0.231692677070828</v>
      </c>
      <c r="H6380" s="15"/>
    </row>
    <row r="6381" ht="13.65" customHeight="1">
      <c r="A6381" s="21">
        <v>86</v>
      </c>
      <c r="B6381" t="s" s="22">
        <v>107</v>
      </c>
      <c r="C6381" t="s" s="165">
        <v>108</v>
      </c>
      <c r="D6381" t="s" s="165">
        <v>274</v>
      </c>
      <c r="E6381" s="179">
        <v>0.32</v>
      </c>
      <c r="F6381" t="s" s="24">
        <v>301</v>
      </c>
      <c r="G6381" s="322" cm="1">
        <f t="array" ref="G6381">E6381*4</f>
        <v>1.28</v>
      </c>
      <c r="H6381" s="15"/>
    </row>
    <row r="6382" ht="13.65" customHeight="1">
      <c r="A6382" s="21">
        <v>149</v>
      </c>
      <c r="B6382" t="s" s="22">
        <v>906</v>
      </c>
      <c r="C6382" s="323">
        <v>100</v>
      </c>
      <c r="D6382" t="s" s="165">
        <v>102</v>
      </c>
      <c r="E6382" s="179">
        <v>9.6</v>
      </c>
      <c r="F6382" s="23">
        <v>50</v>
      </c>
      <c r="G6382" s="322" cm="1">
        <f t="array" ref="G6382">E6382/F6382</f>
        <v>0.192</v>
      </c>
      <c r="H6382" s="15"/>
    </row>
    <row r="6383" ht="13.65" customHeight="1">
      <c r="A6383" s="21">
        <v>87</v>
      </c>
      <c r="B6383" t="s" s="22">
        <v>110</v>
      </c>
      <c r="C6383" s="323">
        <v>50</v>
      </c>
      <c r="D6383" t="s" s="165">
        <v>405</v>
      </c>
      <c r="E6383" s="179">
        <v>11.2</v>
      </c>
      <c r="F6383" s="23">
        <v>8.33</v>
      </c>
      <c r="G6383" s="322" cm="1">
        <f t="array" ref="G6383">E6383/F6383</f>
        <v>1.34453781512605</v>
      </c>
      <c r="H6383" s="15"/>
    </row>
    <row r="6384" ht="13.65" customHeight="1">
      <c r="A6384" s="21">
        <v>100</v>
      </c>
      <c r="B6384" t="s" s="22">
        <v>376</v>
      </c>
      <c r="C6384" t="s" s="165">
        <v>377</v>
      </c>
      <c r="D6384" t="s" s="165">
        <v>378</v>
      </c>
      <c r="E6384" s="179">
        <v>4.5</v>
      </c>
      <c r="F6384" s="23">
        <v>40</v>
      </c>
      <c r="G6384" s="322" cm="1">
        <f t="array" ref="G6384">E6384/F6384</f>
        <v>0.1125</v>
      </c>
      <c r="H6384" s="15"/>
    </row>
    <row r="6385" ht="13.65" customHeight="1">
      <c r="A6385" s="21">
        <v>111</v>
      </c>
      <c r="B6385" t="s" s="22">
        <v>476</v>
      </c>
      <c r="C6385" s="323">
        <v>1</v>
      </c>
      <c r="D6385" t="s" s="165">
        <v>937</v>
      </c>
      <c r="E6385" s="179">
        <v>2.7</v>
      </c>
      <c r="F6385" s="23">
        <v>30</v>
      </c>
      <c r="G6385" s="322" cm="1">
        <f t="array" ref="G6385">E6385/F6385</f>
        <v>0.09</v>
      </c>
      <c r="H6385" s="15"/>
    </row>
    <row r="6386" ht="13.65" customHeight="1">
      <c r="A6386" s="21">
        <v>117</v>
      </c>
      <c r="B6386" t="s" s="22">
        <v>586</v>
      </c>
      <c r="C6386" s="323">
        <v>100</v>
      </c>
      <c r="D6386" t="s" s="165">
        <v>106</v>
      </c>
      <c r="E6386" s="179">
        <v>1.2</v>
      </c>
      <c r="F6386" s="23">
        <v>10</v>
      </c>
      <c r="G6386" s="322" cm="1">
        <f t="array" ref="G6386">E6386/F6386</f>
        <v>0.12</v>
      </c>
      <c r="H6386" s="15"/>
    </row>
    <row r="6387" ht="13.65" customHeight="1">
      <c r="A6387" s="21">
        <v>123</v>
      </c>
      <c r="B6387" t="s" s="22">
        <v>103</v>
      </c>
      <c r="C6387" s="323">
        <v>40</v>
      </c>
      <c r="D6387" t="s" s="165">
        <v>104</v>
      </c>
      <c r="E6387" s="179">
        <v>3.2</v>
      </c>
      <c r="F6387" s="23">
        <v>40</v>
      </c>
      <c r="G6387" s="322" cm="1">
        <f t="array" ref="G6387">E6387/F6387</f>
        <v>0.08</v>
      </c>
      <c r="H6387" s="15"/>
    </row>
    <row r="6388" ht="13.65" customHeight="1">
      <c r="A6388" s="21">
        <v>124</v>
      </c>
      <c r="B6388" t="s" s="22">
        <v>372</v>
      </c>
      <c r="C6388" s="323">
        <v>1</v>
      </c>
      <c r="D6388" t="s" s="165">
        <v>427</v>
      </c>
      <c r="E6388" s="179">
        <v>2.2</v>
      </c>
      <c r="F6388" s="23">
        <v>2</v>
      </c>
      <c r="G6388" s="322" cm="1">
        <f t="array" ref="G6388">E6388/F6388</f>
        <v>1.1</v>
      </c>
      <c r="H6388" s="15"/>
    </row>
    <row r="6389" ht="13.65" customHeight="1">
      <c r="A6389" s="21">
        <v>165</v>
      </c>
      <c r="B6389" t="s" s="22">
        <v>965</v>
      </c>
      <c r="C6389" s="323">
        <v>1</v>
      </c>
      <c r="D6389" t="s" s="165">
        <v>104</v>
      </c>
      <c r="E6389" s="179">
        <v>39.96</v>
      </c>
      <c r="F6389" s="23">
        <v>1</v>
      </c>
      <c r="G6389" s="322" cm="1">
        <f t="array" ref="G6389">E6389/F6389</f>
        <v>39.96</v>
      </c>
      <c r="H6389" s="15"/>
    </row>
    <row r="6390" ht="13.65" customHeight="1">
      <c r="A6390" s="21">
        <v>152</v>
      </c>
      <c r="B6390" t="s" s="22">
        <v>911</v>
      </c>
      <c r="C6390" s="323">
        <v>1</v>
      </c>
      <c r="D6390" t="s" s="165">
        <v>102</v>
      </c>
      <c r="E6390" s="179">
        <v>4.04</v>
      </c>
      <c r="F6390" t="s" s="24">
        <v>387</v>
      </c>
      <c r="G6390" s="322" cm="1">
        <f t="array" ref="G6390">E6390*2</f>
        <v>8.08</v>
      </c>
      <c r="H6390" s="15"/>
    </row>
    <row r="6391" ht="13.65" customHeight="1">
      <c r="A6391" s="21">
        <v>153</v>
      </c>
      <c r="B6391" t="s" s="22">
        <v>912</v>
      </c>
      <c r="C6391" s="323">
        <v>1</v>
      </c>
      <c r="D6391" t="s" s="165">
        <v>102</v>
      </c>
      <c r="E6391" s="179">
        <v>6.63</v>
      </c>
      <c r="F6391" t="s" s="24">
        <v>387</v>
      </c>
      <c r="G6391" s="322" cm="1">
        <f t="array" ref="G6391">E6391*2</f>
        <v>13.26</v>
      </c>
      <c r="H6391" s="15"/>
    </row>
    <row r="6392" ht="13.65" customHeight="1">
      <c r="A6392" s="28"/>
      <c r="B6392" s="28"/>
      <c r="C6392" s="141"/>
      <c r="D6392" s="165"/>
      <c r="E6392" s="28"/>
      <c r="F6392" t="s" s="24">
        <v>118</v>
      </c>
      <c r="G6392" s="322" cm="1">
        <f t="array" ref="G6392">SUM(G6369:G6391)</f>
        <v>108.026713354326</v>
      </c>
      <c r="H6392" s="15"/>
    </row>
    <row r="6393" ht="13.65" customHeight="1">
      <c r="A6393" s="129"/>
      <c r="B6393" s="129"/>
      <c r="C6393" s="129"/>
      <c r="D6393" s="166"/>
      <c r="E6393" s="129"/>
      <c r="F6393" s="176"/>
      <c r="G6393" s="327"/>
      <c r="H6393" s="3"/>
    </row>
    <row r="6394" ht="11.7" customHeight="1">
      <c r="A6394" t="s" s="328">
        <v>136</v>
      </c>
      <c r="B6394" t="s" s="167">
        <v>913</v>
      </c>
      <c r="C6394" t="s" s="167">
        <v>914</v>
      </c>
      <c r="D6394" t="s" s="329">
        <v>953</v>
      </c>
      <c r="E6394" s="330"/>
      <c r="F6394" s="170"/>
      <c r="G6394" s="355"/>
      <c r="H6394" s="356"/>
    </row>
    <row r="6395" ht="13.65" customHeight="1">
      <c r="A6395" s="21">
        <v>105</v>
      </c>
      <c r="B6395" s="23">
        <v>0.734</v>
      </c>
      <c r="C6395" s="172" cm="1">
        <f t="array" ref="C6395">G6392</f>
        <v>108.026713354326</v>
      </c>
      <c r="D6395" s="199" cm="1">
        <f t="array" ref="D6395">SUM(A6395*B6395)+(C6395)</f>
        <v>185.096713354326</v>
      </c>
      <c r="E6395" s="200"/>
      <c r="F6395" s="331"/>
      <c r="G6395" s="332"/>
      <c r="H6395" s="3"/>
    </row>
    <row r="6396" ht="13.65" customHeight="1">
      <c r="A6396" s="129"/>
      <c r="B6396" s="129"/>
      <c r="C6396" s="333"/>
      <c r="D6396" s="166"/>
      <c r="E6396" s="136"/>
      <c r="F6396" s="317"/>
      <c r="G6396" s="332"/>
      <c r="H6396" s="3"/>
    </row>
    <row r="6397" ht="13.65" customHeight="1">
      <c r="A6397" t="s" s="22">
        <v>954</v>
      </c>
      <c r="B6397" t="s" s="132">
        <v>955</v>
      </c>
      <c r="C6397" s="131"/>
      <c r="D6397" t="s" s="165">
        <v>918</v>
      </c>
      <c r="E6397" s="15"/>
      <c r="F6397" s="317"/>
      <c r="G6397" s="332"/>
      <c r="H6397" s="3"/>
    </row>
    <row r="6398" ht="13.65" customHeight="1">
      <c r="A6398" t="s" s="22">
        <v>956</v>
      </c>
      <c r="B6398" t="s" s="132">
        <v>957</v>
      </c>
      <c r="C6398" s="131"/>
      <c r="D6398" t="s" s="165">
        <v>918</v>
      </c>
      <c r="E6398" s="15"/>
      <c r="F6398" s="317"/>
      <c r="G6398" s="332"/>
      <c r="H6398" s="3"/>
    </row>
    <row r="6399" ht="13.65" customHeight="1">
      <c r="A6399" t="s" s="22">
        <v>958</v>
      </c>
      <c r="B6399" t="s" s="132">
        <v>959</v>
      </c>
      <c r="C6399" s="131"/>
      <c r="D6399" t="s" s="165">
        <v>918</v>
      </c>
      <c r="E6399" s="15"/>
      <c r="F6399" s="317"/>
      <c r="G6399" s="332"/>
      <c r="H6399" s="3"/>
    </row>
    <row r="6400" ht="13.65" customHeight="1">
      <c r="A6400" s="28"/>
      <c r="B6400" s="164"/>
      <c r="C6400" t="s" s="334">
        <v>924</v>
      </c>
      <c r="D6400" t="s" s="335">
        <v>256</v>
      </c>
      <c r="E6400" s="15"/>
      <c r="F6400" s="317"/>
      <c r="G6400" s="332"/>
      <c r="H6400" s="3"/>
    </row>
    <row r="6401" ht="13.65" customHeight="1">
      <c r="A6401" s="31"/>
      <c r="B6401" s="31"/>
      <c r="C6401" s="31"/>
      <c r="D6401" s="32"/>
      <c r="E6401" s="3"/>
      <c r="F6401" s="317"/>
      <c r="G6401" s="332"/>
      <c r="H6401" s="3"/>
    </row>
    <row r="6402" ht="13.65" customHeight="1">
      <c r="A6402" s="203"/>
      <c r="B6402" s="203"/>
      <c r="C6402" s="203"/>
      <c r="D6402" s="349"/>
      <c r="E6402" s="203"/>
      <c r="F6402" s="340"/>
      <c r="G6402" s="341"/>
      <c r="H6402" s="203"/>
    </row>
    <row r="6403" ht="13.65" customHeight="1">
      <c r="A6403" t="s" s="274">
        <v>853</v>
      </c>
      <c r="B6403" s="275"/>
      <c r="C6403" s="275"/>
      <c r="D6403" s="342"/>
      <c r="E6403" s="275"/>
      <c r="F6403" s="311"/>
      <c r="G6403" s="343"/>
      <c r="H6403" s="277"/>
    </row>
    <row r="6404" ht="13.65" customHeight="1">
      <c r="A6404" s="278"/>
      <c r="B6404" s="278"/>
      <c r="C6404" s="278"/>
      <c r="D6404" s="344"/>
      <c r="E6404" s="278"/>
      <c r="F6404" s="314"/>
      <c r="G6404" s="345"/>
      <c r="H6404" s="278"/>
    </row>
    <row r="6405" ht="13.65" customHeight="1">
      <c r="A6405" s="3"/>
      <c r="B6405" s="3"/>
      <c r="C6405" s="3"/>
      <c r="D6405" s="316"/>
      <c r="E6405" s="3"/>
      <c r="F6405" s="317"/>
      <c r="G6405" s="332"/>
      <c r="H6405" s="3"/>
    </row>
    <row r="6406" ht="13.65" customHeight="1">
      <c r="A6406" t="s" s="5">
        <v>966</v>
      </c>
      <c r="B6406" s="3"/>
      <c r="C6406" s="3"/>
      <c r="D6406" s="316"/>
      <c r="E6406" s="3"/>
      <c r="F6406" s="317"/>
      <c r="G6406" s="332"/>
      <c r="H6406" s="3"/>
    </row>
    <row r="6407" ht="13.65" customHeight="1">
      <c r="A6407" s="11"/>
      <c r="B6407" s="11"/>
      <c r="C6407" s="11"/>
      <c r="D6407" s="319"/>
      <c r="E6407" s="11"/>
      <c r="F6407" s="320"/>
      <c r="G6407" s="346"/>
      <c r="H6407" s="3"/>
    </row>
    <row r="6408" ht="13.65" customHeight="1">
      <c r="A6408" s="13"/>
      <c r="B6408" s="13"/>
      <c r="C6408" s="13"/>
      <c r="D6408" s="14"/>
      <c r="E6408" s="13"/>
      <c r="F6408" s="13"/>
      <c r="G6408" t="s" s="14">
        <v>92</v>
      </c>
      <c r="H6408" s="15"/>
    </row>
    <row r="6409" ht="13.65" customHeight="1">
      <c r="A6409" t="s" s="16">
        <v>93</v>
      </c>
      <c r="B6409" t="s" s="16">
        <v>94</v>
      </c>
      <c r="C6409" t="s" s="16">
        <v>95</v>
      </c>
      <c r="D6409" t="s" s="16">
        <v>96</v>
      </c>
      <c r="E6409" t="s" s="16">
        <v>97</v>
      </c>
      <c r="F6409" t="s" s="16">
        <v>98</v>
      </c>
      <c r="G6409" t="s" s="16">
        <v>99</v>
      </c>
      <c r="H6409" s="15"/>
    </row>
    <row r="6410" ht="13.65" customHeight="1">
      <c r="A6410" s="19"/>
      <c r="B6410" s="19"/>
      <c r="C6410" s="19"/>
      <c r="D6410" s="20"/>
      <c r="E6410" s="19"/>
      <c r="F6410" s="19"/>
      <c r="G6410" t="s" s="20">
        <v>100</v>
      </c>
      <c r="H6410" s="15"/>
    </row>
    <row r="6411" ht="13.65" customHeight="1">
      <c r="A6411" s="21">
        <v>141</v>
      </c>
      <c r="B6411" t="s" s="22">
        <v>893</v>
      </c>
      <c r="C6411" s="323">
        <v>100</v>
      </c>
      <c r="D6411" t="s" s="165">
        <v>274</v>
      </c>
      <c r="E6411" s="179">
        <v>10</v>
      </c>
      <c r="F6411" s="23">
        <v>25</v>
      </c>
      <c r="G6411" s="322" cm="1">
        <f t="array" ref="G6411">E6411/F6411</f>
        <v>0.4</v>
      </c>
      <c r="H6411" s="15"/>
    </row>
    <row r="6412" ht="13.65" customHeight="1">
      <c r="A6412" s="21">
        <v>166</v>
      </c>
      <c r="B6412" t="s" s="22">
        <v>477</v>
      </c>
      <c r="C6412" s="323">
        <v>500</v>
      </c>
      <c r="D6412" t="s" s="165">
        <v>663</v>
      </c>
      <c r="E6412" s="179">
        <v>29.73</v>
      </c>
      <c r="F6412" s="23">
        <v>12.5</v>
      </c>
      <c r="G6412" s="322" cm="1">
        <f t="array" ref="G6412">E6412/F6412</f>
        <v>2.3784</v>
      </c>
      <c r="H6412" s="15"/>
    </row>
    <row r="6413" ht="13.65" customHeight="1">
      <c r="A6413" s="21">
        <v>142</v>
      </c>
      <c r="B6413" t="s" s="22">
        <v>894</v>
      </c>
      <c r="C6413" s="323">
        <v>1</v>
      </c>
      <c r="D6413" t="s" s="165">
        <v>102</v>
      </c>
      <c r="E6413" s="179">
        <v>3.02</v>
      </c>
      <c r="F6413" t="s" s="24">
        <v>387</v>
      </c>
      <c r="G6413" s="322" cm="1">
        <f t="array" ref="G6413">E6413*2</f>
        <v>6.04</v>
      </c>
      <c r="H6413" s="15"/>
    </row>
    <row r="6414" ht="13.65" customHeight="1">
      <c r="A6414" s="21">
        <v>144</v>
      </c>
      <c r="B6414" t="s" s="22">
        <v>896</v>
      </c>
      <c r="C6414" s="323">
        <v>280</v>
      </c>
      <c r="D6414" t="s" s="165">
        <v>104</v>
      </c>
      <c r="E6414" s="179">
        <v>137.5</v>
      </c>
      <c r="F6414" s="23">
        <v>280</v>
      </c>
      <c r="G6414" s="322" cm="1">
        <f t="array" ref="G6414">E6414/F6414</f>
        <v>0.491071428571429</v>
      </c>
      <c r="H6414" s="15"/>
    </row>
    <row r="6415" ht="13.65" customHeight="1">
      <c r="A6415" s="21">
        <v>145</v>
      </c>
      <c r="B6415" t="s" s="22">
        <v>897</v>
      </c>
      <c r="C6415" s="323">
        <v>50</v>
      </c>
      <c r="D6415" t="s" s="165">
        <v>104</v>
      </c>
      <c r="E6415" s="179">
        <v>100</v>
      </c>
      <c r="F6415" s="23">
        <v>50</v>
      </c>
      <c r="G6415" s="322" cm="1">
        <f t="array" ref="G6415">E6415/F6415</f>
        <v>2</v>
      </c>
      <c r="H6415" s="15"/>
    </row>
    <row r="6416" ht="13.65" customHeight="1">
      <c r="A6416" s="21">
        <v>146</v>
      </c>
      <c r="B6416" t="s" s="347">
        <v>963</v>
      </c>
      <c r="C6416" t="s" s="165">
        <v>899</v>
      </c>
      <c r="D6416" t="s" s="165">
        <v>950</v>
      </c>
      <c r="E6416" s="179">
        <v>270</v>
      </c>
      <c r="F6416" s="23">
        <v>53</v>
      </c>
      <c r="G6416" s="322" cm="1">
        <f t="array" ref="G6416">E6416/F6416</f>
        <v>5.09433962264151</v>
      </c>
      <c r="H6416" s="15"/>
    </row>
    <row r="6417" ht="13.65" customHeight="1">
      <c r="A6417" s="21">
        <v>47</v>
      </c>
      <c r="B6417" t="s" s="22">
        <v>901</v>
      </c>
      <c r="C6417" s="323">
        <v>1</v>
      </c>
      <c r="D6417" t="s" s="165">
        <v>277</v>
      </c>
      <c r="E6417" s="179">
        <v>0.61</v>
      </c>
      <c r="F6417" s="23">
        <v>2</v>
      </c>
      <c r="G6417" s="322" cm="1">
        <f t="array" ref="G6417">E6417/F6417</f>
        <v>0.305</v>
      </c>
      <c r="H6417" s="15"/>
    </row>
    <row r="6418" ht="13.65" customHeight="1">
      <c r="A6418" s="21">
        <v>55</v>
      </c>
      <c r="B6418" t="s" s="22">
        <v>111</v>
      </c>
      <c r="C6418" t="s" s="165">
        <v>112</v>
      </c>
      <c r="D6418" t="s" s="165">
        <v>964</v>
      </c>
      <c r="E6418" s="179">
        <v>2.71</v>
      </c>
      <c r="F6418" s="23">
        <v>12.5</v>
      </c>
      <c r="G6418" s="322" cm="1">
        <f t="array" ref="G6418">E6418/F6418</f>
        <v>0.2168</v>
      </c>
      <c r="H6418" s="15"/>
    </row>
    <row r="6419" ht="13.65" customHeight="1">
      <c r="A6419" s="21">
        <v>57</v>
      </c>
      <c r="B6419" t="s" s="22">
        <v>253</v>
      </c>
      <c r="C6419" t="s" s="165">
        <v>254</v>
      </c>
      <c r="D6419" t="s" s="165">
        <v>951</v>
      </c>
      <c r="E6419" s="179">
        <v>4.5</v>
      </c>
      <c r="F6419" s="23">
        <v>66.66</v>
      </c>
      <c r="G6419" s="322" cm="1">
        <f t="array" ref="G6419">E6419/F6419</f>
        <v>0.06750675067506751</v>
      </c>
      <c r="H6419" s="15"/>
    </row>
    <row r="6420" ht="13.65" customHeight="1">
      <c r="A6420" s="21">
        <v>68</v>
      </c>
      <c r="B6420" t="s" s="22">
        <v>480</v>
      </c>
      <c r="C6420" s="323">
        <v>1000</v>
      </c>
      <c r="D6420" t="s" s="165">
        <v>936</v>
      </c>
      <c r="E6420" s="179">
        <v>16</v>
      </c>
      <c r="F6420" s="23">
        <v>10</v>
      </c>
      <c r="G6420" s="322" cm="1">
        <f t="array" ref="G6420">E6420/F6420</f>
        <v>1.6</v>
      </c>
      <c r="H6420" s="15"/>
    </row>
    <row r="6421" ht="13.65" customHeight="1">
      <c r="A6421" s="21">
        <v>71</v>
      </c>
      <c r="B6421" t="s" s="22">
        <v>109</v>
      </c>
      <c r="C6421" s="323">
        <v>10</v>
      </c>
      <c r="D6421" t="s" s="165">
        <v>405</v>
      </c>
      <c r="E6421" s="179">
        <v>5.92</v>
      </c>
      <c r="F6421" s="23">
        <v>1.66</v>
      </c>
      <c r="G6421" s="322" cm="1">
        <f t="array" ref="G6421">E6421/F6421</f>
        <v>3.56626506024096</v>
      </c>
      <c r="H6421" s="15"/>
    </row>
    <row r="6422" ht="13.65" customHeight="1">
      <c r="A6422" s="21">
        <v>72</v>
      </c>
      <c r="B6422" t="s" s="22">
        <v>101</v>
      </c>
      <c r="C6422" s="323">
        <v>50</v>
      </c>
      <c r="D6422" s="353">
        <v>6</v>
      </c>
      <c r="E6422" s="179">
        <v>1.93</v>
      </c>
      <c r="F6422" s="23">
        <v>6.25</v>
      </c>
      <c r="G6422" s="322" cm="1">
        <f t="array" ref="G6422">E6422/F6422</f>
        <v>0.3088</v>
      </c>
      <c r="H6422" s="15"/>
    </row>
    <row r="6423" ht="13.65" customHeight="1">
      <c r="A6423" s="21">
        <v>86</v>
      </c>
      <c r="B6423" t="s" s="22">
        <v>107</v>
      </c>
      <c r="C6423" t="s" s="165">
        <v>108</v>
      </c>
      <c r="D6423" t="s" s="165">
        <v>405</v>
      </c>
      <c r="E6423" s="179">
        <v>0.32</v>
      </c>
      <c r="F6423" t="s" s="24">
        <v>967</v>
      </c>
      <c r="G6423" s="322" cm="1">
        <f t="array" ref="G6423">E6423*6</f>
        <v>1.92</v>
      </c>
      <c r="H6423" s="15"/>
    </row>
    <row r="6424" ht="13.65" customHeight="1">
      <c r="A6424" s="21">
        <v>149</v>
      </c>
      <c r="B6424" t="s" s="22">
        <v>906</v>
      </c>
      <c r="C6424" s="323">
        <v>100</v>
      </c>
      <c r="D6424" t="s" s="165">
        <v>102</v>
      </c>
      <c r="E6424" s="179">
        <v>9.6</v>
      </c>
      <c r="F6424" s="23">
        <v>50</v>
      </c>
      <c r="G6424" s="322" cm="1">
        <f t="array" ref="G6424">E6424/F6424</f>
        <v>0.192</v>
      </c>
      <c r="H6424" s="15"/>
    </row>
    <row r="6425" ht="13.65" customHeight="1">
      <c r="A6425" s="21">
        <v>87</v>
      </c>
      <c r="B6425" t="s" s="22">
        <v>110</v>
      </c>
      <c r="C6425" s="323">
        <v>50</v>
      </c>
      <c r="D6425" t="s" s="165">
        <v>405</v>
      </c>
      <c r="E6425" s="179">
        <v>11.2</v>
      </c>
      <c r="F6425" s="23">
        <v>8.33</v>
      </c>
      <c r="G6425" s="322" cm="1">
        <f t="array" ref="G6425">E6425/F6425</f>
        <v>1.34453781512605</v>
      </c>
      <c r="H6425" s="15"/>
    </row>
    <row r="6426" ht="13.65" customHeight="1">
      <c r="A6426" s="21">
        <v>100</v>
      </c>
      <c r="B6426" t="s" s="22">
        <v>376</v>
      </c>
      <c r="C6426" t="s" s="165">
        <v>377</v>
      </c>
      <c r="D6426" t="s" s="165">
        <v>378</v>
      </c>
      <c r="E6426" s="179">
        <v>4.5</v>
      </c>
      <c r="F6426" s="23">
        <v>40</v>
      </c>
      <c r="G6426" s="322" cm="1">
        <f t="array" ref="G6426">E6426/F6426</f>
        <v>0.1125</v>
      </c>
      <c r="H6426" s="15"/>
    </row>
    <row r="6427" ht="13.65" customHeight="1">
      <c r="A6427" s="21">
        <v>111</v>
      </c>
      <c r="B6427" t="s" s="22">
        <v>476</v>
      </c>
      <c r="C6427" s="323">
        <v>1</v>
      </c>
      <c r="D6427" t="s" s="165">
        <v>937</v>
      </c>
      <c r="E6427" s="179">
        <v>2.7</v>
      </c>
      <c r="F6427" s="23">
        <v>30</v>
      </c>
      <c r="G6427" s="322" cm="1">
        <f t="array" ref="G6427">E6427/F6427</f>
        <v>0.09</v>
      </c>
      <c r="H6427" s="15"/>
    </row>
    <row r="6428" ht="13.65" customHeight="1">
      <c r="A6428" s="21">
        <v>117</v>
      </c>
      <c r="B6428" t="s" s="22">
        <v>586</v>
      </c>
      <c r="C6428" s="323">
        <v>100</v>
      </c>
      <c r="D6428" t="s" s="165">
        <v>106</v>
      </c>
      <c r="E6428" s="179">
        <v>1.2</v>
      </c>
      <c r="F6428" s="23">
        <v>10</v>
      </c>
      <c r="G6428" s="322" cm="1">
        <f t="array" ref="G6428">E6428/F6428</f>
        <v>0.12</v>
      </c>
      <c r="H6428" s="15"/>
    </row>
    <row r="6429" ht="13.65" customHeight="1">
      <c r="A6429" s="21">
        <v>123</v>
      </c>
      <c r="B6429" t="s" s="22">
        <v>103</v>
      </c>
      <c r="C6429" s="323">
        <v>40</v>
      </c>
      <c r="D6429" t="s" s="165">
        <v>104</v>
      </c>
      <c r="E6429" s="179">
        <v>3.2</v>
      </c>
      <c r="F6429" s="23">
        <v>40</v>
      </c>
      <c r="G6429" s="322" cm="1">
        <f t="array" ref="G6429">E6429/F6429</f>
        <v>0.08</v>
      </c>
      <c r="H6429" s="15"/>
    </row>
    <row r="6430" ht="13.65" customHeight="1">
      <c r="A6430" s="21">
        <v>124</v>
      </c>
      <c r="B6430" t="s" s="22">
        <v>372</v>
      </c>
      <c r="C6430" s="323">
        <v>1</v>
      </c>
      <c r="D6430" t="s" s="165">
        <v>427</v>
      </c>
      <c r="E6430" s="179">
        <v>2.2</v>
      </c>
      <c r="F6430" s="23">
        <v>2</v>
      </c>
      <c r="G6430" s="322" cm="1">
        <f t="array" ref="G6430">E6430/F6430</f>
        <v>1.1</v>
      </c>
      <c r="H6430" s="15"/>
    </row>
    <row r="6431" ht="13.65" customHeight="1">
      <c r="A6431" s="21">
        <v>152</v>
      </c>
      <c r="B6431" t="s" s="22">
        <v>911</v>
      </c>
      <c r="C6431" s="323">
        <v>1</v>
      </c>
      <c r="D6431" t="s" s="165">
        <v>102</v>
      </c>
      <c r="E6431" s="179">
        <v>4.04</v>
      </c>
      <c r="F6431" t="s" s="24">
        <v>387</v>
      </c>
      <c r="G6431" s="322" cm="1">
        <f t="array" ref="G6431">E6431*2</f>
        <v>8.08</v>
      </c>
      <c r="H6431" s="15"/>
    </row>
    <row r="6432" ht="13.65" customHeight="1">
      <c r="A6432" s="21">
        <v>153</v>
      </c>
      <c r="B6432" t="s" s="22">
        <v>912</v>
      </c>
      <c r="C6432" s="323">
        <v>1</v>
      </c>
      <c r="D6432" t="s" s="165">
        <v>102</v>
      </c>
      <c r="E6432" s="179">
        <v>6.63</v>
      </c>
      <c r="F6432" t="s" s="24">
        <v>387</v>
      </c>
      <c r="G6432" s="322" cm="1">
        <f t="array" ref="G6432">E6432*2</f>
        <v>13.26</v>
      </c>
      <c r="H6432" s="15"/>
    </row>
    <row r="6433" ht="13.65" customHeight="1">
      <c r="A6433" s="28"/>
      <c r="B6433" t="s" s="22">
        <v>482</v>
      </c>
      <c r="C6433" s="323">
        <v>1</v>
      </c>
      <c r="D6433" t="s" s="165">
        <v>104</v>
      </c>
      <c r="E6433" s="179"/>
      <c r="F6433" s="23">
        <v>1</v>
      </c>
      <c r="G6433" s="322">
        <v>25</v>
      </c>
      <c r="H6433" s="15"/>
    </row>
    <row r="6434" ht="13.65" customHeight="1">
      <c r="A6434" s="28"/>
      <c r="B6434" s="28"/>
      <c r="C6434" s="141"/>
      <c r="D6434" s="165"/>
      <c r="E6434" s="28"/>
      <c r="F6434" t="s" s="24">
        <v>118</v>
      </c>
      <c r="G6434" s="322" cm="1">
        <f t="array" ref="G6434">SUM(G6411:G6433)</f>
        <v>73.767220677255</v>
      </c>
      <c r="H6434" s="15"/>
    </row>
    <row r="6435" ht="13.65" customHeight="1">
      <c r="A6435" s="129"/>
      <c r="B6435" s="129"/>
      <c r="C6435" s="129"/>
      <c r="D6435" s="166"/>
      <c r="E6435" s="129"/>
      <c r="F6435" s="176"/>
      <c r="G6435" s="327"/>
      <c r="H6435" s="3"/>
    </row>
    <row r="6436" ht="11.7" customHeight="1">
      <c r="A6436" t="s" s="328">
        <v>136</v>
      </c>
      <c r="B6436" t="s" s="167">
        <v>913</v>
      </c>
      <c r="C6436" t="s" s="167">
        <v>914</v>
      </c>
      <c r="D6436" t="s" s="329">
        <v>953</v>
      </c>
      <c r="E6436" s="330"/>
      <c r="F6436" s="170"/>
      <c r="G6436" s="355"/>
      <c r="H6436" s="356"/>
    </row>
    <row r="6437" ht="13.65" customHeight="1">
      <c r="A6437" s="21">
        <v>100</v>
      </c>
      <c r="B6437" s="172" cm="1">
        <f t="array" ref="B6437">SUM(H256)</f>
        <v>2.47496540404041</v>
      </c>
      <c r="C6437" s="322" cm="1">
        <f t="array" ref="C6437">SUM(G6434)</f>
        <v>73.767220677255</v>
      </c>
      <c r="D6437" s="199" cm="1">
        <f t="array" ref="D6437">SUM(A6437*B6437)+(C6437)</f>
        <v>321.263761081296</v>
      </c>
      <c r="E6437" s="200"/>
      <c r="F6437" s="331"/>
      <c r="G6437" s="332"/>
      <c r="H6437" s="3"/>
    </row>
    <row r="6438" ht="13.65" customHeight="1">
      <c r="A6438" s="129"/>
      <c r="B6438" s="129"/>
      <c r="C6438" s="333"/>
      <c r="D6438" s="166"/>
      <c r="E6438" s="136"/>
      <c r="F6438" s="317"/>
      <c r="G6438" s="332"/>
      <c r="H6438" s="3"/>
    </row>
    <row r="6439" ht="13.65" customHeight="1">
      <c r="A6439" t="s" s="22">
        <v>954</v>
      </c>
      <c r="B6439" t="s" s="132">
        <v>955</v>
      </c>
      <c r="C6439" s="131"/>
      <c r="D6439" t="s" s="165">
        <v>918</v>
      </c>
      <c r="E6439" s="15"/>
      <c r="F6439" s="317"/>
      <c r="G6439" s="332"/>
      <c r="H6439" s="3"/>
    </row>
    <row r="6440" ht="13.65" customHeight="1">
      <c r="A6440" t="s" s="22">
        <v>922</v>
      </c>
      <c r="B6440" t="s" s="132">
        <v>968</v>
      </c>
      <c r="C6440" s="131"/>
      <c r="D6440" t="s" s="165">
        <v>918</v>
      </c>
      <c r="E6440" s="15"/>
      <c r="F6440" s="317"/>
      <c r="G6440" s="332"/>
      <c r="H6440" s="3"/>
    </row>
    <row r="6441" ht="13.65" customHeight="1">
      <c r="A6441" t="s" s="22">
        <v>969</v>
      </c>
      <c r="B6441" t="s" s="132">
        <v>970</v>
      </c>
      <c r="C6441" s="131"/>
      <c r="D6441" t="s" s="165">
        <v>918</v>
      </c>
      <c r="E6441" s="15"/>
      <c r="F6441" s="317"/>
      <c r="G6441" s="332"/>
      <c r="H6441" s="3"/>
    </row>
    <row r="6442" ht="13.65" customHeight="1">
      <c r="A6442" s="28"/>
      <c r="B6442" s="164"/>
      <c r="C6442" t="s" s="334">
        <v>924</v>
      </c>
      <c r="D6442" t="s" s="335">
        <v>256</v>
      </c>
      <c r="E6442" s="15"/>
      <c r="F6442" s="317"/>
      <c r="G6442" s="332"/>
      <c r="H6442" s="3"/>
    </row>
    <row r="6443" ht="13.65" customHeight="1">
      <c r="A6443" s="31"/>
      <c r="B6443" s="31"/>
      <c r="C6443" s="31"/>
      <c r="D6443" s="32"/>
      <c r="E6443" s="3"/>
      <c r="F6443" s="317"/>
      <c r="G6443" s="332"/>
      <c r="H6443" s="3"/>
    </row>
    <row r="6444" ht="13.65" customHeight="1">
      <c r="A6444" s="203"/>
      <c r="B6444" s="203"/>
      <c r="C6444" s="203"/>
      <c r="D6444" s="349"/>
      <c r="E6444" s="203"/>
      <c r="F6444" s="340"/>
      <c r="G6444" s="341"/>
      <c r="H6444" s="203"/>
    </row>
    <row r="6445" ht="13.65" customHeight="1">
      <c r="A6445" t="s" s="274">
        <v>853</v>
      </c>
      <c r="B6445" s="275"/>
      <c r="C6445" s="275"/>
      <c r="D6445" s="342"/>
      <c r="E6445" s="275"/>
      <c r="F6445" s="311"/>
      <c r="G6445" s="343"/>
      <c r="H6445" s="277"/>
    </row>
    <row r="6446" ht="13.65" customHeight="1">
      <c r="A6446" s="278"/>
      <c r="B6446" s="278"/>
      <c r="C6446" s="278"/>
      <c r="D6446" s="344"/>
      <c r="E6446" s="278"/>
      <c r="F6446" s="314"/>
      <c r="G6446" s="345"/>
      <c r="H6446" s="278"/>
    </row>
    <row r="6447" ht="13.65" customHeight="1">
      <c r="A6447" s="3"/>
      <c r="B6447" s="3"/>
      <c r="C6447" s="3"/>
      <c r="D6447" s="316"/>
      <c r="E6447" s="3"/>
      <c r="F6447" s="317"/>
      <c r="G6447" s="332"/>
      <c r="H6447" s="3"/>
    </row>
    <row r="6448" ht="13.65" customHeight="1">
      <c r="A6448" t="s" s="5">
        <v>971</v>
      </c>
      <c r="B6448" s="3"/>
      <c r="C6448" s="3"/>
      <c r="D6448" s="316"/>
      <c r="E6448" s="3"/>
      <c r="F6448" s="317"/>
      <c r="G6448" s="332"/>
      <c r="H6448" s="3"/>
    </row>
    <row r="6449" ht="13.65" customHeight="1">
      <c r="A6449" s="11"/>
      <c r="B6449" s="11"/>
      <c r="C6449" s="11"/>
      <c r="D6449" s="319"/>
      <c r="E6449" s="11"/>
      <c r="F6449" s="320"/>
      <c r="G6449" s="346"/>
      <c r="H6449" s="3"/>
    </row>
    <row r="6450" ht="13.65" customHeight="1">
      <c r="A6450" s="13"/>
      <c r="B6450" s="13"/>
      <c r="C6450" s="13"/>
      <c r="D6450" s="14"/>
      <c r="E6450" s="13"/>
      <c r="F6450" s="13"/>
      <c r="G6450" t="s" s="14">
        <v>92</v>
      </c>
      <c r="H6450" s="15"/>
    </row>
    <row r="6451" ht="13.65" customHeight="1">
      <c r="A6451" t="s" s="16">
        <v>93</v>
      </c>
      <c r="B6451" t="s" s="16">
        <v>94</v>
      </c>
      <c r="C6451" t="s" s="16">
        <v>95</v>
      </c>
      <c r="D6451" t="s" s="16">
        <v>96</v>
      </c>
      <c r="E6451" t="s" s="16">
        <v>97</v>
      </c>
      <c r="F6451" t="s" s="16">
        <v>98</v>
      </c>
      <c r="G6451" t="s" s="16">
        <v>99</v>
      </c>
      <c r="H6451" s="15"/>
    </row>
    <row r="6452" ht="13.65" customHeight="1">
      <c r="A6452" s="19"/>
      <c r="B6452" s="19"/>
      <c r="C6452" s="19"/>
      <c r="D6452" s="20"/>
      <c r="E6452" s="19"/>
      <c r="F6452" s="19"/>
      <c r="G6452" t="s" s="20">
        <v>100</v>
      </c>
      <c r="H6452" s="15"/>
    </row>
    <row r="6453" ht="13.65" customHeight="1">
      <c r="A6453" s="21">
        <v>141</v>
      </c>
      <c r="B6453" t="s" s="22">
        <v>893</v>
      </c>
      <c r="C6453" s="323">
        <v>100</v>
      </c>
      <c r="D6453" t="s" s="165">
        <v>274</v>
      </c>
      <c r="E6453" s="179">
        <v>10</v>
      </c>
      <c r="F6453" s="23">
        <v>25</v>
      </c>
      <c r="G6453" s="322" cm="1">
        <f t="array" ref="G6453">E6453/F6453</f>
        <v>0.4</v>
      </c>
      <c r="H6453" s="15"/>
    </row>
    <row r="6454" ht="13.65" customHeight="1">
      <c r="A6454" s="21">
        <v>166</v>
      </c>
      <c r="B6454" t="s" s="22">
        <v>477</v>
      </c>
      <c r="C6454" s="323">
        <v>500</v>
      </c>
      <c r="D6454" t="s" s="165">
        <v>663</v>
      </c>
      <c r="E6454" s="179">
        <v>29.73</v>
      </c>
      <c r="F6454" s="23">
        <v>12.5</v>
      </c>
      <c r="G6454" s="322" cm="1">
        <f t="array" ref="G6454">E6454/F6454</f>
        <v>2.3784</v>
      </c>
      <c r="H6454" s="15"/>
    </row>
    <row r="6455" ht="13.65" customHeight="1">
      <c r="A6455" s="21">
        <v>142</v>
      </c>
      <c r="B6455" t="s" s="22">
        <v>894</v>
      </c>
      <c r="C6455" s="323">
        <v>1</v>
      </c>
      <c r="D6455" t="s" s="165">
        <v>102</v>
      </c>
      <c r="E6455" s="179">
        <v>3.02</v>
      </c>
      <c r="F6455" t="s" s="24">
        <v>387</v>
      </c>
      <c r="G6455" s="322" cm="1">
        <f t="array" ref="G6455">E6455*2</f>
        <v>6.04</v>
      </c>
      <c r="H6455" s="15"/>
    </row>
    <row r="6456" ht="13.65" customHeight="1">
      <c r="A6456" s="21">
        <v>144</v>
      </c>
      <c r="B6456" t="s" s="22">
        <v>896</v>
      </c>
      <c r="C6456" s="323">
        <v>280</v>
      </c>
      <c r="D6456" t="s" s="165">
        <v>104</v>
      </c>
      <c r="E6456" s="179">
        <v>137.5</v>
      </c>
      <c r="F6456" s="23">
        <v>280</v>
      </c>
      <c r="G6456" s="322" cm="1">
        <f t="array" ref="G6456">E6456/F6456</f>
        <v>0.491071428571429</v>
      </c>
      <c r="H6456" s="15"/>
    </row>
    <row r="6457" ht="13.65" customHeight="1">
      <c r="A6457" s="21">
        <v>145</v>
      </c>
      <c r="B6457" t="s" s="22">
        <v>897</v>
      </c>
      <c r="C6457" s="323">
        <v>50</v>
      </c>
      <c r="D6457" t="s" s="165">
        <v>104</v>
      </c>
      <c r="E6457" s="179">
        <v>100</v>
      </c>
      <c r="F6457" s="23">
        <v>50</v>
      </c>
      <c r="G6457" s="322" cm="1">
        <f t="array" ref="G6457">E6457/F6457</f>
        <v>2</v>
      </c>
      <c r="H6457" s="15"/>
    </row>
    <row r="6458" ht="13.65" customHeight="1">
      <c r="A6458" s="23">
        <v>146</v>
      </c>
      <c r="B6458" t="s" s="324">
        <v>972</v>
      </c>
      <c r="C6458" t="s" s="165">
        <v>899</v>
      </c>
      <c r="D6458" t="s" s="165">
        <v>950</v>
      </c>
      <c r="E6458" s="179">
        <v>270</v>
      </c>
      <c r="F6458" s="23">
        <v>53</v>
      </c>
      <c r="G6458" s="322" cm="1">
        <f t="array" ref="G6458">E6458/F6458</f>
        <v>5.09433962264151</v>
      </c>
      <c r="H6458" s="15"/>
    </row>
    <row r="6459" ht="13.65" customHeight="1">
      <c r="A6459" s="21">
        <v>47</v>
      </c>
      <c r="B6459" t="s" s="22">
        <v>901</v>
      </c>
      <c r="C6459" s="323">
        <v>1</v>
      </c>
      <c r="D6459" t="s" s="165">
        <v>277</v>
      </c>
      <c r="E6459" s="179">
        <v>0.61</v>
      </c>
      <c r="F6459" s="23">
        <v>2</v>
      </c>
      <c r="G6459" s="322" cm="1">
        <f t="array" ref="G6459">E6459/F6459</f>
        <v>0.305</v>
      </c>
      <c r="H6459" s="15"/>
    </row>
    <row r="6460" ht="13.65" customHeight="1">
      <c r="A6460" s="21">
        <v>55</v>
      </c>
      <c r="B6460" t="s" s="22">
        <v>111</v>
      </c>
      <c r="C6460" t="s" s="165">
        <v>112</v>
      </c>
      <c r="D6460" t="s" s="165">
        <v>964</v>
      </c>
      <c r="E6460" s="179">
        <v>2.71</v>
      </c>
      <c r="F6460" s="23">
        <v>12.5</v>
      </c>
      <c r="G6460" s="322" cm="1">
        <f t="array" ref="G6460">E6460/F6460</f>
        <v>0.2168</v>
      </c>
      <c r="H6460" s="15"/>
    </row>
    <row r="6461" ht="13.65" customHeight="1">
      <c r="A6461" s="21">
        <v>57</v>
      </c>
      <c r="B6461" t="s" s="22">
        <v>253</v>
      </c>
      <c r="C6461" t="s" s="165">
        <v>254</v>
      </c>
      <c r="D6461" t="s" s="165">
        <v>951</v>
      </c>
      <c r="E6461" s="179">
        <v>4.5</v>
      </c>
      <c r="F6461" s="23">
        <v>66.66</v>
      </c>
      <c r="G6461" s="322" cm="1">
        <f t="array" ref="G6461">E6461/F6461</f>
        <v>0.06750675067506751</v>
      </c>
      <c r="H6461" s="15"/>
    </row>
    <row r="6462" ht="13.65" customHeight="1">
      <c r="A6462" s="21">
        <v>68</v>
      </c>
      <c r="B6462" t="s" s="22">
        <v>480</v>
      </c>
      <c r="C6462" s="323">
        <v>1000</v>
      </c>
      <c r="D6462" t="s" s="165">
        <v>936</v>
      </c>
      <c r="E6462" s="179">
        <v>16</v>
      </c>
      <c r="F6462" s="23">
        <v>10</v>
      </c>
      <c r="G6462" s="322" cm="1">
        <f t="array" ref="G6462">E6462/F6462</f>
        <v>1.6</v>
      </c>
      <c r="H6462" s="15"/>
    </row>
    <row r="6463" ht="13.65" customHeight="1">
      <c r="A6463" s="21">
        <v>71</v>
      </c>
      <c r="B6463" t="s" s="22">
        <v>109</v>
      </c>
      <c r="C6463" s="323">
        <v>10</v>
      </c>
      <c r="D6463" t="s" s="165">
        <v>405</v>
      </c>
      <c r="E6463" s="179">
        <v>5.92</v>
      </c>
      <c r="F6463" s="23">
        <v>1.66</v>
      </c>
      <c r="G6463" s="322" cm="1">
        <f t="array" ref="G6463">E6463/F6463</f>
        <v>3.56626506024096</v>
      </c>
      <c r="H6463" s="15"/>
    </row>
    <row r="6464" ht="13.65" customHeight="1">
      <c r="A6464" s="21">
        <v>72</v>
      </c>
      <c r="B6464" t="s" s="22">
        <v>101</v>
      </c>
      <c r="C6464" s="323">
        <v>50</v>
      </c>
      <c r="D6464" s="353">
        <v>6</v>
      </c>
      <c r="E6464" s="179">
        <v>1.93</v>
      </c>
      <c r="F6464" s="23">
        <v>6.25</v>
      </c>
      <c r="G6464" s="322" cm="1">
        <f t="array" ref="G6464">E6464/F6464</f>
        <v>0.3088</v>
      </c>
      <c r="H6464" s="15"/>
    </row>
    <row r="6465" ht="13.65" customHeight="1">
      <c r="A6465" s="21">
        <v>86</v>
      </c>
      <c r="B6465" t="s" s="22">
        <v>107</v>
      </c>
      <c r="C6465" t="s" s="165">
        <v>108</v>
      </c>
      <c r="D6465" t="s" s="165">
        <v>405</v>
      </c>
      <c r="E6465" s="179">
        <v>0.32</v>
      </c>
      <c r="F6465" t="s" s="24">
        <v>967</v>
      </c>
      <c r="G6465" s="322" cm="1">
        <f t="array" ref="G6465">E6465*6</f>
        <v>1.92</v>
      </c>
      <c r="H6465" s="15"/>
    </row>
    <row r="6466" ht="13.65" customHeight="1">
      <c r="A6466" s="21">
        <v>149</v>
      </c>
      <c r="B6466" t="s" s="22">
        <v>906</v>
      </c>
      <c r="C6466" s="323">
        <v>100</v>
      </c>
      <c r="D6466" t="s" s="165">
        <v>102</v>
      </c>
      <c r="E6466" s="179">
        <v>9.6</v>
      </c>
      <c r="F6466" s="23">
        <v>50</v>
      </c>
      <c r="G6466" s="322" cm="1">
        <f t="array" ref="G6466">E6466/F6466</f>
        <v>0.192</v>
      </c>
      <c r="H6466" s="15"/>
    </row>
    <row r="6467" ht="13.65" customHeight="1">
      <c r="A6467" s="21">
        <v>87</v>
      </c>
      <c r="B6467" t="s" s="22">
        <v>110</v>
      </c>
      <c r="C6467" s="323">
        <v>50</v>
      </c>
      <c r="D6467" t="s" s="165">
        <v>405</v>
      </c>
      <c r="E6467" s="179">
        <v>11.2</v>
      </c>
      <c r="F6467" s="23">
        <v>8.33</v>
      </c>
      <c r="G6467" s="322" cm="1">
        <f t="array" ref="G6467">E6467/F6467</f>
        <v>1.34453781512605</v>
      </c>
      <c r="H6467" s="15"/>
    </row>
    <row r="6468" ht="13.65" customHeight="1">
      <c r="A6468" s="21">
        <v>100</v>
      </c>
      <c r="B6468" t="s" s="22">
        <v>376</v>
      </c>
      <c r="C6468" t="s" s="165">
        <v>377</v>
      </c>
      <c r="D6468" t="s" s="165">
        <v>378</v>
      </c>
      <c r="E6468" s="179">
        <v>4.5</v>
      </c>
      <c r="F6468" s="23">
        <v>40</v>
      </c>
      <c r="G6468" s="322" cm="1">
        <f t="array" ref="G6468">E6468/F6468</f>
        <v>0.1125</v>
      </c>
      <c r="H6468" s="15"/>
    </row>
    <row r="6469" ht="13.65" customHeight="1">
      <c r="A6469" s="21">
        <v>111</v>
      </c>
      <c r="B6469" t="s" s="22">
        <v>476</v>
      </c>
      <c r="C6469" s="323">
        <v>1</v>
      </c>
      <c r="D6469" t="s" s="165">
        <v>937</v>
      </c>
      <c r="E6469" s="179">
        <v>2.7</v>
      </c>
      <c r="F6469" s="23">
        <v>30</v>
      </c>
      <c r="G6469" s="322" cm="1">
        <f t="array" ref="G6469">E6469/F6469</f>
        <v>0.09</v>
      </c>
      <c r="H6469" s="15"/>
    </row>
    <row r="6470" ht="13.65" customHeight="1">
      <c r="A6470" s="21">
        <v>117</v>
      </c>
      <c r="B6470" t="s" s="22">
        <v>586</v>
      </c>
      <c r="C6470" s="323">
        <v>100</v>
      </c>
      <c r="D6470" t="s" s="165">
        <v>106</v>
      </c>
      <c r="E6470" s="179">
        <v>1.2</v>
      </c>
      <c r="F6470" s="23">
        <v>10</v>
      </c>
      <c r="G6470" s="322" cm="1">
        <f t="array" ref="G6470">E6470/F6470</f>
        <v>0.12</v>
      </c>
      <c r="H6470" s="15"/>
    </row>
    <row r="6471" ht="13.65" customHeight="1">
      <c r="A6471" s="21">
        <v>123</v>
      </c>
      <c r="B6471" t="s" s="22">
        <v>103</v>
      </c>
      <c r="C6471" s="323">
        <v>40</v>
      </c>
      <c r="D6471" t="s" s="165">
        <v>104</v>
      </c>
      <c r="E6471" s="179">
        <v>3.2</v>
      </c>
      <c r="F6471" s="23">
        <v>40</v>
      </c>
      <c r="G6471" s="322" cm="1">
        <f t="array" ref="G6471">E6471/F6471</f>
        <v>0.08</v>
      </c>
      <c r="H6471" s="15"/>
    </row>
    <row r="6472" ht="13.65" customHeight="1">
      <c r="A6472" s="21">
        <v>124</v>
      </c>
      <c r="B6472" t="s" s="22">
        <v>372</v>
      </c>
      <c r="C6472" s="323">
        <v>1</v>
      </c>
      <c r="D6472" t="s" s="165">
        <v>427</v>
      </c>
      <c r="E6472" s="179">
        <v>2.2</v>
      </c>
      <c r="F6472" s="23">
        <v>2</v>
      </c>
      <c r="G6472" s="322" cm="1">
        <f t="array" ref="G6472">E6472/F6472</f>
        <v>1.1</v>
      </c>
      <c r="H6472" s="15"/>
    </row>
    <row r="6473" ht="13.65" customHeight="1">
      <c r="A6473" s="21">
        <v>152</v>
      </c>
      <c r="B6473" t="s" s="22">
        <v>911</v>
      </c>
      <c r="C6473" s="323">
        <v>1</v>
      </c>
      <c r="D6473" t="s" s="165">
        <v>102</v>
      </c>
      <c r="E6473" s="179">
        <v>4.04</v>
      </c>
      <c r="F6473" t="s" s="24">
        <v>387</v>
      </c>
      <c r="G6473" s="322" cm="1">
        <f t="array" ref="G6473">E6473*2</f>
        <v>8.08</v>
      </c>
      <c r="H6473" s="15"/>
    </row>
    <row r="6474" ht="13.65" customHeight="1">
      <c r="A6474" s="21">
        <v>153</v>
      </c>
      <c r="B6474" t="s" s="22">
        <v>912</v>
      </c>
      <c r="C6474" s="323">
        <v>1</v>
      </c>
      <c r="D6474" t="s" s="165">
        <v>102</v>
      </c>
      <c r="E6474" s="179">
        <v>6.63</v>
      </c>
      <c r="F6474" t="s" s="24">
        <v>387</v>
      </c>
      <c r="G6474" s="322" cm="1">
        <f t="array" ref="G6474">E6474*2</f>
        <v>13.26</v>
      </c>
      <c r="H6474" s="15"/>
    </row>
    <row r="6475" ht="13.65" customHeight="1">
      <c r="A6475" s="28"/>
      <c r="B6475" t="s" s="22">
        <v>482</v>
      </c>
      <c r="C6475" s="323">
        <v>1</v>
      </c>
      <c r="D6475" t="s" s="165">
        <v>104</v>
      </c>
      <c r="E6475" s="179"/>
      <c r="F6475" s="23">
        <v>1</v>
      </c>
      <c r="G6475" s="322">
        <v>35</v>
      </c>
      <c r="H6475" s="15"/>
    </row>
    <row r="6476" ht="13.65" customHeight="1">
      <c r="A6476" s="28"/>
      <c r="B6476" s="28"/>
      <c r="C6476" s="141"/>
      <c r="D6476" s="165"/>
      <c r="E6476" s="28"/>
      <c r="F6476" t="s" s="24">
        <v>118</v>
      </c>
      <c r="G6476" s="322" cm="1">
        <f t="array" ref="G6476">SUM(G6453:G6475)</f>
        <v>83.767220677255</v>
      </c>
      <c r="H6476" s="15"/>
    </row>
    <row r="6477" ht="13.65" customHeight="1">
      <c r="A6477" s="129"/>
      <c r="B6477" s="129"/>
      <c r="C6477" s="129"/>
      <c r="D6477" s="166"/>
      <c r="E6477" s="129"/>
      <c r="F6477" s="176"/>
      <c r="G6477" s="327"/>
      <c r="H6477" s="3"/>
    </row>
    <row r="6478" ht="11.7" customHeight="1">
      <c r="A6478" t="s" s="328">
        <v>136</v>
      </c>
      <c r="B6478" t="s" s="167">
        <v>913</v>
      </c>
      <c r="C6478" t="s" s="167">
        <v>914</v>
      </c>
      <c r="D6478" t="s" s="329">
        <v>973</v>
      </c>
      <c r="E6478" s="330"/>
      <c r="F6478" s="170"/>
      <c r="G6478" s="355"/>
      <c r="H6478" s="356"/>
    </row>
    <row r="6479" ht="13.65" customHeight="1">
      <c r="A6479" s="21">
        <v>100</v>
      </c>
      <c r="B6479" s="172" cm="1">
        <f t="array" ref="B6479">SUM(H256)</f>
        <v>2.47496540404041</v>
      </c>
      <c r="C6479" s="172" cm="1">
        <f t="array" ref="C6479">SUM(G6476)</f>
        <v>83.767220677255</v>
      </c>
      <c r="D6479" s="199" cm="1">
        <f t="array" ref="D6479">SUM(A6479*B6479)+(C6479)</f>
        <v>331.263761081296</v>
      </c>
      <c r="E6479" s="200"/>
      <c r="F6479" s="331"/>
      <c r="G6479" s="332"/>
      <c r="H6479" s="3"/>
    </row>
    <row r="6480" ht="13.65" customHeight="1">
      <c r="A6480" s="129"/>
      <c r="B6480" s="129"/>
      <c r="C6480" s="333"/>
      <c r="D6480" s="166"/>
      <c r="E6480" s="136"/>
      <c r="F6480" s="317"/>
      <c r="G6480" s="332"/>
      <c r="H6480" s="3"/>
    </row>
    <row r="6481" ht="13.65" customHeight="1">
      <c r="A6481" t="s" s="22">
        <v>954</v>
      </c>
      <c r="B6481" t="s" s="132">
        <v>955</v>
      </c>
      <c r="C6481" s="131"/>
      <c r="D6481" t="s" s="165">
        <v>918</v>
      </c>
      <c r="E6481" s="15"/>
      <c r="F6481" s="317"/>
      <c r="G6481" s="332"/>
      <c r="H6481" s="3"/>
    </row>
    <row r="6482" ht="13.65" customHeight="1">
      <c r="A6482" t="s" s="22">
        <v>922</v>
      </c>
      <c r="B6482" t="s" s="132">
        <v>968</v>
      </c>
      <c r="C6482" s="131"/>
      <c r="D6482" t="s" s="165">
        <v>918</v>
      </c>
      <c r="E6482" s="15"/>
      <c r="F6482" s="317"/>
      <c r="G6482" s="332"/>
      <c r="H6482" s="3"/>
    </row>
    <row r="6483" ht="13.65" customHeight="1">
      <c r="A6483" t="s" s="22">
        <v>969</v>
      </c>
      <c r="B6483" t="s" s="132">
        <v>970</v>
      </c>
      <c r="C6483" s="131"/>
      <c r="D6483" t="s" s="165">
        <v>918</v>
      </c>
      <c r="E6483" s="15"/>
      <c r="F6483" s="317"/>
      <c r="G6483" s="332"/>
      <c r="H6483" s="3"/>
    </row>
    <row r="6484" ht="13.65" customHeight="1">
      <c r="A6484" s="28"/>
      <c r="B6484" s="164"/>
      <c r="C6484" t="s" s="334">
        <v>924</v>
      </c>
      <c r="D6484" t="s" s="335">
        <v>256</v>
      </c>
      <c r="E6484" s="15"/>
      <c r="F6484" s="317"/>
      <c r="G6484" s="332"/>
      <c r="H6484" s="3"/>
    </row>
    <row r="6485" ht="13.65" customHeight="1">
      <c r="A6485" s="31"/>
      <c r="B6485" s="31"/>
      <c r="C6485" s="31"/>
      <c r="D6485" s="32"/>
      <c r="E6485" s="3"/>
      <c r="F6485" s="317"/>
      <c r="G6485" s="332"/>
      <c r="H6485" s="3"/>
    </row>
    <row r="6486" ht="13.65" customHeight="1">
      <c r="A6486" s="203"/>
      <c r="B6486" s="203"/>
      <c r="C6486" s="203"/>
      <c r="D6486" s="349"/>
      <c r="E6486" s="203"/>
      <c r="F6486" s="340"/>
      <c r="G6486" s="341"/>
      <c r="H6486" s="203"/>
    </row>
    <row r="6487" ht="13.65" customHeight="1">
      <c r="A6487" t="s" s="274">
        <v>853</v>
      </c>
      <c r="B6487" s="275"/>
      <c r="C6487" s="275"/>
      <c r="D6487" s="342"/>
      <c r="E6487" s="275"/>
      <c r="F6487" s="311"/>
      <c r="G6487" s="343"/>
      <c r="H6487" s="277"/>
    </row>
    <row r="6488" ht="13.65" customHeight="1">
      <c r="A6488" s="278"/>
      <c r="B6488" s="278"/>
      <c r="C6488" s="278"/>
      <c r="D6488" s="344"/>
      <c r="E6488" s="278"/>
      <c r="F6488" s="314"/>
      <c r="G6488" s="345"/>
      <c r="H6488" s="278"/>
    </row>
    <row r="6489" ht="13.65" customHeight="1">
      <c r="A6489" s="3"/>
      <c r="B6489" s="3"/>
      <c r="C6489" s="3"/>
      <c r="D6489" s="316"/>
      <c r="E6489" s="3"/>
      <c r="F6489" s="317"/>
      <c r="G6489" s="332"/>
      <c r="H6489" s="3"/>
    </row>
    <row r="6490" ht="13.65" customHeight="1">
      <c r="A6490" t="s" s="5">
        <v>974</v>
      </c>
      <c r="B6490" s="3"/>
      <c r="C6490" s="3"/>
      <c r="D6490" s="316"/>
      <c r="E6490" s="3"/>
      <c r="F6490" s="317"/>
      <c r="G6490" s="332"/>
      <c r="H6490" s="3"/>
    </row>
    <row r="6491" ht="13.65" customHeight="1">
      <c r="A6491" s="11"/>
      <c r="B6491" s="11"/>
      <c r="C6491" s="11"/>
      <c r="D6491" s="319"/>
      <c r="E6491" s="11"/>
      <c r="F6491" s="320"/>
      <c r="G6491" s="346"/>
      <c r="H6491" s="3"/>
    </row>
    <row r="6492" ht="13.65" customHeight="1">
      <c r="A6492" s="13"/>
      <c r="B6492" s="13"/>
      <c r="C6492" s="13"/>
      <c r="D6492" s="14"/>
      <c r="E6492" s="13"/>
      <c r="F6492" s="13"/>
      <c r="G6492" t="s" s="14">
        <v>92</v>
      </c>
      <c r="H6492" s="15"/>
    </row>
    <row r="6493" ht="13.65" customHeight="1">
      <c r="A6493" t="s" s="16">
        <v>93</v>
      </c>
      <c r="B6493" t="s" s="16">
        <v>94</v>
      </c>
      <c r="C6493" t="s" s="16">
        <v>95</v>
      </c>
      <c r="D6493" t="s" s="16">
        <v>96</v>
      </c>
      <c r="E6493" t="s" s="16">
        <v>97</v>
      </c>
      <c r="F6493" t="s" s="16">
        <v>98</v>
      </c>
      <c r="G6493" t="s" s="16">
        <v>99</v>
      </c>
      <c r="H6493" s="15"/>
    </row>
    <row r="6494" ht="13.65" customHeight="1">
      <c r="A6494" s="19"/>
      <c r="B6494" s="19"/>
      <c r="C6494" s="19"/>
      <c r="D6494" s="20"/>
      <c r="E6494" s="19"/>
      <c r="F6494" s="19"/>
      <c r="G6494" t="s" s="20">
        <v>100</v>
      </c>
      <c r="H6494" s="15"/>
    </row>
    <row r="6495" ht="13.65" customHeight="1">
      <c r="A6495" s="21">
        <v>141</v>
      </c>
      <c r="B6495" t="s" s="22">
        <v>893</v>
      </c>
      <c r="C6495" s="323">
        <v>100</v>
      </c>
      <c r="D6495" t="s" s="165">
        <v>274</v>
      </c>
      <c r="E6495" s="179">
        <v>10</v>
      </c>
      <c r="F6495" s="23">
        <v>25</v>
      </c>
      <c r="G6495" s="322" cm="1">
        <f t="array" ref="G6495">E6495/F6495</f>
        <v>0.4</v>
      </c>
      <c r="H6495" s="15"/>
    </row>
    <row r="6496" ht="13.65" customHeight="1">
      <c r="A6496" s="21">
        <v>166</v>
      </c>
      <c r="B6496" t="s" s="22">
        <v>477</v>
      </c>
      <c r="C6496" s="323">
        <v>500</v>
      </c>
      <c r="D6496" t="s" s="165">
        <v>663</v>
      </c>
      <c r="E6496" s="179">
        <v>29.73</v>
      </c>
      <c r="F6496" s="23">
        <v>12.5</v>
      </c>
      <c r="G6496" s="322" cm="1">
        <f t="array" ref="G6496">E6496/F6496</f>
        <v>2.3784</v>
      </c>
      <c r="H6496" s="15"/>
    </row>
    <row r="6497" ht="13.65" customHeight="1">
      <c r="A6497" s="21">
        <v>142</v>
      </c>
      <c r="B6497" t="s" s="22">
        <v>894</v>
      </c>
      <c r="C6497" s="323">
        <v>1</v>
      </c>
      <c r="D6497" t="s" s="165">
        <v>102</v>
      </c>
      <c r="E6497" s="179">
        <v>3.02</v>
      </c>
      <c r="F6497" t="s" s="24">
        <v>387</v>
      </c>
      <c r="G6497" s="322" cm="1">
        <f t="array" ref="G6497">E6497*2</f>
        <v>6.04</v>
      </c>
      <c r="H6497" s="15"/>
    </row>
    <row r="6498" ht="13.65" customHeight="1">
      <c r="A6498" s="21">
        <v>144</v>
      </c>
      <c r="B6498" t="s" s="22">
        <v>896</v>
      </c>
      <c r="C6498" s="323">
        <v>280</v>
      </c>
      <c r="D6498" t="s" s="165">
        <v>104</v>
      </c>
      <c r="E6498" s="179">
        <v>137.5</v>
      </c>
      <c r="F6498" s="23">
        <v>280</v>
      </c>
      <c r="G6498" s="322" cm="1">
        <f t="array" ref="G6498">E6498/F6498</f>
        <v>0.491071428571429</v>
      </c>
      <c r="H6498" s="15"/>
    </row>
    <row r="6499" ht="13.65" customHeight="1">
      <c r="A6499" s="21">
        <v>145</v>
      </c>
      <c r="B6499" t="s" s="22">
        <v>897</v>
      </c>
      <c r="C6499" s="323">
        <v>50</v>
      </c>
      <c r="D6499" t="s" s="165">
        <v>104</v>
      </c>
      <c r="E6499" s="179">
        <v>100</v>
      </c>
      <c r="F6499" s="23">
        <v>50</v>
      </c>
      <c r="G6499" s="322" cm="1">
        <f t="array" ref="G6499">E6499/F6499</f>
        <v>2</v>
      </c>
      <c r="H6499" s="15"/>
    </row>
    <row r="6500" ht="13.65" customHeight="1">
      <c r="A6500" s="21">
        <v>146</v>
      </c>
      <c r="B6500" t="s" s="324">
        <v>975</v>
      </c>
      <c r="C6500" t="s" s="165">
        <v>899</v>
      </c>
      <c r="D6500" t="s" s="165">
        <v>950</v>
      </c>
      <c r="E6500" s="179">
        <v>270</v>
      </c>
      <c r="F6500" s="23">
        <v>53</v>
      </c>
      <c r="G6500" s="322" cm="1">
        <f t="array" ref="G6500">E6500/F6500</f>
        <v>5.09433962264151</v>
      </c>
      <c r="H6500" s="15"/>
    </row>
    <row r="6501" ht="13.65" customHeight="1">
      <c r="A6501" s="21">
        <v>47</v>
      </c>
      <c r="B6501" t="s" s="22">
        <v>901</v>
      </c>
      <c r="C6501" s="323">
        <v>1</v>
      </c>
      <c r="D6501" t="s" s="165">
        <v>277</v>
      </c>
      <c r="E6501" s="179">
        <v>0.61</v>
      </c>
      <c r="F6501" s="23">
        <v>2</v>
      </c>
      <c r="G6501" s="322" cm="1">
        <f t="array" ref="G6501">E6501/F6501</f>
        <v>0.305</v>
      </c>
      <c r="H6501" s="15"/>
    </row>
    <row r="6502" ht="13.65" customHeight="1">
      <c r="A6502" s="21">
        <v>55</v>
      </c>
      <c r="B6502" t="s" s="22">
        <v>111</v>
      </c>
      <c r="C6502" t="s" s="165">
        <v>112</v>
      </c>
      <c r="D6502" t="s" s="165">
        <v>964</v>
      </c>
      <c r="E6502" s="179">
        <v>2.71</v>
      </c>
      <c r="F6502" s="23">
        <v>12.5</v>
      </c>
      <c r="G6502" s="322" cm="1">
        <f t="array" ref="G6502">E6502/F6502</f>
        <v>0.2168</v>
      </c>
      <c r="H6502" s="15"/>
    </row>
    <row r="6503" ht="13.65" customHeight="1">
      <c r="A6503" s="21">
        <v>57</v>
      </c>
      <c r="B6503" t="s" s="22">
        <v>253</v>
      </c>
      <c r="C6503" t="s" s="165">
        <v>254</v>
      </c>
      <c r="D6503" t="s" s="165">
        <v>951</v>
      </c>
      <c r="E6503" s="179">
        <v>4.5</v>
      </c>
      <c r="F6503" s="23">
        <v>66.66</v>
      </c>
      <c r="G6503" s="322" cm="1">
        <f t="array" ref="G6503">E6503/F6503</f>
        <v>0.06750675067506751</v>
      </c>
      <c r="H6503" s="15"/>
    </row>
    <row r="6504" ht="13.65" customHeight="1">
      <c r="A6504" s="21">
        <v>68</v>
      </c>
      <c r="B6504" t="s" s="22">
        <v>480</v>
      </c>
      <c r="C6504" s="323">
        <v>1000</v>
      </c>
      <c r="D6504" t="s" s="165">
        <v>936</v>
      </c>
      <c r="E6504" s="179">
        <v>16</v>
      </c>
      <c r="F6504" s="23">
        <v>10</v>
      </c>
      <c r="G6504" s="322" cm="1">
        <f t="array" ref="G6504">E6504/F6504</f>
        <v>1.6</v>
      </c>
      <c r="H6504" s="15"/>
    </row>
    <row r="6505" ht="13.65" customHeight="1">
      <c r="A6505" s="21">
        <v>71</v>
      </c>
      <c r="B6505" t="s" s="22">
        <v>109</v>
      </c>
      <c r="C6505" s="323">
        <v>10</v>
      </c>
      <c r="D6505" t="s" s="165">
        <v>405</v>
      </c>
      <c r="E6505" s="179">
        <v>5.92</v>
      </c>
      <c r="F6505" s="23">
        <v>1.66</v>
      </c>
      <c r="G6505" s="322" cm="1">
        <f t="array" ref="G6505">E6505/F6505</f>
        <v>3.56626506024096</v>
      </c>
      <c r="H6505" s="15"/>
    </row>
    <row r="6506" ht="13.65" customHeight="1">
      <c r="A6506" s="21">
        <v>72</v>
      </c>
      <c r="B6506" t="s" s="22">
        <v>101</v>
      </c>
      <c r="C6506" s="323">
        <v>50</v>
      </c>
      <c r="D6506" s="353">
        <v>6</v>
      </c>
      <c r="E6506" s="179">
        <v>1.93</v>
      </c>
      <c r="F6506" s="23">
        <v>6.25</v>
      </c>
      <c r="G6506" s="322" cm="1">
        <f t="array" ref="G6506">E6506/F6506</f>
        <v>0.3088</v>
      </c>
      <c r="H6506" s="15"/>
    </row>
    <row r="6507" ht="13.65" customHeight="1">
      <c r="A6507" s="21">
        <v>86</v>
      </c>
      <c r="B6507" t="s" s="22">
        <v>107</v>
      </c>
      <c r="C6507" t="s" s="165">
        <v>108</v>
      </c>
      <c r="D6507" t="s" s="165">
        <v>405</v>
      </c>
      <c r="E6507" s="179">
        <v>0.32</v>
      </c>
      <c r="F6507" t="s" s="24">
        <v>967</v>
      </c>
      <c r="G6507" s="322" cm="1">
        <f t="array" ref="G6507">E6507*6</f>
        <v>1.92</v>
      </c>
      <c r="H6507" s="15"/>
    </row>
    <row r="6508" ht="13.65" customHeight="1">
      <c r="A6508" s="21">
        <v>149</v>
      </c>
      <c r="B6508" t="s" s="22">
        <v>906</v>
      </c>
      <c r="C6508" s="323">
        <v>100</v>
      </c>
      <c r="D6508" t="s" s="165">
        <v>102</v>
      </c>
      <c r="E6508" s="179">
        <v>9.6</v>
      </c>
      <c r="F6508" s="23">
        <v>50</v>
      </c>
      <c r="G6508" s="322" cm="1">
        <f t="array" ref="G6508">E6508/F6508</f>
        <v>0.192</v>
      </c>
      <c r="H6508" s="15"/>
    </row>
    <row r="6509" ht="13.65" customHeight="1">
      <c r="A6509" s="21">
        <v>87</v>
      </c>
      <c r="B6509" t="s" s="22">
        <v>110</v>
      </c>
      <c r="C6509" s="323">
        <v>50</v>
      </c>
      <c r="D6509" t="s" s="165">
        <v>405</v>
      </c>
      <c r="E6509" s="179">
        <v>11.2</v>
      </c>
      <c r="F6509" s="23">
        <v>8.33</v>
      </c>
      <c r="G6509" s="322" cm="1">
        <f t="array" ref="G6509">E6509/F6509</f>
        <v>1.34453781512605</v>
      </c>
      <c r="H6509" s="15"/>
    </row>
    <row r="6510" ht="13.65" customHeight="1">
      <c r="A6510" s="21">
        <v>100</v>
      </c>
      <c r="B6510" t="s" s="22">
        <v>376</v>
      </c>
      <c r="C6510" t="s" s="165">
        <v>377</v>
      </c>
      <c r="D6510" t="s" s="165">
        <v>378</v>
      </c>
      <c r="E6510" s="179">
        <v>4.5</v>
      </c>
      <c r="F6510" s="23">
        <v>40</v>
      </c>
      <c r="G6510" s="322" cm="1">
        <f t="array" ref="G6510">E6510/F6510</f>
        <v>0.1125</v>
      </c>
      <c r="H6510" s="15"/>
    </row>
    <row r="6511" ht="13.65" customHeight="1">
      <c r="A6511" s="21">
        <v>111</v>
      </c>
      <c r="B6511" t="s" s="22">
        <v>476</v>
      </c>
      <c r="C6511" s="323">
        <v>1</v>
      </c>
      <c r="D6511" t="s" s="165">
        <v>937</v>
      </c>
      <c r="E6511" s="179">
        <v>2.7</v>
      </c>
      <c r="F6511" s="23">
        <v>30</v>
      </c>
      <c r="G6511" s="322" cm="1">
        <f t="array" ref="G6511">E6511/F6511</f>
        <v>0.09</v>
      </c>
      <c r="H6511" s="15"/>
    </row>
    <row r="6512" ht="13.65" customHeight="1">
      <c r="A6512" s="21">
        <v>117</v>
      </c>
      <c r="B6512" t="s" s="22">
        <v>586</v>
      </c>
      <c r="C6512" s="323">
        <v>100</v>
      </c>
      <c r="D6512" t="s" s="165">
        <v>106</v>
      </c>
      <c r="E6512" s="179">
        <v>1.2</v>
      </c>
      <c r="F6512" s="23">
        <v>10</v>
      </c>
      <c r="G6512" s="322" cm="1">
        <f t="array" ref="G6512">E6512/F6512</f>
        <v>0.12</v>
      </c>
      <c r="H6512" s="15"/>
    </row>
    <row r="6513" ht="13.65" customHeight="1">
      <c r="A6513" s="21">
        <v>123</v>
      </c>
      <c r="B6513" t="s" s="22">
        <v>103</v>
      </c>
      <c r="C6513" s="323">
        <v>40</v>
      </c>
      <c r="D6513" t="s" s="165">
        <v>104</v>
      </c>
      <c r="E6513" s="179">
        <v>3.2</v>
      </c>
      <c r="F6513" s="23">
        <v>40</v>
      </c>
      <c r="G6513" s="322" cm="1">
        <f t="array" ref="G6513">E6513/F6513</f>
        <v>0.08</v>
      </c>
      <c r="H6513" s="15"/>
    </row>
    <row r="6514" ht="13.65" customHeight="1">
      <c r="A6514" s="21">
        <v>124</v>
      </c>
      <c r="B6514" t="s" s="22">
        <v>372</v>
      </c>
      <c r="C6514" s="323">
        <v>1</v>
      </c>
      <c r="D6514" t="s" s="165">
        <v>427</v>
      </c>
      <c r="E6514" s="179">
        <v>2.2</v>
      </c>
      <c r="F6514" s="23">
        <v>2</v>
      </c>
      <c r="G6514" s="322" cm="1">
        <f t="array" ref="G6514">E6514/F6514</f>
        <v>1.1</v>
      </c>
      <c r="H6514" s="15"/>
    </row>
    <row r="6515" ht="13.65" customHeight="1">
      <c r="A6515" s="21">
        <v>152</v>
      </c>
      <c r="B6515" t="s" s="22">
        <v>911</v>
      </c>
      <c r="C6515" s="323">
        <v>1</v>
      </c>
      <c r="D6515" t="s" s="165">
        <v>102</v>
      </c>
      <c r="E6515" s="179">
        <v>4.04</v>
      </c>
      <c r="F6515" t="s" s="24">
        <v>387</v>
      </c>
      <c r="G6515" s="322" cm="1">
        <f t="array" ref="G6515">E6515*2</f>
        <v>8.08</v>
      </c>
      <c r="H6515" s="15"/>
    </row>
    <row r="6516" ht="13.65" customHeight="1">
      <c r="A6516" s="21">
        <v>153</v>
      </c>
      <c r="B6516" t="s" s="22">
        <v>912</v>
      </c>
      <c r="C6516" s="323">
        <v>1</v>
      </c>
      <c r="D6516" t="s" s="165">
        <v>102</v>
      </c>
      <c r="E6516" s="179">
        <v>6.63</v>
      </c>
      <c r="F6516" t="s" s="24">
        <v>387</v>
      </c>
      <c r="G6516" s="322" cm="1">
        <f t="array" ref="G6516">E6516*2</f>
        <v>13.26</v>
      </c>
      <c r="H6516" s="15"/>
    </row>
    <row r="6517" ht="13.65" customHeight="1">
      <c r="A6517" s="28"/>
      <c r="B6517" t="s" s="22">
        <v>482</v>
      </c>
      <c r="C6517" s="323">
        <v>1</v>
      </c>
      <c r="D6517" t="s" s="165">
        <v>104</v>
      </c>
      <c r="E6517" s="179"/>
      <c r="F6517" s="23">
        <v>1</v>
      </c>
      <c r="G6517" s="322">
        <v>25</v>
      </c>
      <c r="H6517" s="15"/>
    </row>
    <row r="6518" ht="13.65" customHeight="1">
      <c r="A6518" s="28"/>
      <c r="B6518" s="28"/>
      <c r="C6518" s="141"/>
      <c r="D6518" s="165"/>
      <c r="E6518" s="28"/>
      <c r="F6518" t="s" s="24">
        <v>118</v>
      </c>
      <c r="G6518" s="322" cm="1">
        <f t="array" ref="G6518">SUM(G6495:G6517)</f>
        <v>73.767220677255</v>
      </c>
      <c r="H6518" s="15"/>
    </row>
    <row r="6519" ht="13.65" customHeight="1">
      <c r="A6519" s="129"/>
      <c r="B6519" s="129"/>
      <c r="C6519" s="265"/>
      <c r="D6519" s="166"/>
      <c r="E6519" s="357"/>
      <c r="F6519" s="176"/>
      <c r="G6519" s="327"/>
      <c r="H6519" s="3"/>
    </row>
    <row r="6520" ht="11.7" customHeight="1">
      <c r="A6520" t="s" s="328">
        <v>136</v>
      </c>
      <c r="B6520" t="s" s="167">
        <v>913</v>
      </c>
      <c r="C6520" t="s" s="167">
        <v>914</v>
      </c>
      <c r="D6520" t="s" s="329">
        <v>973</v>
      </c>
      <c r="E6520" s="330"/>
      <c r="F6520" s="170"/>
      <c r="G6520" s="355"/>
      <c r="H6520" s="356"/>
    </row>
    <row r="6521" ht="13.65" customHeight="1">
      <c r="A6521" s="21">
        <v>100</v>
      </c>
      <c r="B6521" s="172" cm="1">
        <f t="array" ref="B6521">SUM(H256)</f>
        <v>2.47496540404041</v>
      </c>
      <c r="C6521" s="172" cm="1">
        <f t="array" ref="C6521">SUM(G6518)</f>
        <v>73.767220677255</v>
      </c>
      <c r="D6521" s="199" cm="1">
        <f t="array" ref="D6521">SUM(A6521*B6521)+(C6521)</f>
        <v>321.263761081296</v>
      </c>
      <c r="E6521" s="200"/>
      <c r="F6521" s="331"/>
      <c r="G6521" s="332"/>
      <c r="H6521" s="3"/>
    </row>
    <row r="6522" ht="13.65" customHeight="1">
      <c r="A6522" s="129"/>
      <c r="B6522" s="129"/>
      <c r="C6522" s="333"/>
      <c r="D6522" s="166"/>
      <c r="E6522" s="136"/>
      <c r="F6522" s="317"/>
      <c r="G6522" s="332"/>
      <c r="H6522" s="3"/>
    </row>
    <row r="6523" ht="13.65" customHeight="1">
      <c r="A6523" t="s" s="22">
        <v>954</v>
      </c>
      <c r="B6523" t="s" s="132">
        <v>955</v>
      </c>
      <c r="C6523" s="131"/>
      <c r="D6523" t="s" s="165">
        <v>918</v>
      </c>
      <c r="E6523" s="15"/>
      <c r="F6523" s="317"/>
      <c r="G6523" s="332"/>
      <c r="H6523" s="3"/>
    </row>
    <row r="6524" ht="13.65" customHeight="1">
      <c r="A6524" t="s" s="22">
        <v>922</v>
      </c>
      <c r="B6524" t="s" s="132">
        <v>968</v>
      </c>
      <c r="C6524" s="131"/>
      <c r="D6524" t="s" s="165">
        <v>918</v>
      </c>
      <c r="E6524" s="15"/>
      <c r="F6524" s="317"/>
      <c r="G6524" s="332"/>
      <c r="H6524" s="3"/>
    </row>
    <row r="6525" ht="13.65" customHeight="1">
      <c r="A6525" t="s" s="22">
        <v>969</v>
      </c>
      <c r="B6525" t="s" s="132">
        <v>970</v>
      </c>
      <c r="C6525" s="131"/>
      <c r="D6525" t="s" s="165">
        <v>918</v>
      </c>
      <c r="E6525" s="15"/>
      <c r="F6525" s="317"/>
      <c r="G6525" s="332"/>
      <c r="H6525" s="3"/>
    </row>
    <row r="6526" ht="13.65" customHeight="1">
      <c r="A6526" s="28"/>
      <c r="B6526" s="164"/>
      <c r="C6526" t="s" s="334">
        <v>924</v>
      </c>
      <c r="D6526" t="s" s="335">
        <v>256</v>
      </c>
      <c r="E6526" s="15"/>
      <c r="F6526" s="317"/>
      <c r="G6526" s="332"/>
      <c r="H6526" s="3"/>
    </row>
    <row r="6527" ht="13.65" customHeight="1">
      <c r="A6527" s="31"/>
      <c r="B6527" s="31"/>
      <c r="C6527" s="31"/>
      <c r="D6527" s="32"/>
      <c r="E6527" s="3"/>
      <c r="F6527" s="317"/>
      <c r="G6527" s="332"/>
      <c r="H6527" s="3"/>
    </row>
    <row r="6528" ht="13.65" customHeight="1">
      <c r="A6528" s="203"/>
      <c r="B6528" s="203"/>
      <c r="C6528" s="203"/>
      <c r="D6528" s="349"/>
      <c r="E6528" s="203"/>
      <c r="F6528" s="340"/>
      <c r="G6528" s="341"/>
      <c r="H6528" s="203"/>
    </row>
    <row r="6529" ht="13.65" customHeight="1">
      <c r="A6529" t="s" s="274">
        <v>853</v>
      </c>
      <c r="B6529" s="275"/>
      <c r="C6529" s="275"/>
      <c r="D6529" s="342"/>
      <c r="E6529" s="275"/>
      <c r="F6529" s="311"/>
      <c r="G6529" s="343"/>
      <c r="H6529" s="277"/>
    </row>
    <row r="6530" ht="13.65" customHeight="1">
      <c r="A6530" s="278"/>
      <c r="B6530" s="278"/>
      <c r="C6530" s="278"/>
      <c r="D6530" s="344"/>
      <c r="E6530" s="278"/>
      <c r="F6530" s="314"/>
      <c r="G6530" s="345"/>
      <c r="H6530" s="278"/>
    </row>
    <row r="6531" ht="13.65" customHeight="1">
      <c r="A6531" s="3"/>
      <c r="B6531" s="3"/>
      <c r="C6531" s="3"/>
      <c r="D6531" s="316"/>
      <c r="E6531" s="3"/>
      <c r="F6531" s="317"/>
      <c r="G6531" s="332"/>
      <c r="H6531" s="3"/>
    </row>
    <row r="6532" ht="13.65" customHeight="1">
      <c r="A6532" t="s" s="5">
        <v>976</v>
      </c>
      <c r="B6532" s="3"/>
      <c r="C6532" s="3"/>
      <c r="D6532" s="316"/>
      <c r="E6532" s="3"/>
      <c r="F6532" s="317"/>
      <c r="G6532" s="332"/>
      <c r="H6532" s="3"/>
    </row>
    <row r="6533" ht="13.65" customHeight="1">
      <c r="A6533" s="11"/>
      <c r="B6533" s="11"/>
      <c r="C6533" s="11"/>
      <c r="D6533" s="319"/>
      <c r="E6533" s="11"/>
      <c r="F6533" s="320"/>
      <c r="G6533" s="346"/>
      <c r="H6533" s="3"/>
    </row>
    <row r="6534" ht="13.65" customHeight="1">
      <c r="A6534" s="13"/>
      <c r="B6534" s="13"/>
      <c r="C6534" s="13"/>
      <c r="D6534" s="14"/>
      <c r="E6534" s="13"/>
      <c r="F6534" s="13"/>
      <c r="G6534" t="s" s="14">
        <v>92</v>
      </c>
      <c r="H6534" s="15"/>
    </row>
    <row r="6535" ht="13.65" customHeight="1">
      <c r="A6535" t="s" s="16">
        <v>93</v>
      </c>
      <c r="B6535" t="s" s="16">
        <v>94</v>
      </c>
      <c r="C6535" t="s" s="16">
        <v>95</v>
      </c>
      <c r="D6535" t="s" s="16">
        <v>96</v>
      </c>
      <c r="E6535" t="s" s="16">
        <v>97</v>
      </c>
      <c r="F6535" t="s" s="16">
        <v>98</v>
      </c>
      <c r="G6535" t="s" s="16">
        <v>99</v>
      </c>
      <c r="H6535" s="15"/>
    </row>
    <row r="6536" ht="13.65" customHeight="1">
      <c r="A6536" s="19"/>
      <c r="B6536" s="19"/>
      <c r="C6536" s="19"/>
      <c r="D6536" s="20"/>
      <c r="E6536" s="19"/>
      <c r="F6536" s="19"/>
      <c r="G6536" t="s" s="20">
        <v>100</v>
      </c>
      <c r="H6536" s="15"/>
    </row>
    <row r="6537" ht="13.65" customHeight="1">
      <c r="A6537" s="21">
        <v>141</v>
      </c>
      <c r="B6537" t="s" s="22">
        <v>893</v>
      </c>
      <c r="C6537" s="323">
        <v>100</v>
      </c>
      <c r="D6537" t="s" s="165">
        <v>274</v>
      </c>
      <c r="E6537" s="179">
        <v>10</v>
      </c>
      <c r="F6537" s="23">
        <v>25</v>
      </c>
      <c r="G6537" s="322" cm="1">
        <f t="array" ref="G6537">E6537/F6537</f>
        <v>0.4</v>
      </c>
      <c r="H6537" s="15"/>
    </row>
    <row r="6538" ht="13.65" customHeight="1">
      <c r="A6538" s="21">
        <v>142</v>
      </c>
      <c r="B6538" t="s" s="22">
        <v>894</v>
      </c>
      <c r="C6538" s="323">
        <v>1</v>
      </c>
      <c r="D6538" t="s" s="165">
        <v>102</v>
      </c>
      <c r="E6538" s="179">
        <v>3.02</v>
      </c>
      <c r="F6538" t="s" s="24">
        <v>387</v>
      </c>
      <c r="G6538" s="322" cm="1">
        <f t="array" ref="G6538">E6538*2</f>
        <v>6.04</v>
      </c>
      <c r="H6538" s="15"/>
    </row>
    <row r="6539" ht="13.65" customHeight="1">
      <c r="A6539" s="21">
        <v>144</v>
      </c>
      <c r="B6539" t="s" s="22">
        <v>896</v>
      </c>
      <c r="C6539" s="323">
        <v>280</v>
      </c>
      <c r="D6539" t="s" s="165">
        <v>104</v>
      </c>
      <c r="E6539" s="179">
        <v>137.5</v>
      </c>
      <c r="F6539" s="23">
        <v>280</v>
      </c>
      <c r="G6539" s="322" cm="1">
        <f t="array" ref="G6539">E6539/F6539</f>
        <v>0.491071428571429</v>
      </c>
      <c r="H6539" s="15"/>
    </row>
    <row r="6540" ht="13.65" customHeight="1">
      <c r="A6540" s="21">
        <v>145</v>
      </c>
      <c r="B6540" t="s" s="22">
        <v>897</v>
      </c>
      <c r="C6540" s="323">
        <v>50</v>
      </c>
      <c r="D6540" t="s" s="165">
        <v>104</v>
      </c>
      <c r="E6540" s="179">
        <v>100</v>
      </c>
      <c r="F6540" s="23">
        <v>50</v>
      </c>
      <c r="G6540" s="322" cm="1">
        <f t="array" ref="G6540">E6540/F6540</f>
        <v>2</v>
      </c>
      <c r="H6540" s="15"/>
    </row>
    <row r="6541" ht="13.65" customHeight="1">
      <c r="A6541" s="21">
        <v>146</v>
      </c>
      <c r="B6541" t="s" s="324">
        <v>972</v>
      </c>
      <c r="C6541" t="s" s="165">
        <v>899</v>
      </c>
      <c r="D6541" t="s" s="165">
        <v>950</v>
      </c>
      <c r="E6541" s="179">
        <v>270</v>
      </c>
      <c r="F6541" s="23">
        <v>53</v>
      </c>
      <c r="G6541" s="322" cm="1">
        <f t="array" ref="G6541">E6541/F6541</f>
        <v>5.09433962264151</v>
      </c>
      <c r="H6541" s="15"/>
    </row>
    <row r="6542" ht="13.65" customHeight="1">
      <c r="A6542" s="21">
        <v>47</v>
      </c>
      <c r="B6542" t="s" s="22">
        <v>901</v>
      </c>
      <c r="C6542" s="323">
        <v>1</v>
      </c>
      <c r="D6542" t="s" s="165">
        <v>277</v>
      </c>
      <c r="E6542" s="179">
        <v>0.61</v>
      </c>
      <c r="F6542" s="23">
        <v>2</v>
      </c>
      <c r="G6542" s="322" cm="1">
        <f t="array" ref="G6542">E6542/F6542</f>
        <v>0.305</v>
      </c>
      <c r="H6542" s="15"/>
    </row>
    <row r="6543" ht="13.65" customHeight="1">
      <c r="A6543" s="21">
        <v>167</v>
      </c>
      <c r="B6543" t="s" s="22">
        <v>977</v>
      </c>
      <c r="C6543" s="323">
        <v>1</v>
      </c>
      <c r="D6543" t="s" s="165">
        <v>104</v>
      </c>
      <c r="E6543" s="179">
        <v>6.28</v>
      </c>
      <c r="F6543" s="23">
        <v>1</v>
      </c>
      <c r="G6543" s="322" cm="1">
        <f t="array" ref="G6543">E6543/F6543</f>
        <v>6.28</v>
      </c>
      <c r="H6543" s="15"/>
    </row>
    <row r="6544" ht="13.65" customHeight="1">
      <c r="A6544" s="21">
        <v>55</v>
      </c>
      <c r="B6544" t="s" s="22">
        <v>111</v>
      </c>
      <c r="C6544" t="s" s="165">
        <v>112</v>
      </c>
      <c r="D6544" t="s" s="165">
        <v>978</v>
      </c>
      <c r="E6544" s="179">
        <v>2.71</v>
      </c>
      <c r="F6544" s="23">
        <v>18.75</v>
      </c>
      <c r="G6544" s="322" cm="1">
        <f t="array" ref="G6544">E6544/F6544</f>
        <v>0.144533333333333</v>
      </c>
      <c r="H6544" s="15"/>
    </row>
    <row r="6545" ht="13.65" customHeight="1">
      <c r="A6545" s="21">
        <v>57</v>
      </c>
      <c r="B6545" t="s" s="22">
        <v>253</v>
      </c>
      <c r="C6545" t="s" s="165">
        <v>254</v>
      </c>
      <c r="D6545" t="s" s="165">
        <v>951</v>
      </c>
      <c r="E6545" s="179">
        <v>4.5</v>
      </c>
      <c r="F6545" s="23">
        <v>66.66</v>
      </c>
      <c r="G6545" s="322" cm="1">
        <f t="array" ref="G6545">E6545/F6545</f>
        <v>0.06750675067506751</v>
      </c>
      <c r="H6545" s="15"/>
    </row>
    <row r="6546" ht="13.65" customHeight="1">
      <c r="A6546" s="21">
        <v>71</v>
      </c>
      <c r="B6546" t="s" s="22">
        <v>109</v>
      </c>
      <c r="C6546" s="323">
        <v>10</v>
      </c>
      <c r="D6546" t="s" s="165">
        <v>274</v>
      </c>
      <c r="E6546" s="179">
        <v>5.92</v>
      </c>
      <c r="F6546" s="23">
        <v>2.5</v>
      </c>
      <c r="G6546" s="322" cm="1">
        <f t="array" ref="G6546">E6546/F6546</f>
        <v>2.368</v>
      </c>
      <c r="H6546" s="15"/>
    </row>
    <row r="6547" ht="13.65" customHeight="1">
      <c r="A6547" s="21">
        <v>72</v>
      </c>
      <c r="B6547" t="s" s="22">
        <v>101</v>
      </c>
      <c r="C6547" s="323">
        <v>50</v>
      </c>
      <c r="D6547" t="s" s="165">
        <v>274</v>
      </c>
      <c r="E6547" s="179">
        <v>1.93</v>
      </c>
      <c r="F6547" s="23">
        <v>12.5</v>
      </c>
      <c r="G6547" s="322" cm="1">
        <f t="array" ref="G6547">E6547/F6547</f>
        <v>0.1544</v>
      </c>
      <c r="H6547" s="15"/>
    </row>
    <row r="6548" ht="13.65" customHeight="1">
      <c r="A6548" s="21">
        <v>86</v>
      </c>
      <c r="B6548" t="s" s="22">
        <v>107</v>
      </c>
      <c r="C6548" t="s" s="165">
        <v>108</v>
      </c>
      <c r="D6548" t="s" s="165">
        <v>274</v>
      </c>
      <c r="E6548" s="179">
        <v>0.32</v>
      </c>
      <c r="F6548" t="s" s="24">
        <v>301</v>
      </c>
      <c r="G6548" s="322" cm="1">
        <f t="array" ref="G6548">E6548*4</f>
        <v>1.28</v>
      </c>
      <c r="H6548" s="15"/>
    </row>
    <row r="6549" ht="13.65" customHeight="1">
      <c r="A6549" s="21">
        <v>149</v>
      </c>
      <c r="B6549" t="s" s="22">
        <v>906</v>
      </c>
      <c r="C6549" s="323">
        <v>100</v>
      </c>
      <c r="D6549" t="s" s="165">
        <v>104</v>
      </c>
      <c r="E6549" s="179">
        <v>9.6</v>
      </c>
      <c r="F6549" s="23">
        <v>100</v>
      </c>
      <c r="G6549" s="322" cm="1">
        <f t="array" ref="G6549">E6549/F6549</f>
        <v>0.096</v>
      </c>
      <c r="H6549" s="15"/>
    </row>
    <row r="6550" ht="13.65" customHeight="1">
      <c r="A6550" s="21">
        <v>87</v>
      </c>
      <c r="B6550" t="s" s="22">
        <v>110</v>
      </c>
      <c r="C6550" s="323">
        <v>50</v>
      </c>
      <c r="D6550" t="s" s="165">
        <v>274</v>
      </c>
      <c r="E6550" s="179">
        <v>11.2</v>
      </c>
      <c r="F6550" s="23">
        <v>12.5</v>
      </c>
      <c r="G6550" s="322" cm="1">
        <f t="array" ref="G6550">E6550/F6550</f>
        <v>0.896</v>
      </c>
      <c r="H6550" s="15"/>
    </row>
    <row r="6551" ht="13.65" customHeight="1">
      <c r="A6551" s="21">
        <v>100</v>
      </c>
      <c r="B6551" t="s" s="22">
        <v>376</v>
      </c>
      <c r="C6551" t="s" s="165">
        <v>377</v>
      </c>
      <c r="D6551" t="s" s="165">
        <v>378</v>
      </c>
      <c r="E6551" s="179">
        <v>4.5</v>
      </c>
      <c r="F6551" s="23">
        <v>40</v>
      </c>
      <c r="G6551" s="322" cm="1">
        <f t="array" ref="G6551">E6551/F6551</f>
        <v>0.1125</v>
      </c>
      <c r="H6551" s="15"/>
    </row>
    <row r="6552" ht="13.65" customHeight="1">
      <c r="A6552" s="21">
        <v>111</v>
      </c>
      <c r="B6552" t="s" s="22">
        <v>476</v>
      </c>
      <c r="C6552" s="323">
        <v>1</v>
      </c>
      <c r="D6552" t="s" s="165">
        <v>937</v>
      </c>
      <c r="E6552" s="179">
        <v>2.7</v>
      </c>
      <c r="F6552" s="23">
        <v>30</v>
      </c>
      <c r="G6552" s="322" cm="1">
        <f t="array" ref="G6552">E6552/F6552</f>
        <v>0.09</v>
      </c>
      <c r="H6552" s="15"/>
    </row>
    <row r="6553" ht="13.65" customHeight="1">
      <c r="A6553" s="21">
        <v>117</v>
      </c>
      <c r="B6553" t="s" s="22">
        <v>586</v>
      </c>
      <c r="C6553" s="323">
        <v>100</v>
      </c>
      <c r="D6553" t="s" s="165">
        <v>106</v>
      </c>
      <c r="E6553" s="179">
        <v>1.2</v>
      </c>
      <c r="F6553" s="23">
        <v>10</v>
      </c>
      <c r="G6553" s="322" cm="1">
        <f t="array" ref="G6553">E6553/F6553</f>
        <v>0.12</v>
      </c>
      <c r="H6553" s="15"/>
    </row>
    <row r="6554" ht="13.65" customHeight="1">
      <c r="A6554" s="21">
        <v>123</v>
      </c>
      <c r="B6554" t="s" s="22">
        <v>103</v>
      </c>
      <c r="C6554" s="323">
        <v>40</v>
      </c>
      <c r="D6554" t="s" s="165">
        <v>104</v>
      </c>
      <c r="E6554" s="179">
        <v>3.2</v>
      </c>
      <c r="F6554" s="23">
        <v>40</v>
      </c>
      <c r="G6554" s="322" cm="1">
        <f t="array" ref="G6554">E6554/F6554</f>
        <v>0.08</v>
      </c>
      <c r="H6554" s="15"/>
    </row>
    <row r="6555" ht="13.65" customHeight="1">
      <c r="A6555" s="21">
        <v>124</v>
      </c>
      <c r="B6555" t="s" s="22">
        <v>372</v>
      </c>
      <c r="C6555" s="323">
        <v>1</v>
      </c>
      <c r="D6555" t="s" s="165">
        <v>427</v>
      </c>
      <c r="E6555" s="179">
        <v>2.2</v>
      </c>
      <c r="F6555" s="23">
        <v>2</v>
      </c>
      <c r="G6555" s="322" cm="1">
        <f t="array" ref="G6555">E6555/F6555</f>
        <v>1.1</v>
      </c>
      <c r="H6555" s="15"/>
    </row>
    <row r="6556" ht="13.65" customHeight="1">
      <c r="A6556" s="21">
        <v>152</v>
      </c>
      <c r="B6556" t="s" s="22">
        <v>911</v>
      </c>
      <c r="C6556" s="323">
        <v>1</v>
      </c>
      <c r="D6556" t="s" s="165">
        <v>102</v>
      </c>
      <c r="E6556" s="179">
        <v>4.04</v>
      </c>
      <c r="F6556" t="s" s="24">
        <v>387</v>
      </c>
      <c r="G6556" s="322" cm="1">
        <f t="array" ref="G6556">E6556*2</f>
        <v>8.08</v>
      </c>
      <c r="H6556" s="15"/>
    </row>
    <row r="6557" ht="13.65" customHeight="1">
      <c r="A6557" s="21">
        <v>153</v>
      </c>
      <c r="B6557" t="s" s="22">
        <v>912</v>
      </c>
      <c r="C6557" s="323">
        <v>1</v>
      </c>
      <c r="D6557" t="s" s="165">
        <v>102</v>
      </c>
      <c r="E6557" s="179">
        <v>6.63</v>
      </c>
      <c r="F6557" t="s" s="24">
        <v>387</v>
      </c>
      <c r="G6557" s="322" cm="1">
        <f t="array" ref="G6557">E6557*2</f>
        <v>13.26</v>
      </c>
      <c r="H6557" s="15"/>
    </row>
    <row r="6558" ht="13.65" customHeight="1">
      <c r="A6558" s="28"/>
      <c r="B6558" s="28"/>
      <c r="C6558" s="141"/>
      <c r="D6558" s="165"/>
      <c r="E6558" s="28"/>
      <c r="F6558" t="s" s="24">
        <v>118</v>
      </c>
      <c r="G6558" s="322" cm="1">
        <f t="array" ref="G6558">SUM(G6537:G6557)</f>
        <v>48.4593511352213</v>
      </c>
      <c r="H6558" s="15"/>
    </row>
    <row r="6559" ht="13.65" customHeight="1">
      <c r="A6559" s="129"/>
      <c r="B6559" s="129"/>
      <c r="C6559" s="265"/>
      <c r="D6559" s="166"/>
      <c r="E6559" s="357"/>
      <c r="F6559" s="176"/>
      <c r="G6559" s="327"/>
      <c r="H6559" s="3"/>
    </row>
    <row r="6560" ht="11.7" customHeight="1">
      <c r="A6560" t="s" s="328">
        <v>136</v>
      </c>
      <c r="B6560" t="s" s="167">
        <v>913</v>
      </c>
      <c r="C6560" t="s" s="167">
        <v>914</v>
      </c>
      <c r="D6560" t="s" s="329">
        <v>979</v>
      </c>
      <c r="E6560" s="330"/>
      <c r="F6560" s="170"/>
      <c r="G6560" s="355"/>
      <c r="H6560" s="356"/>
    </row>
    <row r="6561" ht="13.65" customHeight="1">
      <c r="A6561" s="21">
        <v>70</v>
      </c>
      <c r="B6561" s="172" cm="1">
        <f t="array" ref="B6561">SUM(H256)</f>
        <v>2.47496540404041</v>
      </c>
      <c r="C6561" s="172" cm="1">
        <f t="array" ref="C6561">G6558</f>
        <v>48.4593511352213</v>
      </c>
      <c r="D6561" s="199" cm="1">
        <f t="array" ref="D6561">SUM(A6561*B6561)+(C6561)</f>
        <v>221.706929418050</v>
      </c>
      <c r="E6561" s="200"/>
      <c r="F6561" s="331"/>
      <c r="G6561" s="332"/>
      <c r="H6561" s="3"/>
    </row>
    <row r="6562" ht="13.65" customHeight="1">
      <c r="A6562" s="129"/>
      <c r="B6562" s="129"/>
      <c r="C6562" s="333"/>
      <c r="D6562" s="166"/>
      <c r="E6562" s="136"/>
      <c r="F6562" s="317"/>
      <c r="G6562" s="332"/>
      <c r="H6562" s="3"/>
    </row>
    <row r="6563" ht="13.65" customHeight="1">
      <c r="A6563" t="s" s="22">
        <v>954</v>
      </c>
      <c r="B6563" t="s" s="132">
        <v>955</v>
      </c>
      <c r="C6563" s="131"/>
      <c r="D6563" t="s" s="165">
        <v>918</v>
      </c>
      <c r="E6563" s="15"/>
      <c r="F6563" s="317"/>
      <c r="G6563" s="332"/>
      <c r="H6563" s="3"/>
    </row>
    <row r="6564" ht="13.65" customHeight="1">
      <c r="A6564" t="s" s="22">
        <v>922</v>
      </c>
      <c r="B6564" t="s" s="132">
        <v>980</v>
      </c>
      <c r="C6564" s="131"/>
      <c r="D6564" t="s" s="165">
        <v>918</v>
      </c>
      <c r="E6564" s="15"/>
      <c r="F6564" s="317"/>
      <c r="G6564" s="332"/>
      <c r="H6564" s="3"/>
    </row>
    <row r="6565" ht="13.65" customHeight="1">
      <c r="A6565" s="28"/>
      <c r="B6565" s="164"/>
      <c r="C6565" t="s" s="358">
        <v>924</v>
      </c>
      <c r="D6565" t="s" s="165">
        <v>102</v>
      </c>
      <c r="E6565" s="15"/>
      <c r="F6565" s="317"/>
      <c r="G6565" s="332"/>
      <c r="H6565" s="3"/>
    </row>
    <row r="6566" ht="13.65" customHeight="1">
      <c r="A6566" s="31"/>
      <c r="B6566" s="31"/>
      <c r="C6566" s="31"/>
      <c r="D6566" s="32"/>
      <c r="E6566" s="3"/>
      <c r="F6566" s="317"/>
      <c r="G6566" s="332"/>
      <c r="H6566" s="3"/>
    </row>
    <row r="6567" ht="13.65" customHeight="1">
      <c r="A6567" s="203"/>
      <c r="B6567" s="203"/>
      <c r="C6567" s="203"/>
      <c r="D6567" s="349"/>
      <c r="E6567" s="203"/>
      <c r="F6567" s="340"/>
      <c r="G6567" s="341"/>
      <c r="H6567" s="203"/>
    </row>
    <row r="6568" ht="13.65" customHeight="1">
      <c r="A6568" t="s" s="274">
        <v>853</v>
      </c>
      <c r="B6568" s="275"/>
      <c r="C6568" s="275"/>
      <c r="D6568" s="342"/>
      <c r="E6568" s="275"/>
      <c r="F6568" s="311"/>
      <c r="G6568" s="343"/>
      <c r="H6568" s="277"/>
    </row>
    <row r="6569" ht="13.65" customHeight="1">
      <c r="A6569" s="278"/>
      <c r="B6569" s="278"/>
      <c r="C6569" s="278"/>
      <c r="D6569" s="344"/>
      <c r="E6569" s="278"/>
      <c r="F6569" s="314"/>
      <c r="G6569" s="345"/>
      <c r="H6569" s="278"/>
    </row>
    <row r="6570" ht="13.65" customHeight="1">
      <c r="A6570" s="3"/>
      <c r="B6570" s="3"/>
      <c r="C6570" s="3"/>
      <c r="D6570" s="316"/>
      <c r="E6570" s="3"/>
      <c r="F6570" s="317"/>
      <c r="G6570" s="332"/>
      <c r="H6570" s="3"/>
    </row>
    <row r="6571" ht="13.65" customHeight="1">
      <c r="A6571" t="s" s="5">
        <v>981</v>
      </c>
      <c r="B6571" s="3"/>
      <c r="C6571" s="3"/>
      <c r="D6571" s="316"/>
      <c r="E6571" s="3"/>
      <c r="F6571" s="317"/>
      <c r="G6571" s="332"/>
      <c r="H6571" s="3"/>
    </row>
    <row r="6572" ht="13.65" customHeight="1">
      <c r="A6572" s="11"/>
      <c r="B6572" s="11"/>
      <c r="C6572" s="11"/>
      <c r="D6572" s="319"/>
      <c r="E6572" s="11"/>
      <c r="F6572" s="320"/>
      <c r="G6572" s="346"/>
      <c r="H6572" s="3"/>
    </row>
    <row r="6573" ht="13.65" customHeight="1">
      <c r="A6573" s="13"/>
      <c r="B6573" s="13"/>
      <c r="C6573" s="13"/>
      <c r="D6573" s="14"/>
      <c r="E6573" s="13"/>
      <c r="F6573" s="13"/>
      <c r="G6573" t="s" s="14">
        <v>92</v>
      </c>
      <c r="H6573" s="15"/>
    </row>
    <row r="6574" ht="13.65" customHeight="1">
      <c r="A6574" t="s" s="16">
        <v>93</v>
      </c>
      <c r="B6574" t="s" s="16">
        <v>94</v>
      </c>
      <c r="C6574" t="s" s="16">
        <v>95</v>
      </c>
      <c r="D6574" t="s" s="16">
        <v>96</v>
      </c>
      <c r="E6574" t="s" s="16">
        <v>97</v>
      </c>
      <c r="F6574" t="s" s="16">
        <v>98</v>
      </c>
      <c r="G6574" t="s" s="16">
        <v>99</v>
      </c>
      <c r="H6574" s="15"/>
    </row>
    <row r="6575" ht="13.65" customHeight="1">
      <c r="A6575" s="19"/>
      <c r="B6575" s="19"/>
      <c r="C6575" s="19"/>
      <c r="D6575" s="20"/>
      <c r="E6575" s="19"/>
      <c r="F6575" s="19"/>
      <c r="G6575" t="s" s="20">
        <v>100</v>
      </c>
      <c r="H6575" s="15"/>
    </row>
    <row r="6576" ht="13.65" customHeight="1">
      <c r="A6576" s="21">
        <v>141</v>
      </c>
      <c r="B6576" t="s" s="22">
        <v>893</v>
      </c>
      <c r="C6576" s="323">
        <v>100</v>
      </c>
      <c r="D6576" t="s" s="165">
        <v>274</v>
      </c>
      <c r="E6576" s="179">
        <v>10</v>
      </c>
      <c r="F6576" s="23">
        <v>25</v>
      </c>
      <c r="G6576" s="322" cm="1">
        <f t="array" ref="G6576">E6576/F6576</f>
        <v>0.4</v>
      </c>
      <c r="H6576" s="15"/>
    </row>
    <row r="6577" ht="13.65" customHeight="1">
      <c r="A6577" s="21">
        <v>166</v>
      </c>
      <c r="B6577" t="s" s="22">
        <v>477</v>
      </c>
      <c r="C6577" s="323">
        <v>500</v>
      </c>
      <c r="D6577" t="s" s="165">
        <v>663</v>
      </c>
      <c r="E6577" s="179">
        <v>29.73</v>
      </c>
      <c r="F6577" s="23">
        <v>12.5</v>
      </c>
      <c r="G6577" s="322" cm="1">
        <f t="array" ref="G6577">E6577/F6577</f>
        <v>2.3784</v>
      </c>
      <c r="H6577" s="15"/>
    </row>
    <row r="6578" ht="13.65" customHeight="1">
      <c r="A6578" s="21">
        <v>142</v>
      </c>
      <c r="B6578" t="s" s="22">
        <v>894</v>
      </c>
      <c r="C6578" s="323">
        <v>1</v>
      </c>
      <c r="D6578" t="s" s="165">
        <v>102</v>
      </c>
      <c r="E6578" s="179">
        <v>3.02</v>
      </c>
      <c r="F6578" t="s" s="24">
        <v>387</v>
      </c>
      <c r="G6578" s="322" cm="1">
        <f t="array" ref="G6578">E6578*2</f>
        <v>6.04</v>
      </c>
      <c r="H6578" s="15"/>
    </row>
    <row r="6579" ht="13.65" customHeight="1">
      <c r="A6579" s="21">
        <v>144</v>
      </c>
      <c r="B6579" t="s" s="22">
        <v>896</v>
      </c>
      <c r="C6579" s="323">
        <v>280</v>
      </c>
      <c r="D6579" t="s" s="165">
        <v>104</v>
      </c>
      <c r="E6579" s="179">
        <v>137.5</v>
      </c>
      <c r="F6579" s="23">
        <v>280</v>
      </c>
      <c r="G6579" s="322" cm="1">
        <f t="array" ref="G6579">E6579/F6579</f>
        <v>0.491071428571429</v>
      </c>
      <c r="H6579" s="15"/>
    </row>
    <row r="6580" ht="13.65" customHeight="1">
      <c r="A6580" s="21">
        <v>145</v>
      </c>
      <c r="B6580" t="s" s="22">
        <v>897</v>
      </c>
      <c r="C6580" s="323">
        <v>50</v>
      </c>
      <c r="D6580" t="s" s="165">
        <v>104</v>
      </c>
      <c r="E6580" s="179">
        <v>100</v>
      </c>
      <c r="F6580" s="23">
        <v>50</v>
      </c>
      <c r="G6580" s="322" cm="1">
        <f t="array" ref="G6580">E6580/F6580</f>
        <v>2</v>
      </c>
      <c r="H6580" s="15"/>
    </row>
    <row r="6581" ht="13.65" customHeight="1">
      <c r="A6581" s="21">
        <v>146</v>
      </c>
      <c r="B6581" t="s" s="324">
        <v>972</v>
      </c>
      <c r="C6581" t="s" s="165">
        <v>899</v>
      </c>
      <c r="D6581" t="s" s="165">
        <v>950</v>
      </c>
      <c r="E6581" s="179">
        <v>270</v>
      </c>
      <c r="F6581" s="23">
        <v>53</v>
      </c>
      <c r="G6581" s="322" cm="1">
        <f t="array" ref="G6581">E6581/F6581</f>
        <v>5.09433962264151</v>
      </c>
      <c r="H6581" s="15"/>
    </row>
    <row r="6582" ht="13.65" customHeight="1">
      <c r="A6582" s="21">
        <v>47</v>
      </c>
      <c r="B6582" t="s" s="22">
        <v>901</v>
      </c>
      <c r="C6582" s="323">
        <v>1</v>
      </c>
      <c r="D6582" t="s" s="165">
        <v>277</v>
      </c>
      <c r="E6582" s="179">
        <v>0.61</v>
      </c>
      <c r="F6582" s="23">
        <v>2</v>
      </c>
      <c r="G6582" s="322" cm="1">
        <f t="array" ref="G6582">E6582/F6582</f>
        <v>0.305</v>
      </c>
      <c r="H6582" s="15"/>
    </row>
    <row r="6583" ht="13.65" customHeight="1">
      <c r="A6583" s="21">
        <v>55</v>
      </c>
      <c r="B6583" t="s" s="22">
        <v>111</v>
      </c>
      <c r="C6583" t="s" s="165">
        <v>112</v>
      </c>
      <c r="D6583" t="s" s="165">
        <v>964</v>
      </c>
      <c r="E6583" s="179">
        <v>2.71</v>
      </c>
      <c r="F6583" s="23">
        <v>12.5</v>
      </c>
      <c r="G6583" s="322" cm="1">
        <f t="array" ref="G6583">E6583/F6583</f>
        <v>0.2168</v>
      </c>
      <c r="H6583" s="15"/>
    </row>
    <row r="6584" ht="13.65" customHeight="1">
      <c r="A6584" s="21">
        <v>57</v>
      </c>
      <c r="B6584" t="s" s="22">
        <v>253</v>
      </c>
      <c r="C6584" t="s" s="165">
        <v>254</v>
      </c>
      <c r="D6584" t="s" s="165">
        <v>951</v>
      </c>
      <c r="E6584" s="179">
        <v>4.5</v>
      </c>
      <c r="F6584" s="23">
        <v>66.66</v>
      </c>
      <c r="G6584" s="322" cm="1">
        <f t="array" ref="G6584">E6584/F6584</f>
        <v>0.06750675067506751</v>
      </c>
      <c r="H6584" s="15"/>
    </row>
    <row r="6585" ht="13.65" customHeight="1">
      <c r="A6585" s="21">
        <v>68</v>
      </c>
      <c r="B6585" t="s" s="22">
        <v>480</v>
      </c>
      <c r="C6585" s="323">
        <v>1000</v>
      </c>
      <c r="D6585" t="s" s="165">
        <v>936</v>
      </c>
      <c r="E6585" s="179">
        <v>16</v>
      </c>
      <c r="F6585" s="23">
        <v>10</v>
      </c>
      <c r="G6585" s="322" cm="1">
        <f t="array" ref="G6585">E6585/F6585</f>
        <v>1.6</v>
      </c>
      <c r="H6585" s="15"/>
    </row>
    <row r="6586" ht="13.65" customHeight="1">
      <c r="A6586" s="21">
        <v>71</v>
      </c>
      <c r="B6586" t="s" s="22">
        <v>109</v>
      </c>
      <c r="C6586" s="323">
        <v>10</v>
      </c>
      <c r="D6586" t="s" s="165">
        <v>405</v>
      </c>
      <c r="E6586" s="179">
        <v>5.92</v>
      </c>
      <c r="F6586" s="23">
        <v>1.66</v>
      </c>
      <c r="G6586" s="322" cm="1">
        <f t="array" ref="G6586">E6586/F6586</f>
        <v>3.56626506024096</v>
      </c>
      <c r="H6586" s="15"/>
    </row>
    <row r="6587" ht="13.65" customHeight="1">
      <c r="A6587" s="21">
        <v>72</v>
      </c>
      <c r="B6587" t="s" s="22">
        <v>101</v>
      </c>
      <c r="C6587" s="323">
        <v>50</v>
      </c>
      <c r="D6587" s="353">
        <v>6</v>
      </c>
      <c r="E6587" s="179">
        <v>1.93</v>
      </c>
      <c r="F6587" s="23">
        <v>6.25</v>
      </c>
      <c r="G6587" s="322" cm="1">
        <f t="array" ref="G6587">E6587/F6587</f>
        <v>0.3088</v>
      </c>
      <c r="H6587" s="15"/>
    </row>
    <row r="6588" ht="13.65" customHeight="1">
      <c r="A6588" s="21">
        <v>86</v>
      </c>
      <c r="B6588" t="s" s="22">
        <v>107</v>
      </c>
      <c r="C6588" t="s" s="165">
        <v>108</v>
      </c>
      <c r="D6588" t="s" s="165">
        <v>405</v>
      </c>
      <c r="E6588" s="179">
        <v>0.32</v>
      </c>
      <c r="F6588" t="s" s="24">
        <v>967</v>
      </c>
      <c r="G6588" s="322" cm="1">
        <f t="array" ref="G6588">E6588*6</f>
        <v>1.92</v>
      </c>
      <c r="H6588" s="15"/>
    </row>
    <row r="6589" ht="13.65" customHeight="1">
      <c r="A6589" s="21">
        <v>149</v>
      </c>
      <c r="B6589" t="s" s="22">
        <v>906</v>
      </c>
      <c r="C6589" s="323">
        <v>100</v>
      </c>
      <c r="D6589" t="s" s="165">
        <v>102</v>
      </c>
      <c r="E6589" s="179">
        <v>9.6</v>
      </c>
      <c r="F6589" s="23">
        <v>50</v>
      </c>
      <c r="G6589" s="322" cm="1">
        <f t="array" ref="G6589">E6589/F6589</f>
        <v>0.192</v>
      </c>
      <c r="H6589" s="15"/>
    </row>
    <row r="6590" ht="13.65" customHeight="1">
      <c r="A6590" s="21">
        <v>87</v>
      </c>
      <c r="B6590" t="s" s="22">
        <v>110</v>
      </c>
      <c r="C6590" s="323">
        <v>50</v>
      </c>
      <c r="D6590" t="s" s="165">
        <v>405</v>
      </c>
      <c r="E6590" s="179">
        <v>11.2</v>
      </c>
      <c r="F6590" s="23">
        <v>8.33</v>
      </c>
      <c r="G6590" s="322" cm="1">
        <f t="array" ref="G6590">E6590/F6590</f>
        <v>1.34453781512605</v>
      </c>
      <c r="H6590" s="15"/>
    </row>
    <row r="6591" ht="13.65" customHeight="1">
      <c r="A6591" s="21">
        <v>100</v>
      </c>
      <c r="B6591" t="s" s="22">
        <v>376</v>
      </c>
      <c r="C6591" t="s" s="165">
        <v>377</v>
      </c>
      <c r="D6591" t="s" s="165">
        <v>378</v>
      </c>
      <c r="E6591" s="179">
        <v>4.5</v>
      </c>
      <c r="F6591" s="23">
        <v>40</v>
      </c>
      <c r="G6591" s="322" cm="1">
        <f t="array" ref="G6591">E6591/F6591</f>
        <v>0.1125</v>
      </c>
      <c r="H6591" s="15"/>
    </row>
    <row r="6592" ht="13.65" customHeight="1">
      <c r="A6592" s="21">
        <v>111</v>
      </c>
      <c r="B6592" t="s" s="22">
        <v>476</v>
      </c>
      <c r="C6592" s="323">
        <v>1</v>
      </c>
      <c r="D6592" t="s" s="165">
        <v>937</v>
      </c>
      <c r="E6592" s="179">
        <v>2.7</v>
      </c>
      <c r="F6592" s="23">
        <v>30</v>
      </c>
      <c r="G6592" s="322" cm="1">
        <f t="array" ref="G6592">E6592/F6592</f>
        <v>0.09</v>
      </c>
      <c r="H6592" s="15"/>
    </row>
    <row r="6593" ht="13.65" customHeight="1">
      <c r="A6593" s="21">
        <v>117</v>
      </c>
      <c r="B6593" t="s" s="22">
        <v>586</v>
      </c>
      <c r="C6593" s="323">
        <v>100</v>
      </c>
      <c r="D6593" t="s" s="165">
        <v>106</v>
      </c>
      <c r="E6593" s="179">
        <v>1.2</v>
      </c>
      <c r="F6593" s="23">
        <v>10</v>
      </c>
      <c r="G6593" s="322" cm="1">
        <f t="array" ref="G6593">E6593/F6593</f>
        <v>0.12</v>
      </c>
      <c r="H6593" s="15"/>
    </row>
    <row r="6594" ht="13.65" customHeight="1">
      <c r="A6594" s="21">
        <v>123</v>
      </c>
      <c r="B6594" t="s" s="22">
        <v>103</v>
      </c>
      <c r="C6594" s="323">
        <v>40</v>
      </c>
      <c r="D6594" t="s" s="165">
        <v>104</v>
      </c>
      <c r="E6594" s="179">
        <v>3.2</v>
      </c>
      <c r="F6594" s="23">
        <v>40</v>
      </c>
      <c r="G6594" s="322" cm="1">
        <f t="array" ref="G6594">E6594/F6594</f>
        <v>0.08</v>
      </c>
      <c r="H6594" s="15"/>
    </row>
    <row r="6595" ht="13.65" customHeight="1">
      <c r="A6595" s="21">
        <v>124</v>
      </c>
      <c r="B6595" t="s" s="22">
        <v>372</v>
      </c>
      <c r="C6595" s="323">
        <v>1</v>
      </c>
      <c r="D6595" t="s" s="165">
        <v>427</v>
      </c>
      <c r="E6595" s="179">
        <v>2.2</v>
      </c>
      <c r="F6595" s="23">
        <v>2</v>
      </c>
      <c r="G6595" s="322" cm="1">
        <f t="array" ref="G6595">E6595/F6595</f>
        <v>1.1</v>
      </c>
      <c r="H6595" s="15"/>
    </row>
    <row r="6596" ht="13.65" customHeight="1">
      <c r="A6596" s="21">
        <v>152</v>
      </c>
      <c r="B6596" t="s" s="22">
        <v>911</v>
      </c>
      <c r="C6596" s="323">
        <v>1</v>
      </c>
      <c r="D6596" t="s" s="165">
        <v>102</v>
      </c>
      <c r="E6596" s="179">
        <v>4.04</v>
      </c>
      <c r="F6596" t="s" s="24">
        <v>387</v>
      </c>
      <c r="G6596" s="322" cm="1">
        <f t="array" ref="G6596">E6596*2</f>
        <v>8.08</v>
      </c>
      <c r="H6596" s="15"/>
    </row>
    <row r="6597" ht="13.65" customHeight="1">
      <c r="A6597" s="21">
        <v>153</v>
      </c>
      <c r="B6597" t="s" s="22">
        <v>912</v>
      </c>
      <c r="C6597" s="323">
        <v>1</v>
      </c>
      <c r="D6597" t="s" s="165">
        <v>102</v>
      </c>
      <c r="E6597" s="179">
        <v>6.63</v>
      </c>
      <c r="F6597" t="s" s="24">
        <v>387</v>
      </c>
      <c r="G6597" s="322" cm="1">
        <f t="array" ref="G6597">E6597*2</f>
        <v>13.26</v>
      </c>
      <c r="H6597" s="15"/>
    </row>
    <row r="6598" ht="13.65" customHeight="1">
      <c r="A6598" s="28"/>
      <c r="B6598" t="s" s="22">
        <v>482</v>
      </c>
      <c r="C6598" s="323">
        <v>1</v>
      </c>
      <c r="D6598" t="s" s="165">
        <v>104</v>
      </c>
      <c r="E6598" s="179"/>
      <c r="F6598" s="23">
        <v>1</v>
      </c>
      <c r="G6598" s="322">
        <v>35</v>
      </c>
      <c r="H6598" s="15"/>
    </row>
    <row r="6599" ht="13.65" customHeight="1">
      <c r="A6599" s="28"/>
      <c r="B6599" s="28"/>
      <c r="C6599" s="141"/>
      <c r="D6599" s="165"/>
      <c r="E6599" s="28"/>
      <c r="F6599" t="s" s="24">
        <v>118</v>
      </c>
      <c r="G6599" s="322" cm="1">
        <f t="array" ref="G6599">SUM(G6576:G6598)</f>
        <v>83.767220677255</v>
      </c>
      <c r="H6599" s="15"/>
    </row>
    <row r="6600" ht="13.65" customHeight="1">
      <c r="A6600" s="129"/>
      <c r="B6600" s="129"/>
      <c r="C6600" s="129"/>
      <c r="D6600" s="166"/>
      <c r="E6600" s="129"/>
      <c r="F6600" s="176"/>
      <c r="G6600" s="327"/>
      <c r="H6600" s="3"/>
    </row>
    <row r="6601" ht="11.7" customHeight="1">
      <c r="A6601" t="s" s="328">
        <v>136</v>
      </c>
      <c r="B6601" t="s" s="167">
        <v>913</v>
      </c>
      <c r="C6601" t="s" s="167">
        <v>914</v>
      </c>
      <c r="D6601" t="s" s="329">
        <v>973</v>
      </c>
      <c r="E6601" s="330"/>
      <c r="F6601" s="170"/>
      <c r="G6601" s="355"/>
      <c r="H6601" s="356"/>
    </row>
    <row r="6602" ht="13.65" customHeight="1">
      <c r="A6602" s="21">
        <v>100</v>
      </c>
      <c r="B6602" s="172" cm="1">
        <f t="array" ref="B6602">SUM(H256)</f>
        <v>2.47496540404041</v>
      </c>
      <c r="C6602" s="172" cm="1">
        <f t="array" ref="C6602">SUM(G6599)</f>
        <v>83.767220677255</v>
      </c>
      <c r="D6602" s="199" cm="1">
        <f t="array" ref="D6602">SUM(A6602*B6602)+(C6602)</f>
        <v>331.263761081296</v>
      </c>
      <c r="E6602" s="200"/>
      <c r="F6602" s="331"/>
      <c r="G6602" s="332"/>
      <c r="H6602" s="3"/>
    </row>
    <row r="6603" ht="13.65" customHeight="1">
      <c r="A6603" s="129"/>
      <c r="B6603" s="129"/>
      <c r="C6603" s="333"/>
      <c r="D6603" s="166"/>
      <c r="E6603" s="136"/>
      <c r="F6603" s="317"/>
      <c r="G6603" s="332"/>
      <c r="H6603" s="3"/>
    </row>
    <row r="6604" ht="13.65" customHeight="1">
      <c r="A6604" t="s" s="22">
        <v>954</v>
      </c>
      <c r="B6604" t="s" s="132">
        <v>955</v>
      </c>
      <c r="C6604" s="131"/>
      <c r="D6604" t="s" s="165">
        <v>918</v>
      </c>
      <c r="E6604" s="15"/>
      <c r="F6604" s="317"/>
      <c r="G6604" s="332"/>
      <c r="H6604" s="3"/>
    </row>
    <row r="6605" ht="13.65" customHeight="1">
      <c r="A6605" t="s" s="22">
        <v>922</v>
      </c>
      <c r="B6605" t="s" s="132">
        <v>968</v>
      </c>
      <c r="C6605" s="131"/>
      <c r="D6605" t="s" s="165">
        <v>918</v>
      </c>
      <c r="E6605" s="15"/>
      <c r="F6605" s="317"/>
      <c r="G6605" s="332"/>
      <c r="H6605" s="3"/>
    </row>
    <row r="6606" ht="13.65" customHeight="1">
      <c r="A6606" t="s" s="22">
        <v>969</v>
      </c>
      <c r="B6606" t="s" s="132">
        <v>970</v>
      </c>
      <c r="C6606" s="131"/>
      <c r="D6606" t="s" s="165">
        <v>918</v>
      </c>
      <c r="E6606" s="15"/>
      <c r="F6606" s="317"/>
      <c r="G6606" s="332"/>
      <c r="H6606" s="3"/>
    </row>
    <row r="6607" ht="13.65" customHeight="1">
      <c r="A6607" s="28"/>
      <c r="B6607" s="164"/>
      <c r="C6607" t="s" s="334">
        <v>924</v>
      </c>
      <c r="D6607" t="s" s="335">
        <v>256</v>
      </c>
      <c r="E6607" s="15"/>
      <c r="F6607" s="317"/>
      <c r="G6607" s="332"/>
      <c r="H6607" s="3"/>
    </row>
    <row r="6608" ht="13.65" customHeight="1">
      <c r="A6608" s="31"/>
      <c r="B6608" s="31"/>
      <c r="C6608" s="31"/>
      <c r="D6608" s="32"/>
      <c r="E6608" s="3"/>
      <c r="F6608" s="317"/>
      <c r="G6608" s="332"/>
      <c r="H6608" s="3"/>
    </row>
    <row r="6609" ht="13.65" customHeight="1">
      <c r="A6609" s="203"/>
      <c r="B6609" s="203"/>
      <c r="C6609" s="203"/>
      <c r="D6609" s="349"/>
      <c r="E6609" s="203"/>
      <c r="F6609" s="340"/>
      <c r="G6609" s="341"/>
      <c r="H6609" s="203"/>
    </row>
    <row r="6610" ht="13.65" customHeight="1">
      <c r="A6610" t="s" s="274">
        <v>853</v>
      </c>
      <c r="B6610" s="275"/>
      <c r="C6610" s="275"/>
      <c r="D6610" s="342"/>
      <c r="E6610" s="275"/>
      <c r="F6610" s="311"/>
      <c r="G6610" s="343"/>
      <c r="H6610" s="277"/>
    </row>
    <row r="6611" ht="13.65" customHeight="1">
      <c r="A6611" s="278"/>
      <c r="B6611" s="278"/>
      <c r="C6611" s="278"/>
      <c r="D6611" s="344"/>
      <c r="E6611" s="278"/>
      <c r="F6611" s="314"/>
      <c r="G6611" s="345"/>
      <c r="H6611" s="278"/>
    </row>
    <row r="6612" ht="13.65" customHeight="1">
      <c r="A6612" s="3"/>
      <c r="B6612" s="3"/>
      <c r="C6612" s="3"/>
      <c r="D6612" s="316"/>
      <c r="E6612" s="3"/>
      <c r="F6612" s="317"/>
      <c r="G6612" s="332"/>
      <c r="H6612" s="3"/>
    </row>
    <row r="6613" ht="13.65" customHeight="1">
      <c r="A6613" t="s" s="5">
        <v>982</v>
      </c>
      <c r="B6613" s="3"/>
      <c r="C6613" s="3"/>
      <c r="D6613" s="316"/>
      <c r="E6613" s="3"/>
      <c r="F6613" s="317"/>
      <c r="G6613" s="332"/>
      <c r="H6613" s="3"/>
    </row>
    <row r="6614" ht="13.65" customHeight="1">
      <c r="A6614" s="11"/>
      <c r="B6614" s="11"/>
      <c r="C6614" s="11"/>
      <c r="D6614" s="319"/>
      <c r="E6614" s="11"/>
      <c r="F6614" s="320"/>
      <c r="G6614" s="346"/>
      <c r="H6614" s="3"/>
    </row>
    <row r="6615" ht="13.65" customHeight="1">
      <c r="A6615" s="13"/>
      <c r="B6615" s="13"/>
      <c r="C6615" s="13"/>
      <c r="D6615" s="14"/>
      <c r="E6615" s="13"/>
      <c r="F6615" s="13"/>
      <c r="G6615" t="s" s="14">
        <v>92</v>
      </c>
      <c r="H6615" s="15"/>
    </row>
    <row r="6616" ht="13.65" customHeight="1">
      <c r="A6616" t="s" s="16">
        <v>93</v>
      </c>
      <c r="B6616" t="s" s="16">
        <v>94</v>
      </c>
      <c r="C6616" t="s" s="16">
        <v>95</v>
      </c>
      <c r="D6616" t="s" s="16">
        <v>96</v>
      </c>
      <c r="E6616" t="s" s="16">
        <v>97</v>
      </c>
      <c r="F6616" t="s" s="16">
        <v>98</v>
      </c>
      <c r="G6616" t="s" s="16">
        <v>99</v>
      </c>
      <c r="H6616" s="15"/>
    </row>
    <row r="6617" ht="13.65" customHeight="1">
      <c r="A6617" s="19"/>
      <c r="B6617" s="19"/>
      <c r="C6617" s="19"/>
      <c r="D6617" s="20"/>
      <c r="E6617" s="19"/>
      <c r="F6617" s="19"/>
      <c r="G6617" t="s" s="20">
        <v>100</v>
      </c>
      <c r="H6617" s="15"/>
    </row>
    <row r="6618" ht="13.65" customHeight="1">
      <c r="A6618" s="21">
        <v>141</v>
      </c>
      <c r="B6618" t="s" s="22">
        <v>893</v>
      </c>
      <c r="C6618" s="323">
        <v>100</v>
      </c>
      <c r="D6618" t="s" s="165">
        <v>274</v>
      </c>
      <c r="E6618" s="179">
        <v>10</v>
      </c>
      <c r="F6618" s="23">
        <v>25</v>
      </c>
      <c r="G6618" s="322" cm="1">
        <f t="array" ref="G6618">E6618/F6618</f>
        <v>0.4</v>
      </c>
      <c r="H6618" s="15"/>
    </row>
    <row r="6619" ht="13.65" customHeight="1">
      <c r="A6619" s="21">
        <v>166</v>
      </c>
      <c r="B6619" t="s" s="22">
        <v>477</v>
      </c>
      <c r="C6619" s="323">
        <v>500</v>
      </c>
      <c r="D6619" t="s" s="165">
        <v>663</v>
      </c>
      <c r="E6619" s="179">
        <v>29.73</v>
      </c>
      <c r="F6619" s="23">
        <v>12.5</v>
      </c>
      <c r="G6619" s="322" cm="1">
        <f t="array" ref="G6619">E6619/F6619</f>
        <v>2.3784</v>
      </c>
      <c r="H6619" s="15"/>
    </row>
    <row r="6620" ht="13.65" customHeight="1">
      <c r="A6620" s="21">
        <v>142</v>
      </c>
      <c r="B6620" t="s" s="22">
        <v>894</v>
      </c>
      <c r="C6620" s="323">
        <v>1</v>
      </c>
      <c r="D6620" t="s" s="165">
        <v>102</v>
      </c>
      <c r="E6620" s="179">
        <v>3.02</v>
      </c>
      <c r="F6620" t="s" s="24">
        <v>387</v>
      </c>
      <c r="G6620" s="322" cm="1">
        <f t="array" ref="G6620">E6620*2</f>
        <v>6.04</v>
      </c>
      <c r="H6620" s="15"/>
    </row>
    <row r="6621" ht="13.65" customHeight="1">
      <c r="A6621" s="21">
        <v>144</v>
      </c>
      <c r="B6621" t="s" s="22">
        <v>896</v>
      </c>
      <c r="C6621" s="323">
        <v>280</v>
      </c>
      <c r="D6621" t="s" s="165">
        <v>104</v>
      </c>
      <c r="E6621" s="179">
        <v>137.5</v>
      </c>
      <c r="F6621" s="23">
        <v>280</v>
      </c>
      <c r="G6621" s="322" cm="1">
        <f t="array" ref="G6621">E6621/F6621</f>
        <v>0.491071428571429</v>
      </c>
      <c r="H6621" s="15"/>
    </row>
    <row r="6622" ht="13.65" customHeight="1">
      <c r="A6622" s="21">
        <v>145</v>
      </c>
      <c r="B6622" t="s" s="22">
        <v>897</v>
      </c>
      <c r="C6622" s="323">
        <v>50</v>
      </c>
      <c r="D6622" t="s" s="165">
        <v>104</v>
      </c>
      <c r="E6622" s="179">
        <v>100</v>
      </c>
      <c r="F6622" s="23">
        <v>50</v>
      </c>
      <c r="G6622" s="322" cm="1">
        <f t="array" ref="G6622">E6622/F6622</f>
        <v>2</v>
      </c>
      <c r="H6622" s="15"/>
    </row>
    <row r="6623" ht="13.65" customHeight="1">
      <c r="A6623" s="21">
        <v>146</v>
      </c>
      <c r="B6623" t="s" s="324">
        <v>972</v>
      </c>
      <c r="C6623" t="s" s="165">
        <v>899</v>
      </c>
      <c r="D6623" t="s" s="165">
        <v>950</v>
      </c>
      <c r="E6623" s="179">
        <v>270</v>
      </c>
      <c r="F6623" s="23">
        <v>53</v>
      </c>
      <c r="G6623" s="322" cm="1">
        <f t="array" ref="G6623">E6623/F6623</f>
        <v>5.09433962264151</v>
      </c>
      <c r="H6623" s="15"/>
    </row>
    <row r="6624" ht="13.65" customHeight="1">
      <c r="A6624" s="21">
        <v>47</v>
      </c>
      <c r="B6624" t="s" s="22">
        <v>901</v>
      </c>
      <c r="C6624" s="323">
        <v>1</v>
      </c>
      <c r="D6624" t="s" s="165">
        <v>277</v>
      </c>
      <c r="E6624" s="179">
        <v>0.61</v>
      </c>
      <c r="F6624" s="23">
        <v>2</v>
      </c>
      <c r="G6624" s="322" cm="1">
        <f t="array" ref="G6624">E6624/F6624</f>
        <v>0.305</v>
      </c>
      <c r="H6624" s="15"/>
    </row>
    <row r="6625" ht="13.65" customHeight="1">
      <c r="A6625" s="21">
        <v>55</v>
      </c>
      <c r="B6625" t="s" s="22">
        <v>111</v>
      </c>
      <c r="C6625" t="s" s="165">
        <v>112</v>
      </c>
      <c r="D6625" t="s" s="165">
        <v>964</v>
      </c>
      <c r="E6625" s="179">
        <v>2.71</v>
      </c>
      <c r="F6625" s="23">
        <v>12.5</v>
      </c>
      <c r="G6625" s="322" cm="1">
        <f t="array" ref="G6625">E6625/F6625</f>
        <v>0.2168</v>
      </c>
      <c r="H6625" s="15"/>
    </row>
    <row r="6626" ht="13.65" customHeight="1">
      <c r="A6626" s="21">
        <v>57</v>
      </c>
      <c r="B6626" t="s" s="22">
        <v>253</v>
      </c>
      <c r="C6626" t="s" s="165">
        <v>254</v>
      </c>
      <c r="D6626" t="s" s="165">
        <v>951</v>
      </c>
      <c r="E6626" s="179">
        <v>4.5</v>
      </c>
      <c r="F6626" s="23">
        <v>66.66</v>
      </c>
      <c r="G6626" s="322" cm="1">
        <f t="array" ref="G6626">E6626/F6626</f>
        <v>0.06750675067506751</v>
      </c>
      <c r="H6626" s="15"/>
    </row>
    <row r="6627" ht="13.65" customHeight="1">
      <c r="A6627" s="21">
        <v>68</v>
      </c>
      <c r="B6627" t="s" s="22">
        <v>480</v>
      </c>
      <c r="C6627" s="323">
        <v>1000</v>
      </c>
      <c r="D6627" t="s" s="165">
        <v>936</v>
      </c>
      <c r="E6627" s="179">
        <v>16</v>
      </c>
      <c r="F6627" s="23">
        <v>10</v>
      </c>
      <c r="G6627" s="322" cm="1">
        <f t="array" ref="G6627">E6627/F6627</f>
        <v>1.6</v>
      </c>
      <c r="H6627" s="15"/>
    </row>
    <row r="6628" ht="13.65" customHeight="1">
      <c r="A6628" s="21">
        <v>71</v>
      </c>
      <c r="B6628" t="s" s="22">
        <v>109</v>
      </c>
      <c r="C6628" s="323">
        <v>10</v>
      </c>
      <c r="D6628" t="s" s="165">
        <v>405</v>
      </c>
      <c r="E6628" s="179">
        <v>5.92</v>
      </c>
      <c r="F6628" s="23">
        <v>1.66</v>
      </c>
      <c r="G6628" s="322" cm="1">
        <f t="array" ref="G6628">E6628/F6628</f>
        <v>3.56626506024096</v>
      </c>
      <c r="H6628" s="15"/>
    </row>
    <row r="6629" ht="13.65" customHeight="1">
      <c r="A6629" s="21">
        <v>72</v>
      </c>
      <c r="B6629" t="s" s="22">
        <v>101</v>
      </c>
      <c r="C6629" s="323">
        <v>50</v>
      </c>
      <c r="D6629" t="s" s="165">
        <v>405</v>
      </c>
      <c r="E6629" s="179">
        <v>1.93</v>
      </c>
      <c r="F6629" s="23">
        <v>6.25</v>
      </c>
      <c r="G6629" s="322" cm="1">
        <f t="array" ref="G6629">E6629/F6629</f>
        <v>0.3088</v>
      </c>
      <c r="H6629" s="15"/>
    </row>
    <row r="6630" ht="13.65" customHeight="1">
      <c r="A6630" s="21">
        <v>86</v>
      </c>
      <c r="B6630" t="s" s="22">
        <v>107</v>
      </c>
      <c r="C6630" t="s" s="165">
        <v>108</v>
      </c>
      <c r="D6630" t="s" s="165">
        <v>405</v>
      </c>
      <c r="E6630" s="179">
        <v>0.32</v>
      </c>
      <c r="F6630" t="s" s="24">
        <v>967</v>
      </c>
      <c r="G6630" s="322" cm="1">
        <f t="array" ref="G6630">E6630*6</f>
        <v>1.92</v>
      </c>
      <c r="H6630" s="15"/>
    </row>
    <row r="6631" ht="13.65" customHeight="1">
      <c r="A6631" s="21">
        <v>149</v>
      </c>
      <c r="B6631" t="s" s="22">
        <v>906</v>
      </c>
      <c r="C6631" s="323">
        <v>100</v>
      </c>
      <c r="D6631" t="s" s="165">
        <v>102</v>
      </c>
      <c r="E6631" s="179">
        <v>9.6</v>
      </c>
      <c r="F6631" s="23">
        <v>50</v>
      </c>
      <c r="G6631" s="322" cm="1">
        <f t="array" ref="G6631">E6631/F6631</f>
        <v>0.192</v>
      </c>
      <c r="H6631" s="15"/>
    </row>
    <row r="6632" ht="13.65" customHeight="1">
      <c r="A6632" s="21">
        <v>87</v>
      </c>
      <c r="B6632" t="s" s="22">
        <v>110</v>
      </c>
      <c r="C6632" s="323">
        <v>50</v>
      </c>
      <c r="D6632" t="s" s="165">
        <v>405</v>
      </c>
      <c r="E6632" s="179">
        <v>11.2</v>
      </c>
      <c r="F6632" s="23">
        <v>8.33</v>
      </c>
      <c r="G6632" s="322" cm="1">
        <f t="array" ref="G6632">E6632/F6632</f>
        <v>1.34453781512605</v>
      </c>
      <c r="H6632" s="15"/>
    </row>
    <row r="6633" ht="13.65" customHeight="1">
      <c r="A6633" s="21">
        <v>100</v>
      </c>
      <c r="B6633" t="s" s="22">
        <v>376</v>
      </c>
      <c r="C6633" t="s" s="165">
        <v>377</v>
      </c>
      <c r="D6633" t="s" s="165">
        <v>378</v>
      </c>
      <c r="E6633" s="179">
        <v>4.5</v>
      </c>
      <c r="F6633" s="23">
        <v>40</v>
      </c>
      <c r="G6633" s="322" cm="1">
        <f t="array" ref="G6633">E6633/F6633</f>
        <v>0.1125</v>
      </c>
      <c r="H6633" s="15"/>
    </row>
    <row r="6634" ht="13.65" customHeight="1">
      <c r="A6634" s="21">
        <v>111</v>
      </c>
      <c r="B6634" t="s" s="22">
        <v>476</v>
      </c>
      <c r="C6634" s="323">
        <v>1</v>
      </c>
      <c r="D6634" t="s" s="165">
        <v>937</v>
      </c>
      <c r="E6634" s="179">
        <v>2.7</v>
      </c>
      <c r="F6634" s="23">
        <v>30</v>
      </c>
      <c r="G6634" s="322" cm="1">
        <f t="array" ref="G6634">E6634/F6634</f>
        <v>0.09</v>
      </c>
      <c r="H6634" s="15"/>
    </row>
    <row r="6635" ht="13.65" customHeight="1">
      <c r="A6635" s="21">
        <v>117</v>
      </c>
      <c r="B6635" t="s" s="22">
        <v>586</v>
      </c>
      <c r="C6635" s="323">
        <v>100</v>
      </c>
      <c r="D6635" t="s" s="165">
        <v>106</v>
      </c>
      <c r="E6635" s="179">
        <v>1.2</v>
      </c>
      <c r="F6635" s="23">
        <v>10</v>
      </c>
      <c r="G6635" s="322" cm="1">
        <f t="array" ref="G6635">E6635/F6635</f>
        <v>0.12</v>
      </c>
      <c r="H6635" s="15"/>
    </row>
    <row r="6636" ht="13.65" customHeight="1">
      <c r="A6636" s="21">
        <v>123</v>
      </c>
      <c r="B6636" t="s" s="22">
        <v>103</v>
      </c>
      <c r="C6636" s="323">
        <v>40</v>
      </c>
      <c r="D6636" t="s" s="165">
        <v>104</v>
      </c>
      <c r="E6636" s="179">
        <v>3.2</v>
      </c>
      <c r="F6636" s="23">
        <v>40</v>
      </c>
      <c r="G6636" s="322" cm="1">
        <f t="array" ref="G6636">E6636/F6636</f>
        <v>0.08</v>
      </c>
      <c r="H6636" s="15"/>
    </row>
    <row r="6637" ht="13.65" customHeight="1">
      <c r="A6637" s="21">
        <v>124</v>
      </c>
      <c r="B6637" t="s" s="22">
        <v>372</v>
      </c>
      <c r="C6637" s="323">
        <v>1</v>
      </c>
      <c r="D6637" t="s" s="165">
        <v>427</v>
      </c>
      <c r="E6637" s="179">
        <v>2.2</v>
      </c>
      <c r="F6637" s="23">
        <v>2</v>
      </c>
      <c r="G6637" s="322" cm="1">
        <f t="array" ref="G6637">E6637/F6637</f>
        <v>1.1</v>
      </c>
      <c r="H6637" s="15"/>
    </row>
    <row r="6638" ht="13.65" customHeight="1">
      <c r="A6638" s="21">
        <v>153</v>
      </c>
      <c r="B6638" t="s" s="22">
        <v>912</v>
      </c>
      <c r="C6638" s="323">
        <v>1</v>
      </c>
      <c r="D6638" t="s" s="165">
        <v>102</v>
      </c>
      <c r="E6638" s="179">
        <v>6.63</v>
      </c>
      <c r="F6638" t="s" s="24">
        <v>387</v>
      </c>
      <c r="G6638" s="322" cm="1">
        <f t="array" ref="G6638">E6638*2</f>
        <v>13.26</v>
      </c>
      <c r="H6638" s="15"/>
    </row>
    <row r="6639" ht="13.65" customHeight="1">
      <c r="A6639" s="28"/>
      <c r="B6639" t="s" s="22">
        <v>482</v>
      </c>
      <c r="C6639" s="323">
        <v>1</v>
      </c>
      <c r="D6639" t="s" s="165">
        <v>104</v>
      </c>
      <c r="E6639" s="179"/>
      <c r="F6639" s="23">
        <v>1</v>
      </c>
      <c r="G6639" s="322">
        <v>30</v>
      </c>
      <c r="H6639" s="15"/>
    </row>
    <row r="6640" ht="13.65" customHeight="1">
      <c r="A6640" s="28"/>
      <c r="B6640" s="28"/>
      <c r="C6640" s="141"/>
      <c r="D6640" s="165"/>
      <c r="E6640" s="28"/>
      <c r="F6640" t="s" s="24">
        <v>118</v>
      </c>
      <c r="G6640" s="322" cm="1">
        <f t="array" ref="G6640">SUM(G6618:G6639)</f>
        <v>70.687220677255</v>
      </c>
      <c r="H6640" s="15"/>
    </row>
    <row r="6641" ht="13.65" customHeight="1">
      <c r="A6641" s="129"/>
      <c r="B6641" s="129"/>
      <c r="C6641" s="129"/>
      <c r="D6641" s="166"/>
      <c r="E6641" s="129"/>
      <c r="F6641" s="176"/>
      <c r="G6641" s="327"/>
      <c r="H6641" s="3"/>
    </row>
    <row r="6642" ht="11.7" customHeight="1">
      <c r="A6642" t="s" s="328">
        <v>136</v>
      </c>
      <c r="B6642" t="s" s="167">
        <v>913</v>
      </c>
      <c r="C6642" t="s" s="167">
        <v>914</v>
      </c>
      <c r="D6642" t="s" s="329">
        <v>973</v>
      </c>
      <c r="E6642" s="330"/>
      <c r="F6642" s="170"/>
      <c r="G6642" s="355"/>
      <c r="H6642" s="356"/>
    </row>
    <row r="6643" ht="13.65" customHeight="1">
      <c r="A6643" s="21">
        <v>100</v>
      </c>
      <c r="B6643" s="172" cm="1">
        <f t="array" ref="B6643">SUM(H256)</f>
        <v>2.47496540404041</v>
      </c>
      <c r="C6643" s="172" cm="1">
        <f t="array" ref="C6643">SUM(G6640)</f>
        <v>70.687220677255</v>
      </c>
      <c r="D6643" s="199" cm="1">
        <f t="array" ref="D6643">SUM(A6643*B6643)+(C6643)</f>
        <v>318.183761081296</v>
      </c>
      <c r="E6643" s="200"/>
      <c r="F6643" s="331"/>
      <c r="G6643" s="332"/>
      <c r="H6643" s="3"/>
    </row>
    <row r="6644" ht="13.65" customHeight="1">
      <c r="A6644" s="129"/>
      <c r="B6644" s="129"/>
      <c r="C6644" s="333"/>
      <c r="D6644" s="166"/>
      <c r="E6644" s="136"/>
      <c r="F6644" s="317"/>
      <c r="G6644" s="332"/>
      <c r="H6644" s="3"/>
    </row>
    <row r="6645" ht="13.65" customHeight="1">
      <c r="A6645" t="s" s="22">
        <v>954</v>
      </c>
      <c r="B6645" t="s" s="132">
        <v>955</v>
      </c>
      <c r="C6645" s="131"/>
      <c r="D6645" t="s" s="165">
        <v>918</v>
      </c>
      <c r="E6645" s="15"/>
      <c r="F6645" s="317"/>
      <c r="G6645" s="332"/>
      <c r="H6645" s="3"/>
    </row>
    <row r="6646" ht="13.65" customHeight="1">
      <c r="A6646" t="s" s="22">
        <v>922</v>
      </c>
      <c r="B6646" t="s" s="132">
        <v>968</v>
      </c>
      <c r="C6646" s="131"/>
      <c r="D6646" t="s" s="165">
        <v>918</v>
      </c>
      <c r="E6646" s="15"/>
      <c r="F6646" s="317"/>
      <c r="G6646" s="332"/>
      <c r="H6646" s="3"/>
    </row>
    <row r="6647" ht="13.65" customHeight="1">
      <c r="A6647" t="s" s="22">
        <v>969</v>
      </c>
      <c r="B6647" t="s" s="132">
        <v>970</v>
      </c>
      <c r="C6647" s="131"/>
      <c r="D6647" t="s" s="165">
        <v>918</v>
      </c>
      <c r="E6647" s="15"/>
      <c r="F6647" s="317"/>
      <c r="G6647" s="332"/>
      <c r="H6647" s="3"/>
    </row>
    <row r="6648" ht="13.65" customHeight="1">
      <c r="A6648" s="28"/>
      <c r="B6648" s="164"/>
      <c r="C6648" t="s" s="334">
        <v>924</v>
      </c>
      <c r="D6648" t="s" s="335">
        <v>256</v>
      </c>
      <c r="E6648" s="15"/>
      <c r="F6648" s="317"/>
      <c r="G6648" s="332"/>
      <c r="H6648" s="3"/>
    </row>
    <row r="6649" ht="13.65" customHeight="1">
      <c r="A6649" s="31"/>
      <c r="B6649" s="31"/>
      <c r="C6649" s="31"/>
      <c r="D6649" s="32"/>
      <c r="E6649" s="3"/>
      <c r="F6649" s="317"/>
      <c r="G6649" s="332"/>
      <c r="H6649" s="3"/>
    </row>
    <row r="6650" ht="13.65" customHeight="1">
      <c r="A6650" s="203"/>
      <c r="B6650" s="203"/>
      <c r="C6650" s="203"/>
      <c r="D6650" s="349"/>
      <c r="E6650" s="203"/>
      <c r="F6650" s="340"/>
      <c r="G6650" s="341"/>
      <c r="H6650" s="203"/>
    </row>
    <row r="6651" ht="13.65" customHeight="1">
      <c r="A6651" t="s" s="274">
        <v>853</v>
      </c>
      <c r="B6651" s="275"/>
      <c r="C6651" s="275"/>
      <c r="D6651" s="342"/>
      <c r="E6651" s="275"/>
      <c r="F6651" s="311"/>
      <c r="G6651" s="343"/>
      <c r="H6651" s="277"/>
    </row>
    <row r="6652" ht="13.65" customHeight="1">
      <c r="A6652" s="278"/>
      <c r="B6652" s="278"/>
      <c r="C6652" s="278"/>
      <c r="D6652" s="344"/>
      <c r="E6652" s="278"/>
      <c r="F6652" s="314"/>
      <c r="G6652" s="345"/>
      <c r="H6652" s="278"/>
    </row>
    <row r="6653" ht="13.65" customHeight="1">
      <c r="A6653" s="3"/>
      <c r="B6653" s="3"/>
      <c r="C6653" s="3"/>
      <c r="D6653" s="316"/>
      <c r="E6653" s="3"/>
      <c r="F6653" s="317"/>
      <c r="G6653" s="332"/>
      <c r="H6653" s="3"/>
    </row>
    <row r="6654" ht="13.65" customHeight="1">
      <c r="A6654" t="s" s="5">
        <v>983</v>
      </c>
      <c r="B6654" s="3"/>
      <c r="C6654" s="3"/>
      <c r="D6654" s="316"/>
      <c r="E6654" s="3"/>
      <c r="F6654" s="317"/>
      <c r="G6654" s="332"/>
      <c r="H6654" s="3"/>
    </row>
    <row r="6655" ht="13.65" customHeight="1">
      <c r="A6655" s="11"/>
      <c r="B6655" s="11"/>
      <c r="C6655" s="11"/>
      <c r="D6655" s="319"/>
      <c r="E6655" s="11"/>
      <c r="F6655" s="320"/>
      <c r="G6655" s="346"/>
      <c r="H6655" s="3"/>
    </row>
    <row r="6656" ht="13.65" customHeight="1">
      <c r="A6656" s="13"/>
      <c r="B6656" s="13"/>
      <c r="C6656" s="13"/>
      <c r="D6656" s="14"/>
      <c r="E6656" s="13"/>
      <c r="F6656" s="13"/>
      <c r="G6656" t="s" s="14">
        <v>92</v>
      </c>
      <c r="H6656" s="15"/>
    </row>
    <row r="6657" ht="13.65" customHeight="1">
      <c r="A6657" t="s" s="16">
        <v>93</v>
      </c>
      <c r="B6657" t="s" s="16">
        <v>94</v>
      </c>
      <c r="C6657" t="s" s="16">
        <v>95</v>
      </c>
      <c r="D6657" t="s" s="16">
        <v>96</v>
      </c>
      <c r="E6657" t="s" s="16">
        <v>97</v>
      </c>
      <c r="F6657" t="s" s="16">
        <v>98</v>
      </c>
      <c r="G6657" t="s" s="16">
        <v>99</v>
      </c>
      <c r="H6657" s="15"/>
    </row>
    <row r="6658" ht="13.65" customHeight="1">
      <c r="A6658" s="19"/>
      <c r="B6658" s="19"/>
      <c r="C6658" s="19"/>
      <c r="D6658" s="20"/>
      <c r="E6658" s="19"/>
      <c r="F6658" s="19"/>
      <c r="G6658" t="s" s="20">
        <v>100</v>
      </c>
      <c r="H6658" s="15"/>
    </row>
    <row r="6659" ht="13.65" customHeight="1">
      <c r="A6659" s="21">
        <v>4</v>
      </c>
      <c r="B6659" t="s" s="22">
        <v>512</v>
      </c>
      <c r="C6659" t="s" s="165">
        <v>412</v>
      </c>
      <c r="D6659" t="s" s="165">
        <v>401</v>
      </c>
      <c r="E6659" s="179">
        <v>64</v>
      </c>
      <c r="F6659" s="23">
        <v>30</v>
      </c>
      <c r="G6659" s="322" cm="1">
        <f t="array" ref="G6659">E6659/F6659</f>
        <v>2.13333333333333</v>
      </c>
      <c r="H6659" s="15"/>
    </row>
    <row r="6660" ht="13.65" customHeight="1">
      <c r="A6660" s="21">
        <v>141</v>
      </c>
      <c r="B6660" t="s" s="22">
        <v>893</v>
      </c>
      <c r="C6660" s="323">
        <v>100</v>
      </c>
      <c r="D6660" t="s" s="165">
        <v>274</v>
      </c>
      <c r="E6660" s="179">
        <v>10</v>
      </c>
      <c r="F6660" s="23">
        <v>25</v>
      </c>
      <c r="G6660" s="322" cm="1">
        <f t="array" ref="G6660">E6660/F6660</f>
        <v>0.4</v>
      </c>
      <c r="H6660" s="15"/>
    </row>
    <row r="6661" ht="13.65" customHeight="1">
      <c r="A6661" s="21">
        <v>166</v>
      </c>
      <c r="B6661" t="s" s="22">
        <v>477</v>
      </c>
      <c r="C6661" s="323">
        <v>500</v>
      </c>
      <c r="D6661" t="s" s="165">
        <v>663</v>
      </c>
      <c r="E6661" s="179">
        <v>29.73</v>
      </c>
      <c r="F6661" s="23">
        <v>12.5</v>
      </c>
      <c r="G6661" s="322" cm="1">
        <f t="array" ref="G6661">E6661/F6661</f>
        <v>2.3784</v>
      </c>
      <c r="H6661" s="15"/>
    </row>
    <row r="6662" ht="13.65" customHeight="1">
      <c r="A6662" s="21">
        <v>142</v>
      </c>
      <c r="B6662" t="s" s="22">
        <v>894</v>
      </c>
      <c r="C6662" s="323">
        <v>1</v>
      </c>
      <c r="D6662" t="s" s="165">
        <v>102</v>
      </c>
      <c r="E6662" s="179">
        <v>3.02</v>
      </c>
      <c r="F6662" t="s" s="24">
        <v>387</v>
      </c>
      <c r="G6662" s="322" cm="1">
        <f t="array" ref="G6662">E6662*2</f>
        <v>6.04</v>
      </c>
      <c r="H6662" s="15"/>
    </row>
    <row r="6663" ht="13.65" customHeight="1">
      <c r="A6663" s="21">
        <v>144</v>
      </c>
      <c r="B6663" t="s" s="22">
        <v>896</v>
      </c>
      <c r="C6663" s="323">
        <v>280</v>
      </c>
      <c r="D6663" t="s" s="165">
        <v>104</v>
      </c>
      <c r="E6663" s="179">
        <v>137.5</v>
      </c>
      <c r="F6663" s="23">
        <v>280</v>
      </c>
      <c r="G6663" s="322" cm="1">
        <f t="array" ref="G6663">E6663/F6663</f>
        <v>0.491071428571429</v>
      </c>
      <c r="H6663" s="15"/>
    </row>
    <row r="6664" ht="13.65" customHeight="1">
      <c r="A6664" s="21">
        <v>145</v>
      </c>
      <c r="B6664" t="s" s="22">
        <v>897</v>
      </c>
      <c r="C6664" s="323">
        <v>50</v>
      </c>
      <c r="D6664" t="s" s="165">
        <v>104</v>
      </c>
      <c r="E6664" s="179">
        <v>100</v>
      </c>
      <c r="F6664" s="23">
        <v>50</v>
      </c>
      <c r="G6664" s="322" cm="1">
        <f t="array" ref="G6664">E6664/F6664</f>
        <v>2</v>
      </c>
      <c r="H6664" s="15"/>
    </row>
    <row r="6665" ht="13.65" customHeight="1">
      <c r="A6665" s="21">
        <v>146</v>
      </c>
      <c r="B6665" t="s" s="324">
        <v>972</v>
      </c>
      <c r="C6665" t="s" s="165">
        <v>899</v>
      </c>
      <c r="D6665" t="s" s="165">
        <v>950</v>
      </c>
      <c r="E6665" s="179">
        <v>270</v>
      </c>
      <c r="F6665" s="23">
        <v>53</v>
      </c>
      <c r="G6665" s="322" cm="1">
        <f t="array" ref="G6665">E6665/F6665</f>
        <v>5.09433962264151</v>
      </c>
      <c r="H6665" s="15"/>
    </row>
    <row r="6666" ht="13.65" customHeight="1">
      <c r="A6666" s="21">
        <v>47</v>
      </c>
      <c r="B6666" t="s" s="22">
        <v>901</v>
      </c>
      <c r="C6666" s="323">
        <v>1</v>
      </c>
      <c r="D6666" t="s" s="165">
        <v>277</v>
      </c>
      <c r="E6666" s="179">
        <v>0.61</v>
      </c>
      <c r="F6666" s="23">
        <v>2</v>
      </c>
      <c r="G6666" s="322" cm="1">
        <f t="array" ref="G6666">E6666/F6666</f>
        <v>0.305</v>
      </c>
      <c r="H6666" s="15"/>
    </row>
    <row r="6667" ht="13.65" customHeight="1">
      <c r="A6667" s="21">
        <v>55</v>
      </c>
      <c r="B6667" t="s" s="22">
        <v>111</v>
      </c>
      <c r="C6667" t="s" s="165">
        <v>112</v>
      </c>
      <c r="D6667" t="s" s="165">
        <v>964</v>
      </c>
      <c r="E6667" s="179">
        <v>2.71</v>
      </c>
      <c r="F6667" s="23">
        <v>12.5</v>
      </c>
      <c r="G6667" s="322" cm="1">
        <f t="array" ref="G6667">E6667/F6667</f>
        <v>0.2168</v>
      </c>
      <c r="H6667" s="15"/>
    </row>
    <row r="6668" ht="13.65" customHeight="1">
      <c r="A6668" s="21">
        <v>57</v>
      </c>
      <c r="B6668" t="s" s="22">
        <v>253</v>
      </c>
      <c r="C6668" t="s" s="165">
        <v>254</v>
      </c>
      <c r="D6668" t="s" s="165">
        <v>951</v>
      </c>
      <c r="E6668" s="179">
        <v>4.5</v>
      </c>
      <c r="F6668" s="23">
        <v>66.66</v>
      </c>
      <c r="G6668" s="322" cm="1">
        <f t="array" ref="G6668">E6668/F6668</f>
        <v>0.06750675067506751</v>
      </c>
      <c r="H6668" s="15"/>
    </row>
    <row r="6669" ht="13.65" customHeight="1">
      <c r="A6669" s="21">
        <v>168</v>
      </c>
      <c r="B6669" t="s" s="22">
        <v>984</v>
      </c>
      <c r="C6669" s="323">
        <v>1</v>
      </c>
      <c r="D6669" t="s" s="165">
        <v>985</v>
      </c>
      <c r="E6669" s="179">
        <v>90</v>
      </c>
      <c r="F6669" s="23">
        <v>50</v>
      </c>
      <c r="G6669" s="322" cm="1">
        <f t="array" ref="G6669">E6669/F6669</f>
        <v>1.8</v>
      </c>
      <c r="H6669" s="15"/>
    </row>
    <row r="6670" ht="13.65" customHeight="1">
      <c r="A6670" s="21">
        <v>160</v>
      </c>
      <c r="B6670" t="s" s="22">
        <v>986</v>
      </c>
      <c r="C6670" s="323">
        <v>1</v>
      </c>
      <c r="D6670" t="s" s="165">
        <v>987</v>
      </c>
      <c r="E6670" s="179">
        <v>25</v>
      </c>
      <c r="F6670" s="23">
        <v>50</v>
      </c>
      <c r="G6670" s="322" cm="1">
        <f t="array" ref="G6670">E6670/F6670</f>
        <v>0.5</v>
      </c>
      <c r="H6670" s="15"/>
    </row>
    <row r="6671" ht="13.65" customHeight="1">
      <c r="A6671" s="21">
        <v>68</v>
      </c>
      <c r="B6671" t="s" s="22">
        <v>480</v>
      </c>
      <c r="C6671" s="323">
        <v>1000</v>
      </c>
      <c r="D6671" t="s" s="165">
        <v>936</v>
      </c>
      <c r="E6671" s="179">
        <v>16</v>
      </c>
      <c r="F6671" s="23">
        <v>10</v>
      </c>
      <c r="G6671" s="322" cm="1">
        <f t="array" ref="G6671">E6671/F6671</f>
        <v>1.6</v>
      </c>
      <c r="H6671" s="15"/>
    </row>
    <row r="6672" ht="13.65" customHeight="1">
      <c r="A6672" s="21">
        <v>71</v>
      </c>
      <c r="B6672" t="s" s="22">
        <v>109</v>
      </c>
      <c r="C6672" s="323">
        <v>10</v>
      </c>
      <c r="D6672" t="s" s="165">
        <v>405</v>
      </c>
      <c r="E6672" s="179">
        <v>5.92</v>
      </c>
      <c r="F6672" s="23">
        <v>1.66</v>
      </c>
      <c r="G6672" s="322" cm="1">
        <f t="array" ref="G6672">E6672/F6672</f>
        <v>3.56626506024096</v>
      </c>
      <c r="H6672" s="15"/>
    </row>
    <row r="6673" ht="13.65" customHeight="1">
      <c r="A6673" s="21">
        <v>72</v>
      </c>
      <c r="B6673" t="s" s="22">
        <v>101</v>
      </c>
      <c r="C6673" s="323">
        <v>50</v>
      </c>
      <c r="D6673" s="353">
        <v>6</v>
      </c>
      <c r="E6673" s="179">
        <v>1.93</v>
      </c>
      <c r="F6673" s="23">
        <v>6.25</v>
      </c>
      <c r="G6673" s="322" cm="1">
        <f t="array" ref="G6673">E6673/F6673</f>
        <v>0.3088</v>
      </c>
      <c r="H6673" s="15"/>
    </row>
    <row r="6674" ht="13.65" customHeight="1">
      <c r="A6674" s="21">
        <v>86</v>
      </c>
      <c r="B6674" t="s" s="22">
        <v>107</v>
      </c>
      <c r="C6674" t="s" s="165">
        <v>108</v>
      </c>
      <c r="D6674" t="s" s="165">
        <v>405</v>
      </c>
      <c r="E6674" s="179">
        <v>0.32</v>
      </c>
      <c r="F6674" t="s" s="24">
        <v>967</v>
      </c>
      <c r="G6674" s="322" cm="1">
        <f t="array" ref="G6674">E6674*6</f>
        <v>1.92</v>
      </c>
      <c r="H6674" s="15"/>
    </row>
    <row r="6675" ht="13.65" customHeight="1">
      <c r="A6675" s="21">
        <v>149</v>
      </c>
      <c r="B6675" t="s" s="22">
        <v>906</v>
      </c>
      <c r="C6675" s="323">
        <v>100</v>
      </c>
      <c r="D6675" t="s" s="165">
        <v>102</v>
      </c>
      <c r="E6675" s="179">
        <v>9.6</v>
      </c>
      <c r="F6675" s="23">
        <v>50</v>
      </c>
      <c r="G6675" s="322" cm="1">
        <f t="array" ref="G6675">E6675/F6675</f>
        <v>0.192</v>
      </c>
      <c r="H6675" s="15"/>
    </row>
    <row r="6676" ht="13.65" customHeight="1">
      <c r="A6676" s="21">
        <v>87</v>
      </c>
      <c r="B6676" t="s" s="22">
        <v>110</v>
      </c>
      <c r="C6676" s="323">
        <v>50</v>
      </c>
      <c r="D6676" t="s" s="165">
        <v>405</v>
      </c>
      <c r="E6676" s="179">
        <v>11.2</v>
      </c>
      <c r="F6676" s="23">
        <v>8.33</v>
      </c>
      <c r="G6676" s="322" cm="1">
        <f t="array" ref="G6676">E6676/F6676</f>
        <v>1.34453781512605</v>
      </c>
      <c r="H6676" s="15"/>
    </row>
    <row r="6677" ht="13.65" customHeight="1">
      <c r="A6677" s="21">
        <v>100</v>
      </c>
      <c r="B6677" t="s" s="22">
        <v>376</v>
      </c>
      <c r="C6677" t="s" s="165">
        <v>377</v>
      </c>
      <c r="D6677" t="s" s="165">
        <v>378</v>
      </c>
      <c r="E6677" s="179">
        <v>4.5</v>
      </c>
      <c r="F6677" s="23">
        <v>40</v>
      </c>
      <c r="G6677" s="322" cm="1">
        <f t="array" ref="G6677">E6677/F6677</f>
        <v>0.1125</v>
      </c>
      <c r="H6677" s="15"/>
    </row>
    <row r="6678" ht="13.65" customHeight="1">
      <c r="A6678" s="21">
        <v>103</v>
      </c>
      <c r="B6678" t="s" s="22">
        <v>114</v>
      </c>
      <c r="C6678" s="323">
        <v>144</v>
      </c>
      <c r="D6678" t="s" s="165">
        <v>104</v>
      </c>
      <c r="E6678" s="179">
        <v>18</v>
      </c>
      <c r="F6678" s="23">
        <v>144</v>
      </c>
      <c r="G6678" s="322" cm="1">
        <f t="array" ref="G6678">E6678/F6678</f>
        <v>0.125</v>
      </c>
      <c r="H6678" s="15"/>
    </row>
    <row r="6679" ht="13.65" customHeight="1">
      <c r="A6679" s="21">
        <v>111</v>
      </c>
      <c r="B6679" t="s" s="22">
        <v>476</v>
      </c>
      <c r="C6679" s="323">
        <v>1</v>
      </c>
      <c r="D6679" t="s" s="165">
        <v>937</v>
      </c>
      <c r="E6679" s="179">
        <v>2.7</v>
      </c>
      <c r="F6679" s="23">
        <v>30</v>
      </c>
      <c r="G6679" s="322" cm="1">
        <f t="array" ref="G6679">E6679/F6679</f>
        <v>0.09</v>
      </c>
      <c r="H6679" s="15"/>
    </row>
    <row r="6680" ht="13.65" customHeight="1">
      <c r="A6680" s="21">
        <v>151</v>
      </c>
      <c r="B6680" t="s" s="22">
        <v>928</v>
      </c>
      <c r="C6680" t="s" s="165">
        <v>909</v>
      </c>
      <c r="D6680" t="s" s="165">
        <v>988</v>
      </c>
      <c r="E6680" s="179">
        <v>249</v>
      </c>
      <c r="F6680" s="23">
        <v>80</v>
      </c>
      <c r="G6680" s="322" cm="1">
        <f t="array" ref="G6680">E6680/F6680</f>
        <v>3.1125</v>
      </c>
      <c r="H6680" s="15"/>
    </row>
    <row r="6681" ht="13.65" customHeight="1">
      <c r="A6681" s="21">
        <v>117</v>
      </c>
      <c r="B6681" t="s" s="22">
        <v>586</v>
      </c>
      <c r="C6681" s="323">
        <v>100</v>
      </c>
      <c r="D6681" t="s" s="165">
        <v>106</v>
      </c>
      <c r="E6681" s="179">
        <v>1.2</v>
      </c>
      <c r="F6681" s="23">
        <v>10</v>
      </c>
      <c r="G6681" s="322" cm="1">
        <f t="array" ref="G6681">E6681/F6681</f>
        <v>0.12</v>
      </c>
      <c r="H6681" s="15"/>
    </row>
    <row r="6682" ht="13.65" customHeight="1">
      <c r="A6682" s="21">
        <v>123</v>
      </c>
      <c r="B6682" t="s" s="22">
        <v>103</v>
      </c>
      <c r="C6682" s="323">
        <v>40</v>
      </c>
      <c r="D6682" t="s" s="165">
        <v>104</v>
      </c>
      <c r="E6682" s="179">
        <v>3.2</v>
      </c>
      <c r="F6682" s="23">
        <v>40</v>
      </c>
      <c r="G6682" s="322" cm="1">
        <f t="array" ref="G6682">E6682/F6682</f>
        <v>0.08</v>
      </c>
      <c r="H6682" s="15"/>
    </row>
    <row r="6683" ht="13.65" customHeight="1">
      <c r="A6683" s="21">
        <v>124</v>
      </c>
      <c r="B6683" t="s" s="22">
        <v>372</v>
      </c>
      <c r="C6683" s="323">
        <v>1</v>
      </c>
      <c r="D6683" t="s" s="165">
        <v>427</v>
      </c>
      <c r="E6683" s="179">
        <v>2.2</v>
      </c>
      <c r="F6683" s="23">
        <v>2</v>
      </c>
      <c r="G6683" s="322" cm="1">
        <f t="array" ref="G6683">E6683/F6683</f>
        <v>1.1</v>
      </c>
      <c r="H6683" s="15"/>
    </row>
    <row r="6684" ht="13.65" customHeight="1">
      <c r="A6684" s="21">
        <v>152</v>
      </c>
      <c r="B6684" t="s" s="22">
        <v>911</v>
      </c>
      <c r="C6684" s="323">
        <v>1</v>
      </c>
      <c r="D6684" t="s" s="165">
        <v>102</v>
      </c>
      <c r="E6684" s="179">
        <v>4.04</v>
      </c>
      <c r="F6684" t="s" s="24">
        <v>387</v>
      </c>
      <c r="G6684" s="322" cm="1">
        <f t="array" ref="G6684">E6684*2</f>
        <v>8.08</v>
      </c>
      <c r="H6684" s="15"/>
    </row>
    <row r="6685" ht="13.65" customHeight="1">
      <c r="A6685" s="21">
        <v>153</v>
      </c>
      <c r="B6685" t="s" s="22">
        <v>912</v>
      </c>
      <c r="C6685" s="323">
        <v>1</v>
      </c>
      <c r="D6685" t="s" s="165">
        <v>102</v>
      </c>
      <c r="E6685" s="179">
        <v>6.63</v>
      </c>
      <c r="F6685" t="s" s="24">
        <v>387</v>
      </c>
      <c r="G6685" s="322" cm="1">
        <f t="array" ref="G6685">E6685*2</f>
        <v>13.26</v>
      </c>
      <c r="H6685" s="15"/>
    </row>
    <row r="6686" ht="13.65" customHeight="1">
      <c r="A6686" s="28"/>
      <c r="B6686" t="s" s="22">
        <v>989</v>
      </c>
      <c r="C6686" s="323">
        <v>1</v>
      </c>
      <c r="D6686" t="s" s="165">
        <v>102</v>
      </c>
      <c r="E6686" s="179">
        <v>20</v>
      </c>
      <c r="F6686" t="s" s="24">
        <v>387</v>
      </c>
      <c r="G6686" s="322" cm="1">
        <f t="array" ref="G6686">E6686*2</f>
        <v>40</v>
      </c>
      <c r="H6686" s="15"/>
    </row>
    <row r="6687" ht="13.65" customHeight="1">
      <c r="A6687" s="28"/>
      <c r="B6687" t="s" s="22">
        <v>990</v>
      </c>
      <c r="C6687" s="323">
        <v>1</v>
      </c>
      <c r="D6687" t="s" s="165">
        <v>104</v>
      </c>
      <c r="E6687" s="179">
        <v>30</v>
      </c>
      <c r="F6687" s="23">
        <v>1</v>
      </c>
      <c r="G6687" s="322" cm="1">
        <f t="array" ref="G6687">E6687</f>
        <v>30</v>
      </c>
      <c r="H6687" s="15"/>
    </row>
    <row r="6688" ht="13.65" customHeight="1">
      <c r="A6688" s="28"/>
      <c r="B6688" s="28"/>
      <c r="C6688" s="141"/>
      <c r="D6688" s="165"/>
      <c r="E6688" s="28"/>
      <c r="F6688" t="s" s="24">
        <v>118</v>
      </c>
      <c r="G6688" s="322" cm="1">
        <f t="array" ref="G6688">SUM(G6659:G6687)</f>
        <v>126.438054010588</v>
      </c>
      <c r="H6688" s="15"/>
    </row>
    <row r="6689" ht="13.65" customHeight="1">
      <c r="A6689" s="129"/>
      <c r="B6689" s="129"/>
      <c r="C6689" s="129"/>
      <c r="D6689" s="166"/>
      <c r="E6689" s="129"/>
      <c r="F6689" s="176"/>
      <c r="G6689" s="327"/>
      <c r="H6689" s="3"/>
    </row>
    <row r="6690" ht="11.7" customHeight="1">
      <c r="A6690" t="s" s="328">
        <v>136</v>
      </c>
      <c r="B6690" t="s" s="167">
        <v>913</v>
      </c>
      <c r="C6690" t="s" s="167">
        <v>914</v>
      </c>
      <c r="D6690" t="s" s="329">
        <v>973</v>
      </c>
      <c r="E6690" s="330"/>
      <c r="F6690" s="170"/>
      <c r="G6690" s="355"/>
      <c r="H6690" s="356"/>
    </row>
    <row r="6691" ht="13.65" customHeight="1">
      <c r="A6691" s="21">
        <v>100</v>
      </c>
      <c r="B6691" s="172" cm="1">
        <f t="array" ref="B6691">SUM(H256)</f>
        <v>2.47496540404041</v>
      </c>
      <c r="C6691" s="172" cm="1">
        <f t="array" ref="C6691">SUM(G6688)</f>
        <v>126.438054010588</v>
      </c>
      <c r="D6691" s="199" cm="1">
        <f t="array" ref="D6691">SUM(A6691*B6691)+(C6691)</f>
        <v>373.934594414629</v>
      </c>
      <c r="E6691" s="200"/>
      <c r="F6691" s="331"/>
      <c r="G6691" s="332"/>
      <c r="H6691" s="3"/>
    </row>
    <row r="6692" ht="13.65" customHeight="1">
      <c r="A6692" s="129"/>
      <c r="B6692" s="129"/>
      <c r="C6692" s="333"/>
      <c r="D6692" s="166"/>
      <c r="E6692" s="136"/>
      <c r="F6692" s="317"/>
      <c r="G6692" s="332"/>
      <c r="H6692" s="3"/>
    </row>
    <row r="6693" ht="13.65" customHeight="1">
      <c r="A6693" t="s" s="22">
        <v>954</v>
      </c>
      <c r="B6693" t="s" s="132">
        <v>955</v>
      </c>
      <c r="C6693" s="131"/>
      <c r="D6693" t="s" s="165">
        <v>918</v>
      </c>
      <c r="E6693" s="15"/>
      <c r="F6693" s="317"/>
      <c r="G6693" s="332"/>
      <c r="H6693" s="3"/>
    </row>
    <row r="6694" ht="13.65" customHeight="1">
      <c r="A6694" t="s" s="22">
        <v>922</v>
      </c>
      <c r="B6694" t="s" s="132">
        <v>968</v>
      </c>
      <c r="C6694" s="131"/>
      <c r="D6694" t="s" s="165">
        <v>918</v>
      </c>
      <c r="E6694" s="15"/>
      <c r="F6694" s="317"/>
      <c r="G6694" s="332"/>
      <c r="H6694" s="3"/>
    </row>
    <row r="6695" ht="13.65" customHeight="1">
      <c r="A6695" t="s" s="22">
        <v>969</v>
      </c>
      <c r="B6695" t="s" s="132">
        <v>970</v>
      </c>
      <c r="C6695" s="131"/>
      <c r="D6695" t="s" s="165">
        <v>918</v>
      </c>
      <c r="E6695" s="15"/>
      <c r="F6695" s="317"/>
      <c r="G6695" s="332"/>
      <c r="H6695" s="3"/>
    </row>
    <row r="6696" ht="13.65" customHeight="1">
      <c r="A6696" s="28"/>
      <c r="B6696" s="164"/>
      <c r="C6696" t="s" s="334">
        <v>924</v>
      </c>
      <c r="D6696" t="s" s="335">
        <v>256</v>
      </c>
      <c r="E6696" s="15"/>
      <c r="F6696" s="3"/>
      <c r="G6696" s="3"/>
      <c r="H6696" s="3"/>
    </row>
    <row r="6697" ht="13.65" customHeight="1">
      <c r="A6697" s="31"/>
      <c r="B6697" s="31"/>
      <c r="C6697" s="31"/>
      <c r="D6697" s="31"/>
      <c r="E6697" s="3"/>
      <c r="F6697" s="3"/>
      <c r="G6697" s="3"/>
      <c r="H6697" s="3"/>
    </row>
    <row r="6698" ht="13.65" customHeight="1">
      <c r="A6698" s="203"/>
      <c r="B6698" s="203"/>
      <c r="C6698" s="203"/>
      <c r="D6698" s="203"/>
      <c r="E6698" s="203"/>
      <c r="F6698" s="203"/>
      <c r="G6698" s="203"/>
      <c r="H6698" s="203"/>
    </row>
    <row r="6699" ht="13.65" customHeight="1">
      <c r="A6699" t="s" s="274">
        <v>853</v>
      </c>
      <c r="B6699" s="275"/>
      <c r="C6699" s="275"/>
      <c r="D6699" s="342"/>
      <c r="E6699" s="275"/>
      <c r="F6699" s="311"/>
      <c r="G6699" s="343"/>
      <c r="H6699" s="277"/>
    </row>
    <row r="6700" ht="13.65" customHeight="1">
      <c r="A6700" s="278"/>
      <c r="B6700" s="278"/>
      <c r="C6700" s="278"/>
      <c r="D6700" s="344"/>
      <c r="E6700" s="278"/>
      <c r="F6700" s="314"/>
      <c r="G6700" s="345"/>
      <c r="H6700" s="278"/>
    </row>
    <row r="6701" ht="13.65" customHeight="1">
      <c r="A6701" s="3"/>
      <c r="B6701" s="3"/>
      <c r="C6701" s="3"/>
      <c r="D6701" s="316"/>
      <c r="E6701" s="3"/>
      <c r="F6701" s="317"/>
      <c r="G6701" s="332"/>
      <c r="H6701" s="3"/>
    </row>
    <row r="6702" ht="13.65" customHeight="1">
      <c r="A6702" t="s" s="5">
        <v>991</v>
      </c>
      <c r="B6702" s="3"/>
      <c r="C6702" s="3"/>
      <c r="D6702" s="316"/>
      <c r="E6702" s="3"/>
      <c r="F6702" s="317"/>
      <c r="G6702" s="332"/>
      <c r="H6702" s="3"/>
    </row>
    <row r="6703" ht="13.65" customHeight="1">
      <c r="A6703" s="11"/>
      <c r="B6703" s="11"/>
      <c r="C6703" s="11"/>
      <c r="D6703" s="319"/>
      <c r="E6703" s="11"/>
      <c r="F6703" s="320"/>
      <c r="G6703" s="346"/>
      <c r="H6703" s="3"/>
    </row>
    <row r="6704" ht="13.65" customHeight="1">
      <c r="A6704" s="13"/>
      <c r="B6704" s="13"/>
      <c r="C6704" s="13"/>
      <c r="D6704" s="14"/>
      <c r="E6704" s="13"/>
      <c r="F6704" s="13"/>
      <c r="G6704" t="s" s="14">
        <v>92</v>
      </c>
      <c r="H6704" s="15"/>
    </row>
    <row r="6705" ht="13.65" customHeight="1">
      <c r="A6705" t="s" s="16">
        <v>93</v>
      </c>
      <c r="B6705" t="s" s="16">
        <v>94</v>
      </c>
      <c r="C6705" t="s" s="16">
        <v>95</v>
      </c>
      <c r="D6705" t="s" s="16">
        <v>96</v>
      </c>
      <c r="E6705" t="s" s="16">
        <v>97</v>
      </c>
      <c r="F6705" t="s" s="16">
        <v>98</v>
      </c>
      <c r="G6705" t="s" s="16">
        <v>99</v>
      </c>
      <c r="H6705" s="15"/>
    </row>
    <row r="6706" ht="13.65" customHeight="1">
      <c r="A6706" s="19"/>
      <c r="B6706" s="19"/>
      <c r="C6706" s="19"/>
      <c r="D6706" s="20"/>
      <c r="E6706" s="19"/>
      <c r="F6706" s="19"/>
      <c r="G6706" t="s" s="20">
        <v>100</v>
      </c>
      <c r="H6706" s="15"/>
    </row>
    <row r="6707" ht="13.65" customHeight="1">
      <c r="A6707" s="21">
        <v>4</v>
      </c>
      <c r="B6707" t="s" s="22">
        <v>512</v>
      </c>
      <c r="C6707" t="s" s="165">
        <v>412</v>
      </c>
      <c r="D6707" t="s" s="165">
        <v>401</v>
      </c>
      <c r="E6707" s="179">
        <v>64</v>
      </c>
      <c r="F6707" s="23">
        <v>30</v>
      </c>
      <c r="G6707" s="322" cm="1">
        <f t="array" ref="G6707">E6707/F6707</f>
        <v>2.13333333333333</v>
      </c>
      <c r="H6707" s="15"/>
    </row>
    <row r="6708" ht="13.65" customHeight="1">
      <c r="A6708" s="21">
        <v>141</v>
      </c>
      <c r="B6708" t="s" s="22">
        <v>893</v>
      </c>
      <c r="C6708" s="323">
        <v>100</v>
      </c>
      <c r="D6708" t="s" s="165">
        <v>274</v>
      </c>
      <c r="E6708" s="179">
        <v>10</v>
      </c>
      <c r="F6708" s="23">
        <v>25</v>
      </c>
      <c r="G6708" s="322" cm="1">
        <f t="array" ref="G6708">E6708/F6708</f>
        <v>0.4</v>
      </c>
      <c r="H6708" s="15"/>
    </row>
    <row r="6709" ht="13.65" customHeight="1">
      <c r="A6709" s="21">
        <v>166</v>
      </c>
      <c r="B6709" t="s" s="22">
        <v>477</v>
      </c>
      <c r="C6709" s="323">
        <v>500</v>
      </c>
      <c r="D6709" t="s" s="165">
        <v>663</v>
      </c>
      <c r="E6709" s="179">
        <v>29.73</v>
      </c>
      <c r="F6709" s="23">
        <v>12.5</v>
      </c>
      <c r="G6709" s="322" cm="1">
        <f t="array" ref="G6709">E6709/F6709</f>
        <v>2.3784</v>
      </c>
      <c r="H6709" s="15"/>
    </row>
    <row r="6710" ht="13.65" customHeight="1">
      <c r="A6710" s="21">
        <v>142</v>
      </c>
      <c r="B6710" t="s" s="22">
        <v>894</v>
      </c>
      <c r="C6710" s="323">
        <v>1</v>
      </c>
      <c r="D6710" t="s" s="165">
        <v>102</v>
      </c>
      <c r="E6710" s="179">
        <v>3.02</v>
      </c>
      <c r="F6710" t="s" s="24">
        <v>387</v>
      </c>
      <c r="G6710" s="322" cm="1">
        <f t="array" ref="G6710">E6710*2</f>
        <v>6.04</v>
      </c>
      <c r="H6710" s="15"/>
    </row>
    <row r="6711" ht="13.65" customHeight="1">
      <c r="A6711" s="21">
        <v>144</v>
      </c>
      <c r="B6711" t="s" s="22">
        <v>896</v>
      </c>
      <c r="C6711" s="323">
        <v>280</v>
      </c>
      <c r="D6711" t="s" s="165">
        <v>104</v>
      </c>
      <c r="E6711" s="179">
        <v>137.5</v>
      </c>
      <c r="F6711" s="23">
        <v>280</v>
      </c>
      <c r="G6711" s="322" cm="1">
        <f t="array" ref="G6711">E6711/F6711</f>
        <v>0.491071428571429</v>
      </c>
      <c r="H6711" s="15"/>
    </row>
    <row r="6712" ht="13.65" customHeight="1">
      <c r="A6712" s="21">
        <v>145</v>
      </c>
      <c r="B6712" t="s" s="22">
        <v>897</v>
      </c>
      <c r="C6712" s="323">
        <v>50</v>
      </c>
      <c r="D6712" t="s" s="165">
        <v>104</v>
      </c>
      <c r="E6712" s="179">
        <v>100</v>
      </c>
      <c r="F6712" s="23">
        <v>50</v>
      </c>
      <c r="G6712" s="322" cm="1">
        <f t="array" ref="G6712">E6712/F6712</f>
        <v>2</v>
      </c>
      <c r="H6712" s="15"/>
    </row>
    <row r="6713" ht="13.65" customHeight="1">
      <c r="A6713" s="21">
        <v>146</v>
      </c>
      <c r="B6713" t="s" s="324">
        <v>972</v>
      </c>
      <c r="C6713" t="s" s="165">
        <v>899</v>
      </c>
      <c r="D6713" t="s" s="165">
        <v>950</v>
      </c>
      <c r="E6713" s="179">
        <v>270</v>
      </c>
      <c r="F6713" s="23">
        <v>53</v>
      </c>
      <c r="G6713" s="322" cm="1">
        <f t="array" ref="G6713">E6713/F6713</f>
        <v>5.09433962264151</v>
      </c>
      <c r="H6713" s="15"/>
    </row>
    <row r="6714" ht="13.65" customHeight="1">
      <c r="A6714" s="21">
        <v>47</v>
      </c>
      <c r="B6714" t="s" s="22">
        <v>901</v>
      </c>
      <c r="C6714" s="323">
        <v>1</v>
      </c>
      <c r="D6714" t="s" s="165">
        <v>277</v>
      </c>
      <c r="E6714" s="179">
        <v>0.61</v>
      </c>
      <c r="F6714" s="23">
        <v>2</v>
      </c>
      <c r="G6714" s="322" cm="1">
        <f t="array" ref="G6714">E6714/F6714</f>
        <v>0.305</v>
      </c>
      <c r="H6714" s="15"/>
    </row>
    <row r="6715" ht="13.65" customHeight="1">
      <c r="A6715" s="21">
        <v>55</v>
      </c>
      <c r="B6715" t="s" s="22">
        <v>111</v>
      </c>
      <c r="C6715" t="s" s="165">
        <v>112</v>
      </c>
      <c r="D6715" t="s" s="165">
        <v>964</v>
      </c>
      <c r="E6715" s="179">
        <v>2.71</v>
      </c>
      <c r="F6715" s="23">
        <v>12.5</v>
      </c>
      <c r="G6715" s="322" cm="1">
        <f t="array" ref="G6715">E6715/F6715</f>
        <v>0.2168</v>
      </c>
      <c r="H6715" s="15"/>
    </row>
    <row r="6716" ht="13.65" customHeight="1">
      <c r="A6716" s="21">
        <v>57</v>
      </c>
      <c r="B6716" t="s" s="22">
        <v>253</v>
      </c>
      <c r="C6716" t="s" s="165">
        <v>254</v>
      </c>
      <c r="D6716" t="s" s="165">
        <v>951</v>
      </c>
      <c r="E6716" s="179">
        <v>4.5</v>
      </c>
      <c r="F6716" s="23">
        <v>66.66</v>
      </c>
      <c r="G6716" s="322" cm="1">
        <f t="array" ref="G6716">E6716/F6716</f>
        <v>0.06750675067506751</v>
      </c>
      <c r="H6716" s="15"/>
    </row>
    <row r="6717" ht="13.65" customHeight="1">
      <c r="A6717" s="21">
        <v>168</v>
      </c>
      <c r="B6717" t="s" s="22">
        <v>992</v>
      </c>
      <c r="C6717" s="323">
        <v>1</v>
      </c>
      <c r="D6717" t="s" s="165">
        <v>985</v>
      </c>
      <c r="E6717" s="179">
        <v>90</v>
      </c>
      <c r="F6717" s="23">
        <v>50</v>
      </c>
      <c r="G6717" s="322" cm="1">
        <f t="array" ref="G6717">E6717/F6717</f>
        <v>1.8</v>
      </c>
      <c r="H6717" s="15"/>
    </row>
    <row r="6718" ht="13.65" customHeight="1">
      <c r="A6718" s="21">
        <v>160</v>
      </c>
      <c r="B6718" t="s" s="22">
        <v>993</v>
      </c>
      <c r="C6718" s="323">
        <v>1</v>
      </c>
      <c r="D6718" t="s" s="165">
        <v>987</v>
      </c>
      <c r="E6718" s="179">
        <v>25</v>
      </c>
      <c r="F6718" s="23">
        <v>50</v>
      </c>
      <c r="G6718" s="322" cm="1">
        <f t="array" ref="G6718">E6718/F6718</f>
        <v>0.5</v>
      </c>
      <c r="H6718" s="15"/>
    </row>
    <row r="6719" ht="13.65" customHeight="1">
      <c r="A6719" s="21">
        <v>68</v>
      </c>
      <c r="B6719" t="s" s="22">
        <v>480</v>
      </c>
      <c r="C6719" s="323">
        <v>1000</v>
      </c>
      <c r="D6719" t="s" s="165">
        <v>936</v>
      </c>
      <c r="E6719" s="179">
        <v>16</v>
      </c>
      <c r="F6719" s="23">
        <v>10</v>
      </c>
      <c r="G6719" s="322" cm="1">
        <f t="array" ref="G6719">E6719/F6719</f>
        <v>1.6</v>
      </c>
      <c r="H6719" s="15"/>
    </row>
    <row r="6720" ht="13.65" customHeight="1">
      <c r="A6720" s="21">
        <v>71</v>
      </c>
      <c r="B6720" t="s" s="22">
        <v>109</v>
      </c>
      <c r="C6720" s="323">
        <v>10</v>
      </c>
      <c r="D6720" t="s" s="165">
        <v>405</v>
      </c>
      <c r="E6720" s="179">
        <v>5.92</v>
      </c>
      <c r="F6720" s="23">
        <v>1.66</v>
      </c>
      <c r="G6720" s="322" cm="1">
        <f t="array" ref="G6720">E6720/F6720</f>
        <v>3.56626506024096</v>
      </c>
      <c r="H6720" s="15"/>
    </row>
    <row r="6721" ht="13.65" customHeight="1">
      <c r="A6721" s="21">
        <v>72</v>
      </c>
      <c r="B6721" t="s" s="22">
        <v>101</v>
      </c>
      <c r="C6721" s="323">
        <v>50</v>
      </c>
      <c r="D6721" s="353">
        <v>6</v>
      </c>
      <c r="E6721" s="179">
        <v>1.93</v>
      </c>
      <c r="F6721" s="23">
        <v>6.25</v>
      </c>
      <c r="G6721" s="322" cm="1">
        <f t="array" ref="G6721">E6721/F6721</f>
        <v>0.3088</v>
      </c>
      <c r="H6721" s="15"/>
    </row>
    <row r="6722" ht="13.65" customHeight="1">
      <c r="A6722" s="21">
        <v>86</v>
      </c>
      <c r="B6722" t="s" s="22">
        <v>107</v>
      </c>
      <c r="C6722" t="s" s="165">
        <v>108</v>
      </c>
      <c r="D6722" t="s" s="165">
        <v>405</v>
      </c>
      <c r="E6722" s="179">
        <v>0.32</v>
      </c>
      <c r="F6722" t="s" s="24">
        <v>967</v>
      </c>
      <c r="G6722" s="322" cm="1">
        <f t="array" ref="G6722">E6722*6</f>
        <v>1.92</v>
      </c>
      <c r="H6722" s="15"/>
    </row>
    <row r="6723" ht="13.65" customHeight="1">
      <c r="A6723" s="21">
        <v>149</v>
      </c>
      <c r="B6723" t="s" s="22">
        <v>906</v>
      </c>
      <c r="C6723" s="323">
        <v>100</v>
      </c>
      <c r="D6723" t="s" s="165">
        <v>102</v>
      </c>
      <c r="E6723" s="179">
        <v>9.6</v>
      </c>
      <c r="F6723" s="23">
        <v>50</v>
      </c>
      <c r="G6723" s="322" cm="1">
        <f t="array" ref="G6723">E6723/F6723</f>
        <v>0.192</v>
      </c>
      <c r="H6723" s="15"/>
    </row>
    <row r="6724" ht="13.65" customHeight="1">
      <c r="A6724" s="21">
        <v>87</v>
      </c>
      <c r="B6724" t="s" s="22">
        <v>110</v>
      </c>
      <c r="C6724" s="323">
        <v>50</v>
      </c>
      <c r="D6724" t="s" s="165">
        <v>405</v>
      </c>
      <c r="E6724" s="179">
        <v>11.2</v>
      </c>
      <c r="F6724" s="23">
        <v>8.33</v>
      </c>
      <c r="G6724" s="322" cm="1">
        <f t="array" ref="G6724">E6724/F6724</f>
        <v>1.34453781512605</v>
      </c>
      <c r="H6724" s="15"/>
    </row>
    <row r="6725" ht="13.65" customHeight="1">
      <c r="A6725" s="21">
        <v>100</v>
      </c>
      <c r="B6725" t="s" s="22">
        <v>376</v>
      </c>
      <c r="C6725" t="s" s="165">
        <v>377</v>
      </c>
      <c r="D6725" t="s" s="165">
        <v>378</v>
      </c>
      <c r="E6725" s="179">
        <v>4.5</v>
      </c>
      <c r="F6725" s="23">
        <v>40</v>
      </c>
      <c r="G6725" s="322" cm="1">
        <f t="array" ref="G6725">E6725/F6725</f>
        <v>0.1125</v>
      </c>
      <c r="H6725" s="15"/>
    </row>
    <row r="6726" ht="13.65" customHeight="1">
      <c r="A6726" s="21">
        <v>103</v>
      </c>
      <c r="B6726" t="s" s="22">
        <v>114</v>
      </c>
      <c r="C6726" s="323">
        <v>144</v>
      </c>
      <c r="D6726" t="s" s="165">
        <v>104</v>
      </c>
      <c r="E6726" s="179">
        <v>18</v>
      </c>
      <c r="F6726" s="23">
        <v>144</v>
      </c>
      <c r="G6726" s="322" cm="1">
        <f t="array" ref="G6726">E6726/F6726</f>
        <v>0.125</v>
      </c>
      <c r="H6726" s="15"/>
    </row>
    <row r="6727" ht="13.65" customHeight="1">
      <c r="A6727" s="21">
        <v>111</v>
      </c>
      <c r="B6727" t="s" s="22">
        <v>476</v>
      </c>
      <c r="C6727" s="323">
        <v>1</v>
      </c>
      <c r="D6727" t="s" s="165">
        <v>937</v>
      </c>
      <c r="E6727" s="179">
        <v>2.7</v>
      </c>
      <c r="F6727" s="23">
        <v>30</v>
      </c>
      <c r="G6727" s="322" cm="1">
        <f t="array" ref="G6727">E6727/F6727</f>
        <v>0.09</v>
      </c>
      <c r="H6727" s="15"/>
    </row>
    <row r="6728" ht="13.65" customHeight="1">
      <c r="A6728" s="21">
        <v>151</v>
      </c>
      <c r="B6728" t="s" s="22">
        <v>928</v>
      </c>
      <c r="C6728" t="s" s="165">
        <v>909</v>
      </c>
      <c r="D6728" t="s" s="165">
        <v>988</v>
      </c>
      <c r="E6728" s="179">
        <v>249</v>
      </c>
      <c r="F6728" s="23">
        <v>80</v>
      </c>
      <c r="G6728" s="322" cm="1">
        <f t="array" ref="G6728">E6728/F6728</f>
        <v>3.1125</v>
      </c>
      <c r="H6728" s="15"/>
    </row>
    <row r="6729" ht="13.65" customHeight="1">
      <c r="A6729" s="21">
        <v>117</v>
      </c>
      <c r="B6729" t="s" s="22">
        <v>586</v>
      </c>
      <c r="C6729" s="323">
        <v>100</v>
      </c>
      <c r="D6729" t="s" s="165">
        <v>106</v>
      </c>
      <c r="E6729" s="179">
        <v>1.2</v>
      </c>
      <c r="F6729" s="23">
        <v>10</v>
      </c>
      <c r="G6729" s="322" cm="1">
        <f t="array" ref="G6729">E6729/F6729</f>
        <v>0.12</v>
      </c>
      <c r="H6729" s="15"/>
    </row>
    <row r="6730" ht="13.65" customHeight="1">
      <c r="A6730" s="21">
        <v>123</v>
      </c>
      <c r="B6730" t="s" s="22">
        <v>103</v>
      </c>
      <c r="C6730" s="323">
        <v>40</v>
      </c>
      <c r="D6730" t="s" s="165">
        <v>104</v>
      </c>
      <c r="E6730" s="179">
        <v>3.2</v>
      </c>
      <c r="F6730" s="23">
        <v>40</v>
      </c>
      <c r="G6730" s="322" cm="1">
        <f t="array" ref="G6730">E6730/F6730</f>
        <v>0.08</v>
      </c>
      <c r="H6730" s="15"/>
    </row>
    <row r="6731" ht="13.65" customHeight="1">
      <c r="A6731" s="21">
        <v>124</v>
      </c>
      <c r="B6731" t="s" s="22">
        <v>372</v>
      </c>
      <c r="C6731" s="323">
        <v>1</v>
      </c>
      <c r="D6731" t="s" s="165">
        <v>427</v>
      </c>
      <c r="E6731" s="179">
        <v>2.2</v>
      </c>
      <c r="F6731" s="23">
        <v>2</v>
      </c>
      <c r="G6731" s="322" cm="1">
        <f t="array" ref="G6731">E6731/F6731</f>
        <v>1.1</v>
      </c>
      <c r="H6731" s="15"/>
    </row>
    <row r="6732" ht="13.65" customHeight="1">
      <c r="A6732" s="21">
        <v>152</v>
      </c>
      <c r="B6732" t="s" s="22">
        <v>911</v>
      </c>
      <c r="C6732" s="323">
        <v>1</v>
      </c>
      <c r="D6732" t="s" s="165">
        <v>102</v>
      </c>
      <c r="E6732" s="179">
        <v>4.04</v>
      </c>
      <c r="F6732" t="s" s="24">
        <v>387</v>
      </c>
      <c r="G6732" s="322" cm="1">
        <f t="array" ref="G6732">E6732*2</f>
        <v>8.08</v>
      </c>
      <c r="H6732" s="15"/>
    </row>
    <row r="6733" ht="13.65" customHeight="1">
      <c r="A6733" s="21">
        <v>153</v>
      </c>
      <c r="B6733" t="s" s="22">
        <v>912</v>
      </c>
      <c r="C6733" s="323">
        <v>1</v>
      </c>
      <c r="D6733" t="s" s="165">
        <v>102</v>
      </c>
      <c r="E6733" s="179">
        <v>6.63</v>
      </c>
      <c r="F6733" t="s" s="24">
        <v>387</v>
      </c>
      <c r="G6733" s="322" cm="1">
        <f t="array" ref="G6733">E6733*2</f>
        <v>13.26</v>
      </c>
      <c r="H6733" s="15"/>
    </row>
    <row r="6734" ht="13.65" customHeight="1">
      <c r="A6734" s="28"/>
      <c r="B6734" t="s" s="22">
        <v>989</v>
      </c>
      <c r="C6734" s="323">
        <v>1</v>
      </c>
      <c r="D6734" t="s" s="165">
        <v>102</v>
      </c>
      <c r="E6734" s="179">
        <v>20</v>
      </c>
      <c r="F6734" t="s" s="24">
        <v>387</v>
      </c>
      <c r="G6734" s="322" cm="1">
        <f t="array" ref="G6734">E6734*2</f>
        <v>40</v>
      </c>
      <c r="H6734" s="15"/>
    </row>
    <row r="6735" ht="13.65" customHeight="1">
      <c r="A6735" s="28"/>
      <c r="B6735" t="s" s="22">
        <v>994</v>
      </c>
      <c r="C6735" s="323">
        <v>1</v>
      </c>
      <c r="D6735" t="s" s="165">
        <v>104</v>
      </c>
      <c r="E6735" s="179">
        <v>40</v>
      </c>
      <c r="F6735" s="23">
        <v>1</v>
      </c>
      <c r="G6735" s="322" cm="1">
        <f t="array" ref="G6735">E6735</f>
        <v>40</v>
      </c>
      <c r="H6735" s="15"/>
    </row>
    <row r="6736" ht="13.65" customHeight="1">
      <c r="A6736" s="28"/>
      <c r="B6736" s="28"/>
      <c r="C6736" s="141"/>
      <c r="D6736" s="165"/>
      <c r="E6736" s="28"/>
      <c r="F6736" t="s" s="24">
        <v>118</v>
      </c>
      <c r="G6736" s="322" cm="1">
        <f t="array" ref="G6736">SUM(G6707:G6735)</f>
        <v>136.438054010588</v>
      </c>
      <c r="H6736" s="15"/>
    </row>
    <row r="6737" ht="13.65" customHeight="1">
      <c r="A6737" s="129"/>
      <c r="B6737" s="129"/>
      <c r="C6737" s="129"/>
      <c r="D6737" s="166"/>
      <c r="E6737" s="129"/>
      <c r="F6737" s="176"/>
      <c r="G6737" s="327"/>
      <c r="H6737" s="3"/>
    </row>
    <row r="6738" ht="11.7" customHeight="1">
      <c r="A6738" t="s" s="328">
        <v>136</v>
      </c>
      <c r="B6738" t="s" s="167">
        <v>913</v>
      </c>
      <c r="C6738" t="s" s="167">
        <v>914</v>
      </c>
      <c r="D6738" t="s" s="329">
        <v>973</v>
      </c>
      <c r="E6738" s="330"/>
      <c r="F6738" s="170"/>
      <c r="G6738" s="355"/>
      <c r="H6738" s="356"/>
    </row>
    <row r="6739" ht="13.65" customHeight="1">
      <c r="A6739" s="21">
        <v>100</v>
      </c>
      <c r="B6739" s="172" cm="1">
        <f t="array" ref="B6739">SUM(H256)</f>
        <v>2.47496540404041</v>
      </c>
      <c r="C6739" s="172" cm="1">
        <f t="array" ref="C6739">SUM(G6736)</f>
        <v>136.438054010588</v>
      </c>
      <c r="D6739" s="199" cm="1">
        <f t="array" ref="D6739">SUM(A6739*B6739)+(C6739)</f>
        <v>383.934594414629</v>
      </c>
      <c r="E6739" s="200"/>
      <c r="F6739" s="331"/>
      <c r="G6739" s="332"/>
      <c r="H6739" s="3"/>
    </row>
    <row r="6740" ht="13.65" customHeight="1">
      <c r="A6740" s="129"/>
      <c r="B6740" s="129"/>
      <c r="C6740" s="333"/>
      <c r="D6740" s="166"/>
      <c r="E6740" s="136"/>
      <c r="F6740" s="317"/>
      <c r="G6740" s="332"/>
      <c r="H6740" s="3"/>
    </row>
    <row r="6741" ht="13.65" customHeight="1">
      <c r="A6741" t="s" s="22">
        <v>954</v>
      </c>
      <c r="B6741" t="s" s="132">
        <v>955</v>
      </c>
      <c r="C6741" s="131"/>
      <c r="D6741" t="s" s="165">
        <v>918</v>
      </c>
      <c r="E6741" s="15"/>
      <c r="F6741" s="317"/>
      <c r="G6741" s="332"/>
      <c r="H6741" s="3"/>
    </row>
    <row r="6742" ht="13.65" customHeight="1">
      <c r="A6742" t="s" s="22">
        <v>922</v>
      </c>
      <c r="B6742" t="s" s="132">
        <v>968</v>
      </c>
      <c r="C6742" s="131"/>
      <c r="D6742" t="s" s="165">
        <v>918</v>
      </c>
      <c r="E6742" s="15"/>
      <c r="F6742" s="317"/>
      <c r="G6742" s="332"/>
      <c r="H6742" s="3"/>
    </row>
    <row r="6743" ht="13.65" customHeight="1">
      <c r="A6743" t="s" s="22">
        <v>969</v>
      </c>
      <c r="B6743" t="s" s="132">
        <v>970</v>
      </c>
      <c r="C6743" s="131"/>
      <c r="D6743" t="s" s="165">
        <v>918</v>
      </c>
      <c r="E6743" s="15"/>
      <c r="F6743" s="317"/>
      <c r="G6743" s="332"/>
      <c r="H6743" s="3"/>
    </row>
    <row r="6744" ht="13.65" customHeight="1">
      <c r="A6744" s="28"/>
      <c r="B6744" s="164"/>
      <c r="C6744" t="s" s="334">
        <v>924</v>
      </c>
      <c r="D6744" t="s" s="335">
        <v>256</v>
      </c>
      <c r="E6744" s="15"/>
      <c r="F6744" s="317"/>
      <c r="G6744" s="332"/>
      <c r="H6744" s="3"/>
    </row>
    <row r="6745" ht="13.65" customHeight="1">
      <c r="A6745" s="31"/>
      <c r="B6745" s="31"/>
      <c r="C6745" s="31"/>
      <c r="D6745" s="31"/>
      <c r="E6745" s="3"/>
      <c r="F6745" s="3"/>
      <c r="G6745" s="3"/>
      <c r="H6745" s="3"/>
    </row>
    <row r="6746" ht="13.65" customHeight="1">
      <c r="A6746" s="203"/>
      <c r="B6746" s="203"/>
      <c r="C6746" s="203"/>
      <c r="D6746" s="349"/>
      <c r="E6746" s="203"/>
      <c r="F6746" s="340"/>
      <c r="G6746" s="341"/>
      <c r="H6746" s="203"/>
    </row>
    <row r="6747" ht="13.65" customHeight="1">
      <c r="A6747" t="s" s="274">
        <v>853</v>
      </c>
      <c r="B6747" s="275"/>
      <c r="C6747" s="275"/>
      <c r="D6747" s="342"/>
      <c r="E6747" s="275"/>
      <c r="F6747" s="311"/>
      <c r="G6747" s="343"/>
      <c r="H6747" s="277"/>
    </row>
    <row r="6748" ht="13.65" customHeight="1">
      <c r="A6748" s="278"/>
      <c r="B6748" s="278"/>
      <c r="C6748" s="278"/>
      <c r="D6748" s="344"/>
      <c r="E6748" s="278"/>
      <c r="F6748" s="314"/>
      <c r="G6748" s="345"/>
      <c r="H6748" s="278"/>
    </row>
    <row r="6749" ht="13.65" customHeight="1">
      <c r="A6749" s="3"/>
      <c r="B6749" s="3"/>
      <c r="C6749" s="3"/>
      <c r="D6749" s="316"/>
      <c r="E6749" s="3"/>
      <c r="F6749" s="317"/>
      <c r="G6749" s="332"/>
      <c r="H6749" s="3"/>
    </row>
    <row r="6750" ht="13.65" customHeight="1">
      <c r="A6750" t="s" s="5">
        <v>995</v>
      </c>
      <c r="B6750" s="3"/>
      <c r="C6750" s="3"/>
      <c r="D6750" s="316"/>
      <c r="E6750" s="3"/>
      <c r="F6750" s="317"/>
      <c r="G6750" s="332"/>
      <c r="H6750" s="3"/>
    </row>
    <row r="6751" ht="13.65" customHeight="1">
      <c r="A6751" s="11"/>
      <c r="B6751" s="11"/>
      <c r="C6751" s="11"/>
      <c r="D6751" s="319"/>
      <c r="E6751" s="11"/>
      <c r="F6751" s="320"/>
      <c r="G6751" s="346"/>
      <c r="H6751" s="3"/>
    </row>
    <row r="6752" ht="13.65" customHeight="1">
      <c r="A6752" s="13"/>
      <c r="B6752" s="13"/>
      <c r="C6752" s="13"/>
      <c r="D6752" s="14"/>
      <c r="E6752" s="13"/>
      <c r="F6752" s="13"/>
      <c r="G6752" t="s" s="14">
        <v>92</v>
      </c>
      <c r="H6752" s="15"/>
    </row>
    <row r="6753" ht="13.65" customHeight="1">
      <c r="A6753" t="s" s="16">
        <v>93</v>
      </c>
      <c r="B6753" t="s" s="16">
        <v>94</v>
      </c>
      <c r="C6753" t="s" s="16">
        <v>95</v>
      </c>
      <c r="D6753" t="s" s="16">
        <v>96</v>
      </c>
      <c r="E6753" t="s" s="16">
        <v>97</v>
      </c>
      <c r="F6753" t="s" s="16">
        <v>98</v>
      </c>
      <c r="G6753" t="s" s="16">
        <v>99</v>
      </c>
      <c r="H6753" s="15"/>
    </row>
    <row r="6754" ht="13.65" customHeight="1">
      <c r="A6754" s="19"/>
      <c r="B6754" s="19"/>
      <c r="C6754" s="19"/>
      <c r="D6754" s="20"/>
      <c r="E6754" s="19"/>
      <c r="F6754" s="19"/>
      <c r="G6754" t="s" s="20">
        <v>100</v>
      </c>
      <c r="H6754" s="15"/>
    </row>
    <row r="6755" ht="13.65" customHeight="1">
      <c r="A6755" s="21">
        <v>169</v>
      </c>
      <c r="B6755" t="s" s="22">
        <v>996</v>
      </c>
      <c r="C6755" s="323">
        <v>1</v>
      </c>
      <c r="D6755" t="s" s="165">
        <v>104</v>
      </c>
      <c r="E6755" s="179">
        <v>12</v>
      </c>
      <c r="F6755" s="23">
        <v>1</v>
      </c>
      <c r="G6755" s="322" cm="1">
        <f t="array" ref="G6755">E6755/F6755</f>
        <v>12</v>
      </c>
      <c r="H6755" s="15"/>
    </row>
    <row r="6756" ht="13.65" customHeight="1">
      <c r="A6756" s="21">
        <v>141</v>
      </c>
      <c r="B6756" t="s" s="22">
        <v>893</v>
      </c>
      <c r="C6756" s="323">
        <v>100</v>
      </c>
      <c r="D6756" t="s" s="165">
        <v>608</v>
      </c>
      <c r="E6756" s="179">
        <v>10</v>
      </c>
      <c r="F6756" s="23">
        <v>12.5</v>
      </c>
      <c r="G6756" s="322" cm="1">
        <f t="array" ref="G6756">E6756/F6756</f>
        <v>0.8</v>
      </c>
      <c r="H6756" s="15"/>
    </row>
    <row r="6757" ht="13.65" customHeight="1">
      <c r="A6757" s="21">
        <v>166</v>
      </c>
      <c r="B6757" t="s" s="22">
        <v>477</v>
      </c>
      <c r="C6757" s="323">
        <v>500</v>
      </c>
      <c r="D6757" t="s" s="165">
        <v>663</v>
      </c>
      <c r="E6757" s="179">
        <v>29.73</v>
      </c>
      <c r="F6757" s="23">
        <v>12.5</v>
      </c>
      <c r="G6757" s="322" cm="1">
        <f t="array" ref="G6757">E6757/F6757</f>
        <v>2.3784</v>
      </c>
      <c r="H6757" s="15"/>
    </row>
    <row r="6758" ht="13.65" customHeight="1">
      <c r="A6758" s="21">
        <v>142</v>
      </c>
      <c r="B6758" t="s" s="22">
        <v>894</v>
      </c>
      <c r="C6758" s="323">
        <v>1</v>
      </c>
      <c r="D6758" t="s" s="165">
        <v>102</v>
      </c>
      <c r="E6758" s="179">
        <v>3.02</v>
      </c>
      <c r="F6758" t="s" s="24">
        <v>387</v>
      </c>
      <c r="G6758" s="322" cm="1">
        <f t="array" ref="G6758">E6758*2</f>
        <v>6.04</v>
      </c>
      <c r="H6758" s="15"/>
    </row>
    <row r="6759" ht="13.65" customHeight="1">
      <c r="A6759" s="21">
        <v>170</v>
      </c>
      <c r="B6759" t="s" s="22">
        <v>997</v>
      </c>
      <c r="C6759" s="323">
        <v>20</v>
      </c>
      <c r="D6759" t="s" s="165">
        <v>102</v>
      </c>
      <c r="E6759" s="179">
        <v>33.4</v>
      </c>
      <c r="F6759" s="23">
        <v>10</v>
      </c>
      <c r="G6759" s="322" cm="1">
        <f t="array" ref="G6759">E6759/F6759</f>
        <v>3.34</v>
      </c>
      <c r="H6759" s="15"/>
    </row>
    <row r="6760" ht="13.65" customHeight="1">
      <c r="A6760" s="21">
        <v>144</v>
      </c>
      <c r="B6760" t="s" s="22">
        <v>896</v>
      </c>
      <c r="C6760" s="323">
        <v>280</v>
      </c>
      <c r="D6760" t="s" s="165">
        <v>104</v>
      </c>
      <c r="E6760" s="179">
        <v>137.5</v>
      </c>
      <c r="F6760" s="23">
        <v>280</v>
      </c>
      <c r="G6760" s="322" cm="1">
        <f t="array" ref="G6760">E6760/F6760</f>
        <v>0.491071428571429</v>
      </c>
      <c r="H6760" s="15"/>
    </row>
    <row r="6761" ht="13.65" customHeight="1">
      <c r="A6761" s="21">
        <v>145</v>
      </c>
      <c r="B6761" t="s" s="22">
        <v>897</v>
      </c>
      <c r="C6761" s="323">
        <v>50</v>
      </c>
      <c r="D6761" t="s" s="165">
        <v>104</v>
      </c>
      <c r="E6761" s="179">
        <v>100</v>
      </c>
      <c r="F6761" s="23">
        <v>50</v>
      </c>
      <c r="G6761" s="322" cm="1">
        <f t="array" ref="G6761">E6761/F6761</f>
        <v>2</v>
      </c>
      <c r="H6761" s="15"/>
    </row>
    <row r="6762" ht="13.65" customHeight="1">
      <c r="A6762" s="21">
        <v>146</v>
      </c>
      <c r="B6762" t="s" s="324">
        <v>972</v>
      </c>
      <c r="C6762" t="s" s="165">
        <v>899</v>
      </c>
      <c r="D6762" t="s" s="165">
        <v>950</v>
      </c>
      <c r="E6762" s="179">
        <v>270</v>
      </c>
      <c r="F6762" s="23">
        <v>53</v>
      </c>
      <c r="G6762" s="322" cm="1">
        <f t="array" ref="G6762">E6762/F6762</f>
        <v>5.09433962264151</v>
      </c>
      <c r="H6762" s="15"/>
    </row>
    <row r="6763" ht="13.65" customHeight="1">
      <c r="A6763" s="21">
        <v>47</v>
      </c>
      <c r="B6763" t="s" s="22">
        <v>901</v>
      </c>
      <c r="C6763" s="323">
        <v>1</v>
      </c>
      <c r="D6763" t="s" s="165">
        <v>277</v>
      </c>
      <c r="E6763" s="179">
        <v>0.61</v>
      </c>
      <c r="F6763" s="23">
        <v>2</v>
      </c>
      <c r="G6763" s="322" cm="1">
        <f t="array" ref="G6763">E6763/F6763</f>
        <v>0.305</v>
      </c>
      <c r="H6763" s="15"/>
    </row>
    <row r="6764" ht="13.65" customHeight="1">
      <c r="A6764" s="21">
        <v>55</v>
      </c>
      <c r="B6764" t="s" s="22">
        <v>111</v>
      </c>
      <c r="C6764" t="s" s="165">
        <v>112</v>
      </c>
      <c r="D6764" t="s" s="165">
        <v>964</v>
      </c>
      <c r="E6764" s="179">
        <v>2.71</v>
      </c>
      <c r="F6764" s="23">
        <v>12.5</v>
      </c>
      <c r="G6764" s="322" cm="1">
        <f t="array" ref="G6764">E6764/F6764</f>
        <v>0.2168</v>
      </c>
      <c r="H6764" s="15"/>
    </row>
    <row r="6765" ht="13.65" customHeight="1">
      <c r="A6765" s="21">
        <v>57</v>
      </c>
      <c r="B6765" t="s" s="22">
        <v>253</v>
      </c>
      <c r="C6765" t="s" s="165">
        <v>254</v>
      </c>
      <c r="D6765" t="s" s="165">
        <v>951</v>
      </c>
      <c r="E6765" s="179">
        <v>4.5</v>
      </c>
      <c r="F6765" s="23">
        <v>66.66</v>
      </c>
      <c r="G6765" s="322" cm="1">
        <f t="array" ref="G6765">E6765/F6765</f>
        <v>0.06750675067506751</v>
      </c>
      <c r="H6765" s="15"/>
    </row>
    <row r="6766" ht="13.65" customHeight="1">
      <c r="A6766" s="21">
        <v>168</v>
      </c>
      <c r="B6766" t="s" s="22">
        <v>992</v>
      </c>
      <c r="C6766" s="323">
        <v>1</v>
      </c>
      <c r="D6766" t="s" s="165">
        <v>985</v>
      </c>
      <c r="E6766" s="179">
        <v>90</v>
      </c>
      <c r="F6766" s="23">
        <v>50</v>
      </c>
      <c r="G6766" s="322" cm="1">
        <f t="array" ref="G6766">E6766/F6766</f>
        <v>1.8</v>
      </c>
      <c r="H6766" s="15"/>
    </row>
    <row r="6767" ht="13.65" customHeight="1">
      <c r="A6767" s="21">
        <v>160</v>
      </c>
      <c r="B6767" t="s" s="22">
        <v>998</v>
      </c>
      <c r="C6767" s="323">
        <v>1</v>
      </c>
      <c r="D6767" t="s" s="165">
        <v>987</v>
      </c>
      <c r="E6767" s="179">
        <v>25</v>
      </c>
      <c r="F6767" s="23">
        <v>50</v>
      </c>
      <c r="G6767" s="322" cm="1">
        <f t="array" ref="G6767">E6767/F6767</f>
        <v>0.5</v>
      </c>
      <c r="H6767" s="15"/>
    </row>
    <row r="6768" ht="13.65" customHeight="1">
      <c r="A6768" s="21">
        <v>68</v>
      </c>
      <c r="B6768" t="s" s="22">
        <v>480</v>
      </c>
      <c r="C6768" s="323">
        <v>1000</v>
      </c>
      <c r="D6768" t="s" s="165">
        <v>936</v>
      </c>
      <c r="E6768" s="179">
        <v>16</v>
      </c>
      <c r="F6768" s="23">
        <v>10</v>
      </c>
      <c r="G6768" s="322" cm="1">
        <f t="array" ref="G6768">E6768/F6768</f>
        <v>1.6</v>
      </c>
      <c r="H6768" s="15"/>
    </row>
    <row r="6769" ht="13.65" customHeight="1">
      <c r="A6769" s="21">
        <v>71</v>
      </c>
      <c r="B6769" t="s" s="22">
        <v>109</v>
      </c>
      <c r="C6769" s="323">
        <v>10</v>
      </c>
      <c r="D6769" t="s" s="165">
        <v>405</v>
      </c>
      <c r="E6769" s="179">
        <v>5.92</v>
      </c>
      <c r="F6769" s="23">
        <v>1.66</v>
      </c>
      <c r="G6769" s="322" cm="1">
        <f t="array" ref="G6769">E6769/F6769</f>
        <v>3.56626506024096</v>
      </c>
      <c r="H6769" s="15"/>
    </row>
    <row r="6770" ht="13.65" customHeight="1">
      <c r="A6770" s="21">
        <v>72</v>
      </c>
      <c r="B6770" t="s" s="22">
        <v>101</v>
      </c>
      <c r="C6770" s="323">
        <v>50</v>
      </c>
      <c r="D6770" s="353">
        <v>6</v>
      </c>
      <c r="E6770" s="179">
        <v>1.93</v>
      </c>
      <c r="F6770" s="23">
        <v>6.25</v>
      </c>
      <c r="G6770" s="322" cm="1">
        <f t="array" ref="G6770">E6770/F6770</f>
        <v>0.3088</v>
      </c>
      <c r="H6770" s="15"/>
    </row>
    <row r="6771" ht="13.65" customHeight="1">
      <c r="A6771" s="21">
        <v>86</v>
      </c>
      <c r="B6771" t="s" s="22">
        <v>107</v>
      </c>
      <c r="C6771" t="s" s="165">
        <v>108</v>
      </c>
      <c r="D6771" t="s" s="165">
        <v>405</v>
      </c>
      <c r="E6771" s="179">
        <v>0.32</v>
      </c>
      <c r="F6771" t="s" s="24">
        <v>967</v>
      </c>
      <c r="G6771" s="322" cm="1">
        <f t="array" ref="G6771">E6771*6</f>
        <v>1.92</v>
      </c>
      <c r="H6771" s="15"/>
    </row>
    <row r="6772" ht="13.65" customHeight="1">
      <c r="A6772" s="21">
        <v>149</v>
      </c>
      <c r="B6772" t="s" s="22">
        <v>906</v>
      </c>
      <c r="C6772" s="323">
        <v>100</v>
      </c>
      <c r="D6772" t="s" s="165">
        <v>102</v>
      </c>
      <c r="E6772" s="179">
        <v>9.6</v>
      </c>
      <c r="F6772" s="23">
        <v>50</v>
      </c>
      <c r="G6772" s="322" cm="1">
        <f t="array" ref="G6772">E6772/F6772</f>
        <v>0.192</v>
      </c>
      <c r="H6772" s="15"/>
    </row>
    <row r="6773" ht="13.65" customHeight="1">
      <c r="A6773" s="21">
        <v>87</v>
      </c>
      <c r="B6773" t="s" s="22">
        <v>110</v>
      </c>
      <c r="C6773" s="323">
        <v>50</v>
      </c>
      <c r="D6773" t="s" s="165">
        <v>405</v>
      </c>
      <c r="E6773" s="179">
        <v>11.2</v>
      </c>
      <c r="F6773" s="23">
        <v>8.33</v>
      </c>
      <c r="G6773" s="322" cm="1">
        <f t="array" ref="G6773">E6773/F6773</f>
        <v>1.34453781512605</v>
      </c>
      <c r="H6773" s="15"/>
    </row>
    <row r="6774" ht="13.65" customHeight="1">
      <c r="A6774" s="21">
        <v>100</v>
      </c>
      <c r="B6774" t="s" s="22">
        <v>376</v>
      </c>
      <c r="C6774" t="s" s="165">
        <v>377</v>
      </c>
      <c r="D6774" t="s" s="165">
        <v>378</v>
      </c>
      <c r="E6774" s="179">
        <v>4.5</v>
      </c>
      <c r="F6774" s="23">
        <v>40</v>
      </c>
      <c r="G6774" s="322" cm="1">
        <f t="array" ref="G6774">E6774/F6774</f>
        <v>0.1125</v>
      </c>
      <c r="H6774" s="15"/>
    </row>
    <row r="6775" ht="13.65" customHeight="1">
      <c r="A6775" s="21">
        <v>103</v>
      </c>
      <c r="B6775" t="s" s="22">
        <v>114</v>
      </c>
      <c r="C6775" s="323">
        <v>144</v>
      </c>
      <c r="D6775" t="s" s="165">
        <v>104</v>
      </c>
      <c r="E6775" s="179">
        <v>18</v>
      </c>
      <c r="F6775" s="23">
        <v>144</v>
      </c>
      <c r="G6775" s="322" cm="1">
        <f t="array" ref="G6775">E6775/F6775</f>
        <v>0.125</v>
      </c>
      <c r="H6775" s="15"/>
    </row>
    <row r="6776" ht="13.65" customHeight="1">
      <c r="A6776" s="21">
        <v>111</v>
      </c>
      <c r="B6776" t="s" s="22">
        <v>476</v>
      </c>
      <c r="C6776" s="323">
        <v>1</v>
      </c>
      <c r="D6776" t="s" s="165">
        <v>937</v>
      </c>
      <c r="E6776" s="179">
        <v>2.7</v>
      </c>
      <c r="F6776" s="23">
        <v>30</v>
      </c>
      <c r="G6776" s="322" cm="1">
        <f t="array" ref="G6776">E6776/F6776</f>
        <v>0.09</v>
      </c>
      <c r="H6776" s="15"/>
    </row>
    <row r="6777" ht="13.65" customHeight="1">
      <c r="A6777" s="21">
        <v>151</v>
      </c>
      <c r="B6777" t="s" s="22">
        <v>928</v>
      </c>
      <c r="C6777" t="s" s="165">
        <v>909</v>
      </c>
      <c r="D6777" t="s" s="165">
        <v>988</v>
      </c>
      <c r="E6777" s="179">
        <v>249</v>
      </c>
      <c r="F6777" s="23">
        <v>80</v>
      </c>
      <c r="G6777" s="322" cm="1">
        <f t="array" ref="G6777">E6777/F6777</f>
        <v>3.1125</v>
      </c>
      <c r="H6777" s="15"/>
    </row>
    <row r="6778" ht="13.65" customHeight="1">
      <c r="A6778" s="21">
        <v>117</v>
      </c>
      <c r="B6778" t="s" s="22">
        <v>586</v>
      </c>
      <c r="C6778" s="323">
        <v>100</v>
      </c>
      <c r="D6778" t="s" s="165">
        <v>106</v>
      </c>
      <c r="E6778" s="179">
        <v>1.2</v>
      </c>
      <c r="F6778" s="23">
        <v>10</v>
      </c>
      <c r="G6778" s="322" cm="1">
        <f t="array" ref="G6778">E6778/F6778</f>
        <v>0.12</v>
      </c>
      <c r="H6778" s="15"/>
    </row>
    <row r="6779" ht="13.65" customHeight="1">
      <c r="A6779" s="21">
        <v>123</v>
      </c>
      <c r="B6779" t="s" s="22">
        <v>103</v>
      </c>
      <c r="C6779" s="323">
        <v>40</v>
      </c>
      <c r="D6779" t="s" s="165">
        <v>104</v>
      </c>
      <c r="E6779" s="179">
        <v>3.2</v>
      </c>
      <c r="F6779" s="23">
        <v>40</v>
      </c>
      <c r="G6779" s="322" cm="1">
        <f t="array" ref="G6779">E6779/F6779</f>
        <v>0.08</v>
      </c>
      <c r="H6779" s="15"/>
    </row>
    <row r="6780" ht="13.65" customHeight="1">
      <c r="A6780" s="21">
        <v>124</v>
      </c>
      <c r="B6780" t="s" s="22">
        <v>372</v>
      </c>
      <c r="C6780" s="323">
        <v>1</v>
      </c>
      <c r="D6780" t="s" s="165">
        <v>427</v>
      </c>
      <c r="E6780" s="179">
        <v>2.2</v>
      </c>
      <c r="F6780" s="23">
        <v>2</v>
      </c>
      <c r="G6780" s="322" cm="1">
        <f t="array" ref="G6780">E6780/F6780</f>
        <v>1.1</v>
      </c>
      <c r="H6780" s="15"/>
    </row>
    <row r="6781" ht="13.65" customHeight="1">
      <c r="A6781" s="21">
        <v>152</v>
      </c>
      <c r="B6781" t="s" s="22">
        <v>911</v>
      </c>
      <c r="C6781" s="323">
        <v>1</v>
      </c>
      <c r="D6781" t="s" s="165">
        <v>102</v>
      </c>
      <c r="E6781" s="179">
        <v>4.04</v>
      </c>
      <c r="F6781" t="s" s="24">
        <v>387</v>
      </c>
      <c r="G6781" s="322" cm="1">
        <f t="array" ref="G6781">E6781*2</f>
        <v>8.08</v>
      </c>
      <c r="H6781" s="15"/>
    </row>
    <row r="6782" ht="13.65" customHeight="1">
      <c r="A6782" s="21">
        <v>153</v>
      </c>
      <c r="B6782" t="s" s="22">
        <v>912</v>
      </c>
      <c r="C6782" s="323">
        <v>1</v>
      </c>
      <c r="D6782" t="s" s="165">
        <v>102</v>
      </c>
      <c r="E6782" s="179">
        <v>6.63</v>
      </c>
      <c r="F6782" t="s" s="24">
        <v>387</v>
      </c>
      <c r="G6782" s="322" cm="1">
        <f t="array" ref="G6782">E6782*2</f>
        <v>13.26</v>
      </c>
      <c r="H6782" s="15"/>
    </row>
    <row r="6783" ht="13.65" customHeight="1">
      <c r="A6783" s="28"/>
      <c r="B6783" t="s" s="22">
        <v>999</v>
      </c>
      <c r="C6783" s="323">
        <v>1</v>
      </c>
      <c r="D6783" t="s" s="165">
        <v>104</v>
      </c>
      <c r="E6783" s="179">
        <v>30</v>
      </c>
      <c r="F6783" s="23">
        <v>1</v>
      </c>
      <c r="G6783" s="322"/>
      <c r="H6783" s="15"/>
    </row>
    <row r="6784" ht="13.65" customHeight="1">
      <c r="A6784" s="28"/>
      <c r="B6784" s="28"/>
      <c r="C6784" s="141"/>
      <c r="D6784" s="165"/>
      <c r="E6784" s="28"/>
      <c r="F6784" t="s" s="24">
        <v>118</v>
      </c>
      <c r="G6784" s="322" cm="1">
        <f t="array" ref="G6784">SUM(G6755:G6783)</f>
        <v>70.044720677255</v>
      </c>
      <c r="H6784" s="15"/>
    </row>
    <row r="6785" ht="13.65" customHeight="1">
      <c r="A6785" s="129"/>
      <c r="B6785" s="129"/>
      <c r="C6785" s="129"/>
      <c r="D6785" s="166"/>
      <c r="E6785" s="129"/>
      <c r="F6785" s="176"/>
      <c r="G6785" s="327"/>
      <c r="H6785" s="3"/>
    </row>
    <row r="6786" ht="11.7" customHeight="1">
      <c r="A6786" t="s" s="328">
        <v>136</v>
      </c>
      <c r="B6786" t="s" s="167">
        <v>913</v>
      </c>
      <c r="C6786" t="s" s="167">
        <v>914</v>
      </c>
      <c r="D6786" t="s" s="329">
        <v>973</v>
      </c>
      <c r="E6786" s="330"/>
      <c r="F6786" s="170"/>
      <c r="G6786" s="355"/>
      <c r="H6786" s="356"/>
    </row>
    <row r="6787" ht="13.65" customHeight="1">
      <c r="A6787" s="21">
        <v>100</v>
      </c>
      <c r="B6787" s="172" cm="1">
        <f t="array" ref="B6787">SUM(H256)</f>
        <v>2.47496540404041</v>
      </c>
      <c r="C6787" s="172" cm="1">
        <f t="array" ref="C6787">SUM(G6784)</f>
        <v>70.044720677255</v>
      </c>
      <c r="D6787" s="199" cm="1">
        <f t="array" ref="D6787">SUM(A6787*B6787)+(C6787)</f>
        <v>317.541261081296</v>
      </c>
      <c r="E6787" s="200"/>
      <c r="F6787" s="331"/>
      <c r="G6787" s="332"/>
      <c r="H6787" s="3"/>
    </row>
    <row r="6788" ht="13.65" customHeight="1">
      <c r="A6788" s="129"/>
      <c r="B6788" s="129"/>
      <c r="C6788" s="333"/>
      <c r="D6788" s="166"/>
      <c r="E6788" s="136"/>
      <c r="F6788" s="317"/>
      <c r="G6788" s="332"/>
      <c r="H6788" s="3"/>
    </row>
    <row r="6789" ht="13.65" customHeight="1">
      <c r="A6789" t="s" s="22">
        <v>954</v>
      </c>
      <c r="B6789" t="s" s="132">
        <v>955</v>
      </c>
      <c r="C6789" s="131"/>
      <c r="D6789" t="s" s="165">
        <v>918</v>
      </c>
      <c r="E6789" s="15"/>
      <c r="F6789" s="317"/>
      <c r="G6789" s="332"/>
      <c r="H6789" s="3"/>
    </row>
    <row r="6790" ht="13.65" customHeight="1">
      <c r="A6790" t="s" s="22">
        <v>922</v>
      </c>
      <c r="B6790" t="s" s="132">
        <v>968</v>
      </c>
      <c r="C6790" s="131"/>
      <c r="D6790" t="s" s="165">
        <v>918</v>
      </c>
      <c r="E6790" s="15"/>
      <c r="F6790" s="317"/>
      <c r="G6790" s="332"/>
      <c r="H6790" s="3"/>
    </row>
    <row r="6791" ht="13.65" customHeight="1">
      <c r="A6791" t="s" s="22">
        <v>969</v>
      </c>
      <c r="B6791" t="s" s="132">
        <v>970</v>
      </c>
      <c r="C6791" s="131"/>
      <c r="D6791" t="s" s="165">
        <v>918</v>
      </c>
      <c r="E6791" s="15"/>
      <c r="F6791" s="317"/>
      <c r="G6791" s="332"/>
      <c r="H6791" s="3"/>
    </row>
    <row r="6792" ht="13.65" customHeight="1">
      <c r="A6792" s="28"/>
      <c r="B6792" s="164"/>
      <c r="C6792" t="s" s="334">
        <v>924</v>
      </c>
      <c r="D6792" t="s" s="335">
        <v>256</v>
      </c>
      <c r="E6792" s="15"/>
      <c r="F6792" s="317"/>
      <c r="G6792" s="332"/>
      <c r="H6792" s="3"/>
    </row>
    <row r="6793" ht="13.65" customHeight="1">
      <c r="A6793" s="31"/>
      <c r="B6793" s="31"/>
      <c r="C6793" s="31"/>
      <c r="D6793" s="32"/>
      <c r="E6793" s="3"/>
      <c r="F6793" s="317"/>
      <c r="G6793" s="332"/>
      <c r="H6793" s="3"/>
    </row>
    <row r="6794" ht="13.65" customHeight="1">
      <c r="A6794" s="203"/>
      <c r="B6794" s="203"/>
      <c r="C6794" s="203"/>
      <c r="D6794" s="349"/>
      <c r="E6794" s="203"/>
      <c r="F6794" s="340"/>
      <c r="G6794" s="341"/>
      <c r="H6794" s="203"/>
    </row>
    <row r="6795" ht="13.65" customHeight="1">
      <c r="A6795" t="s" s="274">
        <v>853</v>
      </c>
      <c r="B6795" s="275"/>
      <c r="C6795" s="275"/>
      <c r="D6795" s="342"/>
      <c r="E6795" s="275"/>
      <c r="F6795" s="311"/>
      <c r="G6795" s="343"/>
      <c r="H6795" s="277"/>
    </row>
    <row r="6796" ht="13.65" customHeight="1">
      <c r="A6796" s="278"/>
      <c r="B6796" s="278"/>
      <c r="C6796" s="278"/>
      <c r="D6796" s="344"/>
      <c r="E6796" s="278"/>
      <c r="F6796" s="314"/>
      <c r="G6796" s="345"/>
      <c r="H6796" s="278"/>
    </row>
    <row r="6797" ht="13.65" customHeight="1">
      <c r="A6797" s="3"/>
      <c r="B6797" s="3"/>
      <c r="C6797" s="3"/>
      <c r="D6797" s="316"/>
      <c r="E6797" s="3"/>
      <c r="F6797" s="317"/>
      <c r="G6797" s="332"/>
      <c r="H6797" s="3"/>
    </row>
    <row r="6798" ht="13.65" customHeight="1">
      <c r="A6798" t="s" s="5">
        <v>1000</v>
      </c>
      <c r="B6798" s="3"/>
      <c r="C6798" s="3"/>
      <c r="D6798" s="316"/>
      <c r="E6798" s="3"/>
      <c r="F6798" s="317"/>
      <c r="G6798" s="332"/>
      <c r="H6798" s="3"/>
    </row>
    <row r="6799" ht="13.65" customHeight="1">
      <c r="A6799" s="11"/>
      <c r="B6799" s="11"/>
      <c r="C6799" s="11"/>
      <c r="D6799" s="319"/>
      <c r="E6799" s="11"/>
      <c r="F6799" s="320"/>
      <c r="G6799" s="346"/>
      <c r="H6799" s="3"/>
    </row>
    <row r="6800" ht="13.65" customHeight="1">
      <c r="A6800" s="13"/>
      <c r="B6800" s="13"/>
      <c r="C6800" s="13"/>
      <c r="D6800" s="14"/>
      <c r="E6800" s="13"/>
      <c r="F6800" s="13"/>
      <c r="G6800" t="s" s="14">
        <v>92</v>
      </c>
      <c r="H6800" s="15"/>
    </row>
    <row r="6801" ht="13.65" customHeight="1">
      <c r="A6801" t="s" s="16">
        <v>93</v>
      </c>
      <c r="B6801" t="s" s="16">
        <v>94</v>
      </c>
      <c r="C6801" t="s" s="16">
        <v>95</v>
      </c>
      <c r="D6801" t="s" s="16">
        <v>96</v>
      </c>
      <c r="E6801" t="s" s="16">
        <v>97</v>
      </c>
      <c r="F6801" t="s" s="16">
        <v>98</v>
      </c>
      <c r="G6801" t="s" s="16">
        <v>99</v>
      </c>
      <c r="H6801" s="15"/>
    </row>
    <row r="6802" ht="13.65" customHeight="1">
      <c r="A6802" s="19"/>
      <c r="B6802" s="19"/>
      <c r="C6802" s="19"/>
      <c r="D6802" s="20"/>
      <c r="E6802" s="19"/>
      <c r="F6802" s="19"/>
      <c r="G6802" t="s" s="20">
        <v>100</v>
      </c>
      <c r="H6802" s="15"/>
    </row>
    <row r="6803" ht="13.65" customHeight="1">
      <c r="A6803" s="21">
        <v>166</v>
      </c>
      <c r="B6803" t="s" s="22">
        <v>477</v>
      </c>
      <c r="C6803" s="323">
        <v>500</v>
      </c>
      <c r="D6803" t="s" s="165">
        <v>663</v>
      </c>
      <c r="E6803" s="179">
        <v>29.73</v>
      </c>
      <c r="F6803" s="23">
        <v>12.5</v>
      </c>
      <c r="G6803" s="322" cm="1">
        <f t="array" ref="G6803">E6803/F6803</f>
        <v>2.3784</v>
      </c>
      <c r="H6803" s="15"/>
    </row>
    <row r="6804" ht="13.65" customHeight="1">
      <c r="A6804" s="21">
        <v>144</v>
      </c>
      <c r="B6804" t="s" s="22">
        <v>896</v>
      </c>
      <c r="C6804" s="323">
        <v>280</v>
      </c>
      <c r="D6804" t="s" s="165">
        <v>104</v>
      </c>
      <c r="E6804" s="179">
        <v>137.5</v>
      </c>
      <c r="F6804" s="23">
        <v>280</v>
      </c>
      <c r="G6804" s="322" cm="1">
        <f t="array" ref="G6804">E6804/F6804</f>
        <v>0.491071428571429</v>
      </c>
      <c r="H6804" s="15"/>
    </row>
    <row r="6805" ht="13.65" customHeight="1">
      <c r="A6805" s="21">
        <v>145</v>
      </c>
      <c r="B6805" t="s" s="22">
        <v>897</v>
      </c>
      <c r="C6805" s="323">
        <v>50</v>
      </c>
      <c r="D6805" t="s" s="165">
        <v>104</v>
      </c>
      <c r="E6805" s="179">
        <v>100</v>
      </c>
      <c r="F6805" s="23">
        <v>50</v>
      </c>
      <c r="G6805" s="322" cm="1">
        <f t="array" ref="G6805">E6805/F6805</f>
        <v>2</v>
      </c>
      <c r="H6805" s="15"/>
    </row>
    <row r="6806" ht="13.65" customHeight="1">
      <c r="A6806" s="21">
        <v>27</v>
      </c>
      <c r="B6806" t="s" s="22">
        <v>474</v>
      </c>
      <c r="C6806" s="323">
        <v>18</v>
      </c>
      <c r="D6806" t="s" s="165">
        <v>102</v>
      </c>
      <c r="E6806" s="179">
        <v>6.5</v>
      </c>
      <c r="F6806" s="23">
        <v>9</v>
      </c>
      <c r="G6806" s="322" cm="1">
        <f t="array" ref="G6806">E6806/F6806</f>
        <v>0.722222222222222</v>
      </c>
      <c r="H6806" s="15"/>
    </row>
    <row r="6807" ht="13.65" customHeight="1">
      <c r="A6807" s="21">
        <v>146</v>
      </c>
      <c r="B6807" t="s" s="324">
        <v>972</v>
      </c>
      <c r="C6807" t="s" s="165">
        <v>899</v>
      </c>
      <c r="D6807" t="s" s="165">
        <v>900</v>
      </c>
      <c r="E6807" s="179">
        <v>270</v>
      </c>
      <c r="F6807" s="23">
        <v>26.5</v>
      </c>
      <c r="G6807" s="322" cm="1">
        <f t="array" ref="G6807">E6807/F6807</f>
        <v>10.188679245283</v>
      </c>
      <c r="H6807" s="15"/>
    </row>
    <row r="6808" ht="13.65" customHeight="1">
      <c r="A6808" s="21">
        <v>47</v>
      </c>
      <c r="B6808" t="s" s="22">
        <v>901</v>
      </c>
      <c r="C6808" s="323">
        <v>1</v>
      </c>
      <c r="D6808" t="s" s="165">
        <v>277</v>
      </c>
      <c r="E6808" s="179">
        <v>0.61</v>
      </c>
      <c r="F6808" s="23">
        <v>2</v>
      </c>
      <c r="G6808" s="322" cm="1">
        <f t="array" ref="G6808">E6808/F6808</f>
        <v>0.305</v>
      </c>
      <c r="H6808" s="15"/>
    </row>
    <row r="6809" ht="13.65" customHeight="1">
      <c r="A6809" s="21">
        <v>55</v>
      </c>
      <c r="B6809" t="s" s="22">
        <v>111</v>
      </c>
      <c r="C6809" t="s" s="165">
        <v>112</v>
      </c>
      <c r="D6809" t="s" s="165">
        <v>964</v>
      </c>
      <c r="E6809" s="179">
        <v>2.71</v>
      </c>
      <c r="F6809" s="23">
        <v>12.5</v>
      </c>
      <c r="G6809" s="322" cm="1">
        <f t="array" ref="G6809">E6809/F6809</f>
        <v>0.2168</v>
      </c>
      <c r="H6809" s="15"/>
    </row>
    <row r="6810" ht="13.65" customHeight="1">
      <c r="A6810" s="21">
        <v>57</v>
      </c>
      <c r="B6810" t="s" s="22">
        <v>253</v>
      </c>
      <c r="C6810" t="s" s="165">
        <v>254</v>
      </c>
      <c r="D6810" t="s" s="165">
        <v>951</v>
      </c>
      <c r="E6810" s="179">
        <v>4.5</v>
      </c>
      <c r="F6810" s="23">
        <v>66.66</v>
      </c>
      <c r="G6810" s="322" cm="1">
        <f t="array" ref="G6810">E6810/F6810</f>
        <v>0.06750675067506751</v>
      </c>
      <c r="H6810" s="15"/>
    </row>
    <row r="6811" ht="13.65" customHeight="1">
      <c r="A6811" s="21">
        <v>168</v>
      </c>
      <c r="B6811" t="s" s="22">
        <v>992</v>
      </c>
      <c r="C6811" s="323">
        <v>1</v>
      </c>
      <c r="D6811" t="s" s="165">
        <v>985</v>
      </c>
      <c r="E6811" s="179">
        <v>90</v>
      </c>
      <c r="F6811" s="23">
        <v>50</v>
      </c>
      <c r="G6811" s="322" cm="1">
        <f t="array" ref="G6811">E6811/F6811</f>
        <v>1.8</v>
      </c>
      <c r="H6811" s="15"/>
    </row>
    <row r="6812" ht="13.65" customHeight="1">
      <c r="A6812" s="21">
        <v>68</v>
      </c>
      <c r="B6812" t="s" s="22">
        <v>480</v>
      </c>
      <c r="C6812" s="323">
        <v>1000</v>
      </c>
      <c r="D6812" t="s" s="165">
        <v>936</v>
      </c>
      <c r="E6812" s="179">
        <v>16</v>
      </c>
      <c r="F6812" s="23">
        <v>10</v>
      </c>
      <c r="G6812" s="322" cm="1">
        <f t="array" ref="G6812">E6812/F6812</f>
        <v>1.6</v>
      </c>
      <c r="H6812" s="15"/>
    </row>
    <row r="6813" ht="13.65" customHeight="1">
      <c r="A6813" s="21">
        <v>71</v>
      </c>
      <c r="B6813" t="s" s="22">
        <v>109</v>
      </c>
      <c r="C6813" s="323">
        <v>10</v>
      </c>
      <c r="D6813" t="s" s="165">
        <v>405</v>
      </c>
      <c r="E6813" s="179">
        <v>5.92</v>
      </c>
      <c r="F6813" s="23">
        <v>1.66</v>
      </c>
      <c r="G6813" s="322" cm="1">
        <f t="array" ref="G6813">E6813/F6813</f>
        <v>3.56626506024096</v>
      </c>
      <c r="H6813" s="15"/>
    </row>
    <row r="6814" ht="13.65" customHeight="1">
      <c r="A6814" s="21">
        <v>72</v>
      </c>
      <c r="B6814" t="s" s="22">
        <v>101</v>
      </c>
      <c r="C6814" s="323">
        <v>50</v>
      </c>
      <c r="D6814" s="353">
        <v>6</v>
      </c>
      <c r="E6814" s="179">
        <v>1.93</v>
      </c>
      <c r="F6814" s="23">
        <v>6.25</v>
      </c>
      <c r="G6814" s="322" cm="1">
        <f t="array" ref="G6814">E6814/F6814</f>
        <v>0.3088</v>
      </c>
      <c r="H6814" s="15"/>
    </row>
    <row r="6815" ht="13.65" customHeight="1">
      <c r="A6815" s="21">
        <v>86</v>
      </c>
      <c r="B6815" t="s" s="22">
        <v>107</v>
      </c>
      <c r="C6815" t="s" s="165">
        <v>108</v>
      </c>
      <c r="D6815" t="s" s="165">
        <v>405</v>
      </c>
      <c r="E6815" s="179">
        <v>0.32</v>
      </c>
      <c r="F6815" t="s" s="24">
        <v>967</v>
      </c>
      <c r="G6815" s="322" cm="1">
        <f t="array" ref="G6815">E6815*6</f>
        <v>1.92</v>
      </c>
      <c r="H6815" s="15"/>
    </row>
    <row r="6816" ht="13.65" customHeight="1">
      <c r="A6816" s="21">
        <v>149</v>
      </c>
      <c r="B6816" t="s" s="22">
        <v>906</v>
      </c>
      <c r="C6816" s="323">
        <v>100</v>
      </c>
      <c r="D6816" t="s" s="165">
        <v>102</v>
      </c>
      <c r="E6816" s="179">
        <v>9.6</v>
      </c>
      <c r="F6816" s="23">
        <v>50</v>
      </c>
      <c r="G6816" s="322" cm="1">
        <f t="array" ref="G6816">E6816/F6816</f>
        <v>0.192</v>
      </c>
      <c r="H6816" s="15"/>
    </row>
    <row r="6817" ht="13.65" customHeight="1">
      <c r="A6817" s="21">
        <v>87</v>
      </c>
      <c r="B6817" t="s" s="22">
        <v>110</v>
      </c>
      <c r="C6817" s="323">
        <v>50</v>
      </c>
      <c r="D6817" t="s" s="165">
        <v>405</v>
      </c>
      <c r="E6817" s="179">
        <v>11.2</v>
      </c>
      <c r="F6817" s="23">
        <v>8.33</v>
      </c>
      <c r="G6817" s="322" cm="1">
        <f t="array" ref="G6817">E6817/F6817</f>
        <v>1.34453781512605</v>
      </c>
      <c r="H6817" s="15"/>
    </row>
    <row r="6818" ht="13.65" customHeight="1">
      <c r="A6818" s="21">
        <v>100</v>
      </c>
      <c r="B6818" t="s" s="22">
        <v>376</v>
      </c>
      <c r="C6818" t="s" s="165">
        <v>377</v>
      </c>
      <c r="D6818" t="s" s="165">
        <v>378</v>
      </c>
      <c r="E6818" s="179">
        <v>4.5</v>
      </c>
      <c r="F6818" s="23">
        <v>40</v>
      </c>
      <c r="G6818" s="322" cm="1">
        <f t="array" ref="G6818">E6818/F6818</f>
        <v>0.1125</v>
      </c>
      <c r="H6818" s="15"/>
    </row>
    <row r="6819" ht="13.65" customHeight="1">
      <c r="A6819" s="21">
        <v>111</v>
      </c>
      <c r="B6819" t="s" s="22">
        <v>476</v>
      </c>
      <c r="C6819" s="323">
        <v>1</v>
      </c>
      <c r="D6819" t="s" s="165">
        <v>937</v>
      </c>
      <c r="E6819" s="179">
        <v>2.7</v>
      </c>
      <c r="F6819" s="23">
        <v>30</v>
      </c>
      <c r="G6819" s="322" cm="1">
        <f t="array" ref="G6819">E6819/F6819</f>
        <v>0.09</v>
      </c>
      <c r="H6819" s="15"/>
    </row>
    <row r="6820" ht="13.65" customHeight="1">
      <c r="A6820" s="21">
        <v>117</v>
      </c>
      <c r="B6820" t="s" s="22">
        <v>586</v>
      </c>
      <c r="C6820" s="323">
        <v>100</v>
      </c>
      <c r="D6820" t="s" s="165">
        <v>106</v>
      </c>
      <c r="E6820" s="179">
        <v>1.2</v>
      </c>
      <c r="F6820" s="23">
        <v>10</v>
      </c>
      <c r="G6820" s="322" cm="1">
        <f t="array" ref="G6820">E6820/F6820</f>
        <v>0.12</v>
      </c>
      <c r="H6820" s="15"/>
    </row>
    <row r="6821" ht="13.65" customHeight="1">
      <c r="A6821" s="21">
        <v>123</v>
      </c>
      <c r="B6821" t="s" s="22">
        <v>103</v>
      </c>
      <c r="C6821" s="323">
        <v>40</v>
      </c>
      <c r="D6821" t="s" s="165">
        <v>104</v>
      </c>
      <c r="E6821" s="179">
        <v>3.2</v>
      </c>
      <c r="F6821" s="23">
        <v>40</v>
      </c>
      <c r="G6821" s="322" cm="1">
        <f t="array" ref="G6821">E6821/F6821</f>
        <v>0.08</v>
      </c>
      <c r="H6821" s="15"/>
    </row>
    <row r="6822" ht="13.65" customHeight="1">
      <c r="A6822" s="21">
        <v>124</v>
      </c>
      <c r="B6822" t="s" s="22">
        <v>372</v>
      </c>
      <c r="C6822" s="323">
        <v>1</v>
      </c>
      <c r="D6822" t="s" s="165">
        <v>427</v>
      </c>
      <c r="E6822" s="179">
        <v>2.2</v>
      </c>
      <c r="F6822" s="23">
        <v>2</v>
      </c>
      <c r="G6822" s="322" cm="1">
        <f t="array" ref="G6822">E6822/F6822</f>
        <v>1.1</v>
      </c>
      <c r="H6822" s="15"/>
    </row>
    <row r="6823" ht="13.65" customHeight="1">
      <c r="A6823" s="28"/>
      <c r="B6823" t="s" s="22">
        <v>482</v>
      </c>
      <c r="C6823" s="323">
        <v>1</v>
      </c>
      <c r="D6823" t="s" s="165">
        <v>104</v>
      </c>
      <c r="E6823" s="179"/>
      <c r="F6823" s="23">
        <v>1</v>
      </c>
      <c r="G6823" s="322">
        <v>100</v>
      </c>
      <c r="H6823" s="15"/>
    </row>
    <row r="6824" ht="13.65" customHeight="1">
      <c r="A6824" s="28"/>
      <c r="B6824" s="28"/>
      <c r="C6824" s="141"/>
      <c r="D6824" s="165"/>
      <c r="E6824" s="28"/>
      <c r="F6824" t="s" s="24">
        <v>118</v>
      </c>
      <c r="G6824" s="322" cm="1">
        <f t="array" ref="G6824">SUM(G6803:G6823)</f>
        <v>128.603782522119</v>
      </c>
      <c r="H6824" s="15"/>
    </row>
    <row r="6825" ht="13.65" customHeight="1">
      <c r="A6825" s="129"/>
      <c r="B6825" s="129"/>
      <c r="C6825" s="129"/>
      <c r="D6825" s="166"/>
      <c r="E6825" s="129"/>
      <c r="F6825" s="176"/>
      <c r="G6825" s="327"/>
      <c r="H6825" s="3"/>
    </row>
    <row r="6826" ht="11.7" customHeight="1">
      <c r="A6826" t="s" s="328">
        <v>136</v>
      </c>
      <c r="B6826" t="s" s="329">
        <v>913</v>
      </c>
      <c r="C6826" t="s" s="359">
        <v>914</v>
      </c>
      <c r="D6826" t="s" s="329">
        <v>915</v>
      </c>
      <c r="E6826" s="330"/>
      <c r="F6826" s="170"/>
      <c r="G6826" s="355"/>
      <c r="H6826" s="356"/>
    </row>
    <row r="6827" ht="13.65" customHeight="1">
      <c r="A6827" s="21">
        <v>90</v>
      </c>
      <c r="B6827" s="172" cm="1">
        <f t="array" ref="B6827">SUM(H256)</f>
        <v>2.47496540404041</v>
      </c>
      <c r="C6827" s="172" cm="1">
        <f t="array" ref="C6827">SUM(G6824)</f>
        <v>128.603782522119</v>
      </c>
      <c r="D6827" s="199" cm="1">
        <f t="array" ref="D6827">SUM(A6827*B6827)+(C6827)</f>
        <v>351.350668885756</v>
      </c>
      <c r="E6827" s="200"/>
      <c r="F6827" s="331"/>
      <c r="G6827" s="332"/>
      <c r="H6827" s="3"/>
    </row>
    <row r="6828" ht="13.65" customHeight="1">
      <c r="A6828" s="129"/>
      <c r="B6828" s="129"/>
      <c r="C6828" s="333"/>
      <c r="D6828" s="166"/>
      <c r="E6828" s="136"/>
      <c r="F6828" s="317"/>
      <c r="G6828" s="332"/>
      <c r="H6828" s="3"/>
    </row>
    <row r="6829" ht="13.65" customHeight="1">
      <c r="A6829" t="s" s="22">
        <v>969</v>
      </c>
      <c r="B6829" t="s" s="132">
        <v>1001</v>
      </c>
      <c r="C6829" s="131"/>
      <c r="D6829" t="s" s="165">
        <v>918</v>
      </c>
      <c r="E6829" s="15"/>
      <c r="F6829" s="317"/>
      <c r="G6829" s="332"/>
      <c r="H6829" s="3"/>
    </row>
    <row r="6830" ht="13.65" customHeight="1">
      <c r="A6830" t="s" s="360">
        <v>922</v>
      </c>
      <c r="B6830" t="s" s="132">
        <v>1002</v>
      </c>
      <c r="C6830" s="131"/>
      <c r="D6830" t="s" s="165">
        <v>918</v>
      </c>
      <c r="E6830" s="15"/>
      <c r="F6830" s="317"/>
      <c r="G6830" s="332"/>
      <c r="H6830" s="3"/>
    </row>
    <row r="6831" ht="13.65" customHeight="1">
      <c r="A6831" s="28"/>
      <c r="B6831" s="164"/>
      <c r="C6831" t="s" s="358">
        <v>924</v>
      </c>
      <c r="D6831" t="s" s="165">
        <v>102</v>
      </c>
      <c r="E6831" s="15"/>
      <c r="F6831" s="317"/>
      <c r="G6831" s="332"/>
      <c r="H6831" s="3"/>
    </row>
    <row r="6832" ht="13.65" customHeight="1">
      <c r="A6832" s="31"/>
      <c r="B6832" s="31"/>
      <c r="C6832" s="31"/>
      <c r="D6832" s="32"/>
      <c r="E6832" s="3"/>
      <c r="F6832" s="317"/>
      <c r="G6832" s="332"/>
      <c r="H6832" s="3"/>
    </row>
    <row r="6833" ht="13.65" customHeight="1">
      <c r="A6833" s="203"/>
      <c r="B6833" s="203"/>
      <c r="C6833" s="203"/>
      <c r="D6833" s="349"/>
      <c r="E6833" s="203"/>
      <c r="F6833" s="340"/>
      <c r="G6833" s="341"/>
      <c r="H6833" s="203"/>
    </row>
    <row r="6834" ht="13.65" customHeight="1">
      <c r="A6834" t="s" s="274">
        <v>853</v>
      </c>
      <c r="B6834" s="275"/>
      <c r="C6834" s="275"/>
      <c r="D6834" s="342"/>
      <c r="E6834" s="275"/>
      <c r="F6834" s="311"/>
      <c r="G6834" s="343"/>
      <c r="H6834" s="277"/>
    </row>
    <row r="6835" ht="13.65" customHeight="1">
      <c r="A6835" s="278"/>
      <c r="B6835" s="278"/>
      <c r="C6835" s="278"/>
      <c r="D6835" s="344"/>
      <c r="E6835" s="278"/>
      <c r="F6835" s="314"/>
      <c r="G6835" s="345"/>
      <c r="H6835" s="278"/>
    </row>
    <row r="6836" ht="13.65" customHeight="1">
      <c r="A6836" s="3"/>
      <c r="B6836" s="3"/>
      <c r="C6836" s="3"/>
      <c r="D6836" s="316"/>
      <c r="E6836" s="3"/>
      <c r="F6836" s="317"/>
      <c r="G6836" s="332"/>
      <c r="H6836" s="3"/>
    </row>
    <row r="6837" ht="13.65" customHeight="1">
      <c r="A6837" t="s" s="5">
        <v>1003</v>
      </c>
      <c r="B6837" s="3"/>
      <c r="C6837" s="3"/>
      <c r="D6837" s="316"/>
      <c r="E6837" s="3"/>
      <c r="F6837" s="317"/>
      <c r="G6837" s="332"/>
      <c r="H6837" s="3"/>
    </row>
    <row r="6838" ht="13.65" customHeight="1">
      <c r="A6838" s="11"/>
      <c r="B6838" s="11"/>
      <c r="C6838" s="11"/>
      <c r="D6838" s="319"/>
      <c r="E6838" s="11"/>
      <c r="F6838" s="320"/>
      <c r="G6838" s="346"/>
      <c r="H6838" s="3"/>
    </row>
    <row r="6839" ht="13.65" customHeight="1">
      <c r="A6839" s="13"/>
      <c r="B6839" s="13"/>
      <c r="C6839" s="13"/>
      <c r="D6839" s="14"/>
      <c r="E6839" s="13"/>
      <c r="F6839" s="13"/>
      <c r="G6839" t="s" s="14">
        <v>92</v>
      </c>
      <c r="H6839" s="15"/>
    </row>
    <row r="6840" ht="13.65" customHeight="1">
      <c r="A6840" t="s" s="16">
        <v>93</v>
      </c>
      <c r="B6840" t="s" s="16">
        <v>94</v>
      </c>
      <c r="C6840" t="s" s="16">
        <v>95</v>
      </c>
      <c r="D6840" t="s" s="16">
        <v>96</v>
      </c>
      <c r="E6840" t="s" s="16">
        <v>97</v>
      </c>
      <c r="F6840" t="s" s="16">
        <v>98</v>
      </c>
      <c r="G6840" t="s" s="16">
        <v>99</v>
      </c>
      <c r="H6840" s="15"/>
    </row>
    <row r="6841" ht="13.65" customHeight="1">
      <c r="A6841" s="19"/>
      <c r="B6841" s="19"/>
      <c r="C6841" s="19"/>
      <c r="D6841" s="20"/>
      <c r="E6841" s="19"/>
      <c r="F6841" s="19"/>
      <c r="G6841" t="s" s="20">
        <v>100</v>
      </c>
      <c r="H6841" s="15"/>
    </row>
    <row r="6842" ht="13.65" customHeight="1">
      <c r="A6842" s="21">
        <v>47</v>
      </c>
      <c r="B6842" t="s" s="22">
        <v>901</v>
      </c>
      <c r="C6842" s="323">
        <v>1</v>
      </c>
      <c r="D6842" t="s" s="165">
        <v>277</v>
      </c>
      <c r="E6842" s="179">
        <v>0.61</v>
      </c>
      <c r="F6842" s="23">
        <v>2</v>
      </c>
      <c r="G6842" s="322" cm="1">
        <f t="array" ref="G6842">E6842/F6842</f>
        <v>0.305</v>
      </c>
      <c r="H6842" s="15"/>
    </row>
    <row r="6843" ht="13.65" customHeight="1">
      <c r="A6843" s="21">
        <v>164</v>
      </c>
      <c r="B6843" t="s" s="22">
        <v>1004</v>
      </c>
      <c r="C6843" s="323">
        <v>1</v>
      </c>
      <c r="D6843" s="361">
        <v>1</v>
      </c>
      <c r="E6843" s="179">
        <v>2.99</v>
      </c>
      <c r="F6843" s="23">
        <v>1</v>
      </c>
      <c r="G6843" s="322" cm="1">
        <f t="array" ref="G6843">E6843/F6843</f>
        <v>2.99</v>
      </c>
      <c r="H6843" s="15"/>
    </row>
    <row r="6844" ht="13.65" customHeight="1">
      <c r="A6844" s="21">
        <v>55</v>
      </c>
      <c r="B6844" t="s" s="22">
        <v>111</v>
      </c>
      <c r="C6844" t="s" s="165">
        <v>112</v>
      </c>
      <c r="D6844" t="s" s="165">
        <v>461</v>
      </c>
      <c r="E6844" s="179">
        <v>2.71</v>
      </c>
      <c r="F6844" s="23">
        <v>37.5</v>
      </c>
      <c r="G6844" s="322" cm="1">
        <f t="array" ref="G6844">E6844/F6844</f>
        <v>0.0722666666666667</v>
      </c>
      <c r="H6844" s="15"/>
    </row>
    <row r="6845" ht="13.65" customHeight="1">
      <c r="A6845" s="21">
        <v>57</v>
      </c>
      <c r="B6845" t="s" s="22">
        <v>253</v>
      </c>
      <c r="C6845" t="s" s="165">
        <v>254</v>
      </c>
      <c r="D6845" t="s" s="165">
        <v>255</v>
      </c>
      <c r="E6845" s="179">
        <v>4.5</v>
      </c>
      <c r="F6845" s="23">
        <v>200</v>
      </c>
      <c r="G6845" s="322" cm="1">
        <f t="array" ref="G6845">E6845/F6845</f>
        <v>0.0225</v>
      </c>
      <c r="H6845" s="15"/>
    </row>
    <row r="6846" ht="13.65" customHeight="1">
      <c r="A6846" s="21">
        <v>71</v>
      </c>
      <c r="B6846" t="s" s="22">
        <v>109</v>
      </c>
      <c r="C6846" s="323">
        <v>10</v>
      </c>
      <c r="D6846" t="s" s="165">
        <v>102</v>
      </c>
      <c r="E6846" s="179">
        <v>5.92</v>
      </c>
      <c r="F6846" s="23">
        <v>5</v>
      </c>
      <c r="G6846" s="322" cm="1">
        <f t="array" ref="G6846">E6846/F6846</f>
        <v>1.184</v>
      </c>
      <c r="H6846" s="15"/>
    </row>
    <row r="6847" ht="13.65" customHeight="1">
      <c r="A6847" s="21">
        <v>72</v>
      </c>
      <c r="B6847" t="s" s="22">
        <v>101</v>
      </c>
      <c r="C6847" s="323">
        <v>50</v>
      </c>
      <c r="D6847" t="s" s="165">
        <v>102</v>
      </c>
      <c r="E6847" s="179">
        <v>1.93</v>
      </c>
      <c r="F6847" s="23">
        <v>25</v>
      </c>
      <c r="G6847" s="322" cm="1">
        <f t="array" ref="G6847">E6847/F6847</f>
        <v>0.0772</v>
      </c>
      <c r="H6847" s="15"/>
    </row>
    <row r="6848" ht="13.65" customHeight="1">
      <c r="A6848" s="21">
        <v>86</v>
      </c>
      <c r="B6848" t="s" s="22">
        <v>107</v>
      </c>
      <c r="C6848" t="s" s="165">
        <v>108</v>
      </c>
      <c r="D6848" t="s" s="165">
        <v>102</v>
      </c>
      <c r="E6848" s="179">
        <v>0.32</v>
      </c>
      <c r="F6848" t="s" s="24">
        <v>387</v>
      </c>
      <c r="G6848" s="322" cm="1">
        <f t="array" ref="G6848">E6848*2</f>
        <v>0.64</v>
      </c>
      <c r="H6848" s="15"/>
    </row>
    <row r="6849" ht="13.65" customHeight="1">
      <c r="A6849" s="21">
        <v>149</v>
      </c>
      <c r="B6849" t="s" s="22">
        <v>906</v>
      </c>
      <c r="C6849" s="323">
        <v>100</v>
      </c>
      <c r="D6849" t="s" s="165">
        <v>102</v>
      </c>
      <c r="E6849" s="179">
        <v>9.6</v>
      </c>
      <c r="F6849" s="23">
        <v>50</v>
      </c>
      <c r="G6849" s="322" cm="1">
        <f t="array" ref="G6849">E6849/F6849</f>
        <v>0.192</v>
      </c>
      <c r="H6849" s="15"/>
    </row>
    <row r="6850" ht="13.65" customHeight="1">
      <c r="A6850" s="21">
        <v>87</v>
      </c>
      <c r="B6850" t="s" s="22">
        <v>110</v>
      </c>
      <c r="C6850" s="323">
        <v>50</v>
      </c>
      <c r="D6850" t="s" s="165">
        <v>102</v>
      </c>
      <c r="E6850" s="179">
        <v>11.2</v>
      </c>
      <c r="F6850" s="23">
        <v>25</v>
      </c>
      <c r="G6850" s="322" cm="1">
        <f t="array" ref="G6850">E6850/F6850</f>
        <v>0.448</v>
      </c>
      <c r="H6850" s="15"/>
    </row>
    <row r="6851" ht="13.65" customHeight="1">
      <c r="A6851" s="21">
        <v>170</v>
      </c>
      <c r="B6851" t="s" s="22">
        <v>1005</v>
      </c>
      <c r="C6851" s="323">
        <v>1</v>
      </c>
      <c r="D6851" t="s" s="165">
        <v>104</v>
      </c>
      <c r="E6851" s="179">
        <v>111.08</v>
      </c>
      <c r="F6851" s="23">
        <v>1</v>
      </c>
      <c r="G6851" s="322" cm="1">
        <f t="array" ref="G6851">E6851/F6851</f>
        <v>111.08</v>
      </c>
      <c r="H6851" s="15"/>
    </row>
    <row r="6852" ht="13.65" customHeight="1">
      <c r="A6852" s="21">
        <v>111</v>
      </c>
      <c r="B6852" t="s" s="22">
        <v>476</v>
      </c>
      <c r="C6852" s="323">
        <v>1</v>
      </c>
      <c r="D6852" s="354">
        <v>0.0333333333333333</v>
      </c>
      <c r="E6852" s="179">
        <v>2.7</v>
      </c>
      <c r="F6852" s="23">
        <v>30</v>
      </c>
      <c r="G6852" s="322" cm="1">
        <f t="array" ref="G6852">E6852/F6852</f>
        <v>0.09</v>
      </c>
      <c r="H6852" s="15"/>
    </row>
    <row r="6853" ht="13.65" customHeight="1">
      <c r="A6853" s="28"/>
      <c r="B6853" s="28"/>
      <c r="C6853" s="141"/>
      <c r="D6853" s="165"/>
      <c r="E6853" s="28"/>
      <c r="F6853" t="s" s="24">
        <v>118</v>
      </c>
      <c r="G6853" s="322" cm="1">
        <f t="array" ref="G6853">SUM(G6842:G6852)</f>
        <v>117.100966666667</v>
      </c>
      <c r="H6853" s="15"/>
    </row>
    <row r="6854" ht="13.65" customHeight="1">
      <c r="A6854" s="129"/>
      <c r="B6854" s="129"/>
      <c r="C6854" s="265"/>
      <c r="D6854" s="166"/>
      <c r="E6854" s="357"/>
      <c r="F6854" s="176"/>
      <c r="G6854" s="327"/>
      <c r="H6854" s="3"/>
    </row>
    <row r="6855" ht="11.7" customHeight="1">
      <c r="A6855" t="s" s="328">
        <v>136</v>
      </c>
      <c r="B6855" t="s" s="167">
        <v>913</v>
      </c>
      <c r="C6855" t="s" s="167">
        <v>914</v>
      </c>
      <c r="D6855" t="s" s="329">
        <v>1006</v>
      </c>
      <c r="E6855" s="330"/>
      <c r="F6855" s="170"/>
      <c r="G6855" s="355"/>
      <c r="H6855" s="356"/>
    </row>
    <row r="6856" ht="13.65" customHeight="1">
      <c r="A6856" s="21">
        <v>60</v>
      </c>
      <c r="B6856" s="172" cm="1">
        <f t="array" ref="B6856">SUM(H256)</f>
        <v>2.47496540404041</v>
      </c>
      <c r="C6856" s="172" cm="1">
        <f t="array" ref="C6856">G6853</f>
        <v>117.100966666667</v>
      </c>
      <c r="D6856" s="199" cm="1">
        <f t="array" ref="D6856">SUM(A6856*B6856)+(C6856)</f>
        <v>265.598890909092</v>
      </c>
      <c r="E6856" s="200"/>
      <c r="F6856" s="331"/>
      <c r="G6856" s="332"/>
      <c r="H6856" s="3"/>
    </row>
    <row r="6857" ht="13.65" customHeight="1">
      <c r="A6857" s="129"/>
      <c r="B6857" s="129"/>
      <c r="C6857" s="129"/>
      <c r="D6857" s="166"/>
      <c r="E6857" s="31"/>
      <c r="F6857" s="317"/>
      <c r="G6857" s="332"/>
      <c r="H6857" s="3"/>
    </row>
    <row r="6858" ht="13.65" customHeight="1">
      <c r="A6858" t="s" s="22">
        <v>922</v>
      </c>
      <c r="B6858" t="s" s="132">
        <v>1007</v>
      </c>
      <c r="C6858" s="131"/>
      <c r="D6858" t="s" s="165">
        <v>918</v>
      </c>
      <c r="E6858" s="15"/>
      <c r="F6858" s="317"/>
      <c r="G6858" s="332"/>
      <c r="H6858" s="3"/>
    </row>
    <row r="6859" ht="13.65" customHeight="1">
      <c r="A6859" s="28"/>
      <c r="B6859" s="164"/>
      <c r="C6859" t="s" s="334">
        <v>924</v>
      </c>
      <c r="D6859" t="s" s="335">
        <v>104</v>
      </c>
      <c r="E6859" s="15"/>
      <c r="F6859" s="317"/>
      <c r="G6859" s="332"/>
      <c r="H6859" s="3"/>
    </row>
    <row r="6860" ht="13.65" customHeight="1">
      <c r="A6860" s="31"/>
      <c r="B6860" s="31"/>
      <c r="C6860" s="31"/>
      <c r="D6860" s="32"/>
      <c r="E6860" s="3"/>
      <c r="F6860" s="317"/>
      <c r="G6860" s="332"/>
      <c r="H6860" s="3"/>
    </row>
    <row r="6861" ht="13.65" customHeight="1">
      <c r="A6861" s="3"/>
      <c r="B6861" s="3"/>
      <c r="C6861" s="3"/>
      <c r="D6861" s="316"/>
      <c r="E6861" s="3"/>
      <c r="F6861" s="317"/>
      <c r="G6861" s="332"/>
      <c r="H6861" s="3"/>
    </row>
    <row r="6862" ht="13.65" customHeight="1">
      <c r="A6862" t="s" s="5">
        <v>1008</v>
      </c>
      <c r="B6862" s="3"/>
      <c r="C6862" s="3"/>
      <c r="D6862" s="316"/>
      <c r="E6862" s="3"/>
      <c r="F6862" s="317"/>
      <c r="G6862" s="332"/>
      <c r="H6862" s="3"/>
    </row>
    <row r="6863" ht="13.65" customHeight="1">
      <c r="A6863" s="11"/>
      <c r="B6863" s="11"/>
      <c r="C6863" s="11"/>
      <c r="D6863" s="319"/>
      <c r="E6863" s="11"/>
      <c r="F6863" s="320"/>
      <c r="G6863" s="346"/>
      <c r="H6863" s="3"/>
    </row>
    <row r="6864" ht="13.65" customHeight="1">
      <c r="A6864" s="13"/>
      <c r="B6864" s="13"/>
      <c r="C6864" s="13"/>
      <c r="D6864" s="14"/>
      <c r="E6864" s="13"/>
      <c r="F6864" s="13"/>
      <c r="G6864" t="s" s="14">
        <v>92</v>
      </c>
      <c r="H6864" s="15"/>
    </row>
    <row r="6865" ht="13.65" customHeight="1">
      <c r="A6865" t="s" s="16">
        <v>93</v>
      </c>
      <c r="B6865" t="s" s="16">
        <v>94</v>
      </c>
      <c r="C6865" t="s" s="16">
        <v>95</v>
      </c>
      <c r="D6865" t="s" s="16">
        <v>96</v>
      </c>
      <c r="E6865" t="s" s="16">
        <v>97</v>
      </c>
      <c r="F6865" t="s" s="16">
        <v>98</v>
      </c>
      <c r="G6865" t="s" s="16">
        <v>99</v>
      </c>
      <c r="H6865" s="15"/>
    </row>
    <row r="6866" ht="13.65" customHeight="1">
      <c r="A6866" s="19"/>
      <c r="B6866" s="19"/>
      <c r="C6866" s="19"/>
      <c r="D6866" s="20"/>
      <c r="E6866" s="19"/>
      <c r="F6866" s="19"/>
      <c r="G6866" t="s" s="20">
        <v>100</v>
      </c>
      <c r="H6866" s="15"/>
    </row>
    <row r="6867" ht="13.65" customHeight="1">
      <c r="A6867" s="21">
        <v>47</v>
      </c>
      <c r="B6867" t="s" s="22">
        <v>901</v>
      </c>
      <c r="C6867" s="323">
        <v>1</v>
      </c>
      <c r="D6867" t="s" s="165">
        <v>277</v>
      </c>
      <c r="E6867" s="179">
        <v>0.61</v>
      </c>
      <c r="F6867" s="23">
        <v>2</v>
      </c>
      <c r="G6867" s="322" cm="1">
        <f t="array" ref="G6867">E6867/F6867</f>
        <v>0.305</v>
      </c>
      <c r="H6867" s="15"/>
    </row>
    <row r="6868" ht="13.65" customHeight="1">
      <c r="A6868" s="21">
        <v>164</v>
      </c>
      <c r="B6868" t="s" s="22">
        <v>962</v>
      </c>
      <c r="C6868" s="323">
        <v>1</v>
      </c>
      <c r="D6868" s="361">
        <v>1</v>
      </c>
      <c r="E6868" s="179">
        <v>2.99</v>
      </c>
      <c r="F6868" s="23">
        <v>1</v>
      </c>
      <c r="G6868" s="322" cm="1">
        <f t="array" ref="G6868">E6868/F6868</f>
        <v>2.99</v>
      </c>
      <c r="H6868" s="15"/>
    </row>
    <row r="6869" ht="13.65" customHeight="1">
      <c r="A6869" s="21">
        <v>55</v>
      </c>
      <c r="B6869" t="s" s="22">
        <v>111</v>
      </c>
      <c r="C6869" t="s" s="165">
        <v>112</v>
      </c>
      <c r="D6869" t="s" s="165">
        <v>461</v>
      </c>
      <c r="E6869" s="179">
        <v>2.71</v>
      </c>
      <c r="F6869" s="23">
        <v>37.5</v>
      </c>
      <c r="G6869" s="322" cm="1">
        <f t="array" ref="G6869">E6869/F6869</f>
        <v>0.0722666666666667</v>
      </c>
      <c r="H6869" s="15"/>
    </row>
    <row r="6870" ht="13.65" customHeight="1">
      <c r="A6870" s="21">
        <v>57</v>
      </c>
      <c r="B6870" t="s" s="22">
        <v>253</v>
      </c>
      <c r="C6870" t="s" s="165">
        <v>254</v>
      </c>
      <c r="D6870" t="s" s="165">
        <v>255</v>
      </c>
      <c r="E6870" s="179">
        <v>4.5</v>
      </c>
      <c r="F6870" s="23">
        <v>200</v>
      </c>
      <c r="G6870" s="322" cm="1">
        <f t="array" ref="G6870">E6870/F6870</f>
        <v>0.0225</v>
      </c>
      <c r="H6870" s="15"/>
    </row>
    <row r="6871" ht="13.65" customHeight="1">
      <c r="A6871" s="21">
        <v>71</v>
      </c>
      <c r="B6871" t="s" s="22">
        <v>109</v>
      </c>
      <c r="C6871" s="323">
        <v>10</v>
      </c>
      <c r="D6871" t="s" s="165">
        <v>102</v>
      </c>
      <c r="E6871" s="179">
        <v>5.92</v>
      </c>
      <c r="F6871" s="23">
        <v>5</v>
      </c>
      <c r="G6871" s="322" cm="1">
        <f t="array" ref="G6871">E6871/F6871</f>
        <v>1.184</v>
      </c>
      <c r="H6871" s="15"/>
    </row>
    <row r="6872" ht="13.65" customHeight="1">
      <c r="A6872" s="21">
        <v>72</v>
      </c>
      <c r="B6872" t="s" s="22">
        <v>101</v>
      </c>
      <c r="C6872" s="323">
        <v>50</v>
      </c>
      <c r="D6872" t="s" s="165">
        <v>102</v>
      </c>
      <c r="E6872" s="179">
        <v>1.93</v>
      </c>
      <c r="F6872" s="23">
        <v>25</v>
      </c>
      <c r="G6872" s="322" cm="1">
        <f t="array" ref="G6872">E6872/F6872</f>
        <v>0.0772</v>
      </c>
      <c r="H6872" s="15"/>
    </row>
    <row r="6873" ht="13.65" customHeight="1">
      <c r="A6873" s="21">
        <v>86</v>
      </c>
      <c r="B6873" t="s" s="22">
        <v>107</v>
      </c>
      <c r="C6873" t="s" s="165">
        <v>108</v>
      </c>
      <c r="D6873" t="s" s="165">
        <v>102</v>
      </c>
      <c r="E6873" s="179">
        <v>0.32</v>
      </c>
      <c r="F6873" t="s" s="24">
        <v>387</v>
      </c>
      <c r="G6873" s="322" cm="1">
        <f t="array" ref="G6873">E6873*2</f>
        <v>0.64</v>
      </c>
      <c r="H6873" s="15"/>
    </row>
    <row r="6874" ht="13.65" customHeight="1">
      <c r="A6874" s="21">
        <v>149</v>
      </c>
      <c r="B6874" t="s" s="22">
        <v>906</v>
      </c>
      <c r="C6874" s="323">
        <v>100</v>
      </c>
      <c r="D6874" t="s" s="165">
        <v>102</v>
      </c>
      <c r="E6874" s="179">
        <v>9.6</v>
      </c>
      <c r="F6874" s="23">
        <v>50</v>
      </c>
      <c r="G6874" s="322" cm="1">
        <f t="array" ref="G6874">E6874/F6874</f>
        <v>0.192</v>
      </c>
      <c r="H6874" s="15"/>
    </row>
    <row r="6875" ht="13.65" customHeight="1">
      <c r="A6875" s="21">
        <v>87</v>
      </c>
      <c r="B6875" t="s" s="22">
        <v>110</v>
      </c>
      <c r="C6875" s="323">
        <v>50</v>
      </c>
      <c r="D6875" t="s" s="165">
        <v>102</v>
      </c>
      <c r="E6875" s="179">
        <v>11.2</v>
      </c>
      <c r="F6875" s="23">
        <v>25</v>
      </c>
      <c r="G6875" s="322" cm="1">
        <f t="array" ref="G6875">E6875/F6875</f>
        <v>0.448</v>
      </c>
      <c r="H6875" s="15"/>
    </row>
    <row r="6876" ht="13.65" customHeight="1">
      <c r="A6876" s="21">
        <v>171</v>
      </c>
      <c r="B6876" t="s" s="22">
        <v>1009</v>
      </c>
      <c r="C6876" s="323">
        <v>1</v>
      </c>
      <c r="D6876" t="s" s="165">
        <v>104</v>
      </c>
      <c r="E6876" s="179">
        <v>33.4</v>
      </c>
      <c r="F6876" s="23">
        <v>1</v>
      </c>
      <c r="G6876" s="322" cm="1">
        <f t="array" ref="G6876">E6876/F6876</f>
        <v>33.4</v>
      </c>
      <c r="H6876" s="15"/>
    </row>
    <row r="6877" ht="13.65" customHeight="1">
      <c r="A6877" s="21">
        <v>111</v>
      </c>
      <c r="B6877" t="s" s="22">
        <v>476</v>
      </c>
      <c r="C6877" s="323">
        <v>1</v>
      </c>
      <c r="D6877" s="354">
        <v>0.0333333333333333</v>
      </c>
      <c r="E6877" s="179">
        <v>2.7</v>
      </c>
      <c r="F6877" s="23">
        <v>30</v>
      </c>
      <c r="G6877" s="322" cm="1">
        <f t="array" ref="G6877">E6877/F6877</f>
        <v>0.09</v>
      </c>
      <c r="H6877" s="15"/>
    </row>
    <row r="6878" ht="13.65" customHeight="1">
      <c r="A6878" s="28"/>
      <c r="B6878" s="28"/>
      <c r="C6878" s="141"/>
      <c r="D6878" s="165"/>
      <c r="E6878" s="28"/>
      <c r="F6878" t="s" s="24">
        <v>118</v>
      </c>
      <c r="G6878" s="322" cm="1">
        <f t="array" ref="G6878">SUM(G6867:G6877)</f>
        <v>39.4209666666667</v>
      </c>
      <c r="H6878" s="15"/>
    </row>
    <row r="6879" ht="13.65" customHeight="1">
      <c r="A6879" s="129"/>
      <c r="B6879" s="129"/>
      <c r="C6879" s="265"/>
      <c r="D6879" s="166"/>
      <c r="E6879" s="357"/>
      <c r="F6879" s="176"/>
      <c r="G6879" s="327"/>
      <c r="H6879" s="3"/>
    </row>
    <row r="6880" ht="11.7" customHeight="1">
      <c r="A6880" t="s" s="328">
        <v>136</v>
      </c>
      <c r="B6880" t="s" s="167">
        <v>913</v>
      </c>
      <c r="C6880" t="s" s="167">
        <v>914</v>
      </c>
      <c r="D6880" t="s" s="329">
        <v>1006</v>
      </c>
      <c r="E6880" s="330"/>
      <c r="F6880" s="170"/>
      <c r="G6880" s="355"/>
      <c r="H6880" s="356"/>
    </row>
    <row r="6881" ht="13.65" customHeight="1">
      <c r="A6881" s="21">
        <v>60</v>
      </c>
      <c r="B6881" s="172" cm="1">
        <f t="array" ref="B6881">SUM(H256)</f>
        <v>2.47496540404041</v>
      </c>
      <c r="C6881" s="172" cm="1">
        <f t="array" ref="C6881">G6878</f>
        <v>39.4209666666667</v>
      </c>
      <c r="D6881" s="199" cm="1">
        <f t="array" ref="D6881">SUM(A6881*B6881)+(C6881)</f>
        <v>187.918890909091</v>
      </c>
      <c r="E6881" s="200"/>
      <c r="F6881" s="331"/>
      <c r="G6881" s="332"/>
      <c r="H6881" s="3"/>
    </row>
    <row r="6882" ht="13.65" customHeight="1">
      <c r="A6882" s="129"/>
      <c r="B6882" s="129"/>
      <c r="C6882" s="129"/>
      <c r="D6882" s="166"/>
      <c r="E6882" s="31"/>
      <c r="F6882" s="317"/>
      <c r="G6882" s="332"/>
      <c r="H6882" s="3"/>
    </row>
    <row r="6883" ht="13.65" customHeight="1">
      <c r="A6883" t="s" s="22">
        <v>922</v>
      </c>
      <c r="B6883" t="s" s="132">
        <v>1007</v>
      </c>
      <c r="C6883" s="131"/>
      <c r="D6883" t="s" s="165">
        <v>918</v>
      </c>
      <c r="E6883" s="15"/>
      <c r="F6883" s="317"/>
      <c r="G6883" s="332"/>
      <c r="H6883" s="3"/>
    </row>
    <row r="6884" ht="13.65" customHeight="1">
      <c r="A6884" s="28"/>
      <c r="B6884" s="164"/>
      <c r="C6884" t="s" s="334">
        <v>924</v>
      </c>
      <c r="D6884" t="s" s="335">
        <v>104</v>
      </c>
      <c r="E6884" s="15"/>
      <c r="F6884" s="317"/>
      <c r="G6884" s="332"/>
      <c r="H6884" s="3"/>
    </row>
    <row r="6885" ht="13.65" customHeight="1">
      <c r="A6885" s="31"/>
      <c r="B6885" s="31"/>
      <c r="C6885" s="31"/>
      <c r="D6885" s="32"/>
      <c r="E6885" s="3"/>
      <c r="F6885" s="317"/>
      <c r="G6885" s="332"/>
      <c r="H6885" s="3"/>
    </row>
    <row r="6886" ht="13.65" customHeight="1">
      <c r="A6886" s="203"/>
      <c r="B6886" s="203"/>
      <c r="C6886" s="203"/>
      <c r="D6886" s="349"/>
      <c r="E6886" s="203"/>
      <c r="F6886" s="340"/>
      <c r="G6886" s="341"/>
      <c r="H6886" s="203"/>
    </row>
    <row r="6887" ht="13.65" customHeight="1">
      <c r="A6887" t="s" s="274">
        <v>853</v>
      </c>
      <c r="B6887" s="275"/>
      <c r="C6887" s="275"/>
      <c r="D6887" s="342"/>
      <c r="E6887" s="275"/>
      <c r="F6887" s="311"/>
      <c r="G6887" s="343"/>
      <c r="H6887" s="277"/>
    </row>
    <row r="6888" ht="13.65" customHeight="1">
      <c r="A6888" s="278"/>
      <c r="B6888" s="278"/>
      <c r="C6888" s="278"/>
      <c r="D6888" s="344"/>
      <c r="E6888" s="278"/>
      <c r="F6888" s="314"/>
      <c r="G6888" s="345"/>
      <c r="H6888" s="278"/>
    </row>
    <row r="6889" ht="13.65" customHeight="1">
      <c r="A6889" s="3"/>
      <c r="B6889" s="3"/>
      <c r="C6889" s="3"/>
      <c r="D6889" s="316"/>
      <c r="E6889" s="3"/>
      <c r="F6889" s="317"/>
      <c r="G6889" s="332"/>
      <c r="H6889" s="3"/>
    </row>
    <row r="6890" ht="13.65" customHeight="1">
      <c r="A6890" t="s" s="5">
        <v>1010</v>
      </c>
      <c r="B6890" s="3"/>
      <c r="C6890" s="3"/>
      <c r="D6890" s="316"/>
      <c r="E6890" s="3"/>
      <c r="F6890" s="317"/>
      <c r="G6890" s="332"/>
      <c r="H6890" s="3"/>
    </row>
    <row r="6891" ht="13.65" customHeight="1">
      <c r="A6891" s="11"/>
      <c r="B6891" s="11"/>
      <c r="C6891" s="11"/>
      <c r="D6891" s="319"/>
      <c r="E6891" s="11"/>
      <c r="F6891" s="320"/>
      <c r="G6891" s="346"/>
      <c r="H6891" s="3"/>
    </row>
    <row r="6892" ht="13.65" customHeight="1">
      <c r="A6892" s="13"/>
      <c r="B6892" s="13"/>
      <c r="C6892" s="13"/>
      <c r="D6892" s="14"/>
      <c r="E6892" s="13"/>
      <c r="F6892" s="13"/>
      <c r="G6892" t="s" s="14">
        <v>92</v>
      </c>
      <c r="H6892" s="15"/>
    </row>
    <row r="6893" ht="13.65" customHeight="1">
      <c r="A6893" t="s" s="16">
        <v>93</v>
      </c>
      <c r="B6893" t="s" s="16">
        <v>94</v>
      </c>
      <c r="C6893" t="s" s="16">
        <v>95</v>
      </c>
      <c r="D6893" t="s" s="16">
        <v>96</v>
      </c>
      <c r="E6893" t="s" s="16">
        <v>97</v>
      </c>
      <c r="F6893" t="s" s="16">
        <v>98</v>
      </c>
      <c r="G6893" t="s" s="16">
        <v>99</v>
      </c>
      <c r="H6893" s="15"/>
    </row>
    <row r="6894" ht="13.65" customHeight="1">
      <c r="A6894" s="19"/>
      <c r="B6894" s="19"/>
      <c r="C6894" s="19"/>
      <c r="D6894" s="20"/>
      <c r="E6894" s="19"/>
      <c r="F6894" s="19"/>
      <c r="G6894" t="s" s="20">
        <v>100</v>
      </c>
      <c r="H6894" s="15"/>
    </row>
    <row r="6895" ht="13.65" customHeight="1">
      <c r="A6895" s="21">
        <v>149</v>
      </c>
      <c r="B6895" t="s" s="22">
        <v>893</v>
      </c>
      <c r="C6895" s="323">
        <v>100</v>
      </c>
      <c r="D6895" t="s" s="165">
        <v>608</v>
      </c>
      <c r="E6895" s="179">
        <v>10</v>
      </c>
      <c r="F6895" s="23">
        <v>12.5</v>
      </c>
      <c r="G6895" s="322" cm="1">
        <f t="array" ref="G6895">E6895/F6895</f>
        <v>0.8</v>
      </c>
      <c r="H6895" s="15"/>
    </row>
    <row r="6896" ht="13.65" customHeight="1">
      <c r="A6896" s="21">
        <v>166</v>
      </c>
      <c r="B6896" t="s" s="22">
        <v>477</v>
      </c>
      <c r="C6896" s="323">
        <v>500</v>
      </c>
      <c r="D6896" t="s" s="165">
        <v>663</v>
      </c>
      <c r="E6896" s="179">
        <v>29.73</v>
      </c>
      <c r="F6896" s="23">
        <v>12.5</v>
      </c>
      <c r="G6896" s="322" cm="1">
        <f t="array" ref="G6896">E6896/F6896</f>
        <v>2.3784</v>
      </c>
      <c r="H6896" s="15"/>
    </row>
    <row r="6897" ht="13.65" customHeight="1">
      <c r="A6897" s="21">
        <v>142</v>
      </c>
      <c r="B6897" t="s" s="22">
        <v>894</v>
      </c>
      <c r="C6897" s="323">
        <v>1</v>
      </c>
      <c r="D6897" t="s" s="165">
        <v>274</v>
      </c>
      <c r="E6897" s="179">
        <v>3.02</v>
      </c>
      <c r="F6897" t="s" s="24">
        <v>301</v>
      </c>
      <c r="G6897" s="322" cm="1">
        <f t="array" ref="G6897">E6897*4</f>
        <v>12.08</v>
      </c>
      <c r="H6897" s="15"/>
    </row>
    <row r="6898" ht="13.65" customHeight="1">
      <c r="A6898" s="21">
        <v>170</v>
      </c>
      <c r="B6898" t="s" s="22">
        <v>997</v>
      </c>
      <c r="C6898" s="323">
        <v>20</v>
      </c>
      <c r="D6898" t="s" s="165">
        <v>102</v>
      </c>
      <c r="E6898" s="179">
        <v>33.4</v>
      </c>
      <c r="F6898" s="23">
        <v>10</v>
      </c>
      <c r="G6898" s="322" cm="1">
        <f t="array" ref="G6898">E6898/F6898</f>
        <v>3.34</v>
      </c>
      <c r="H6898" s="15"/>
    </row>
    <row r="6899" ht="13.65" customHeight="1">
      <c r="A6899" s="21">
        <v>144</v>
      </c>
      <c r="B6899" t="s" s="22">
        <v>896</v>
      </c>
      <c r="C6899" s="323">
        <v>280</v>
      </c>
      <c r="D6899" t="s" s="165">
        <v>104</v>
      </c>
      <c r="E6899" s="179">
        <v>137.5</v>
      </c>
      <c r="F6899" s="23">
        <v>280</v>
      </c>
      <c r="G6899" s="322" cm="1">
        <f t="array" ref="G6899">E6899/F6899</f>
        <v>0.491071428571429</v>
      </c>
      <c r="H6899" s="15"/>
    </row>
    <row r="6900" ht="13.65" customHeight="1">
      <c r="A6900" s="21">
        <v>145</v>
      </c>
      <c r="B6900" t="s" s="22">
        <v>897</v>
      </c>
      <c r="C6900" s="323">
        <v>50</v>
      </c>
      <c r="D6900" t="s" s="165">
        <v>104</v>
      </c>
      <c r="E6900" s="179">
        <v>100</v>
      </c>
      <c r="F6900" s="23">
        <v>50</v>
      </c>
      <c r="G6900" s="322" cm="1">
        <f t="array" ref="G6900">E6900/F6900</f>
        <v>2</v>
      </c>
      <c r="H6900" s="15"/>
    </row>
    <row r="6901" ht="13.65" customHeight="1">
      <c r="A6901" s="21">
        <v>146</v>
      </c>
      <c r="B6901" t="s" s="324">
        <v>949</v>
      </c>
      <c r="C6901" t="s" s="165">
        <v>899</v>
      </c>
      <c r="D6901" t="s" s="165">
        <v>1011</v>
      </c>
      <c r="E6901" s="179">
        <v>270</v>
      </c>
      <c r="F6901" s="23">
        <v>28.68</v>
      </c>
      <c r="G6901" s="322" cm="1">
        <f t="array" ref="G6901">E6901/F6901</f>
        <v>9.41422594142259</v>
      </c>
      <c r="H6901" s="15"/>
    </row>
    <row r="6902" ht="13.65" customHeight="1">
      <c r="A6902" s="21">
        <v>47</v>
      </c>
      <c r="B6902" t="s" s="22">
        <v>901</v>
      </c>
      <c r="C6902" s="323">
        <v>1</v>
      </c>
      <c r="D6902" t="s" s="165">
        <v>277</v>
      </c>
      <c r="E6902" s="179">
        <v>0.61</v>
      </c>
      <c r="F6902" s="23">
        <v>2</v>
      </c>
      <c r="G6902" s="322" cm="1">
        <f t="array" ref="G6902">E6902/F6902</f>
        <v>0.305</v>
      </c>
      <c r="H6902" s="15"/>
    </row>
    <row r="6903" ht="13.65" customHeight="1">
      <c r="A6903" s="21">
        <v>55</v>
      </c>
      <c r="B6903" t="s" s="22">
        <v>111</v>
      </c>
      <c r="C6903" t="s" s="165">
        <v>112</v>
      </c>
      <c r="D6903" t="s" s="165">
        <v>964</v>
      </c>
      <c r="E6903" s="179">
        <v>2.71</v>
      </c>
      <c r="F6903" s="23">
        <v>12.5</v>
      </c>
      <c r="G6903" s="322" cm="1">
        <f t="array" ref="G6903">E6903/F6903</f>
        <v>0.2168</v>
      </c>
      <c r="H6903" s="15"/>
    </row>
    <row r="6904" ht="13.65" customHeight="1">
      <c r="A6904" s="21">
        <v>57</v>
      </c>
      <c r="B6904" t="s" s="22">
        <v>253</v>
      </c>
      <c r="C6904" t="s" s="165">
        <v>254</v>
      </c>
      <c r="D6904" t="s" s="165">
        <v>951</v>
      </c>
      <c r="E6904" s="179">
        <v>4.5</v>
      </c>
      <c r="F6904" s="23">
        <v>66.66</v>
      </c>
      <c r="G6904" s="322" cm="1">
        <f t="array" ref="G6904">E6904/F6904</f>
        <v>0.06750675067506751</v>
      </c>
      <c r="H6904" s="15"/>
    </row>
    <row r="6905" ht="13.65" customHeight="1">
      <c r="A6905" s="21">
        <v>68</v>
      </c>
      <c r="B6905" t="s" s="22">
        <v>480</v>
      </c>
      <c r="C6905" s="323">
        <v>1000</v>
      </c>
      <c r="D6905" t="s" s="165">
        <v>936</v>
      </c>
      <c r="E6905" s="179">
        <v>16</v>
      </c>
      <c r="F6905" s="23">
        <v>10</v>
      </c>
      <c r="G6905" s="322" cm="1">
        <f t="array" ref="G6905">E6905/F6905</f>
        <v>1.6</v>
      </c>
      <c r="H6905" s="15"/>
    </row>
    <row r="6906" ht="13.65" customHeight="1">
      <c r="A6906" s="21">
        <v>71</v>
      </c>
      <c r="B6906" t="s" s="22">
        <v>109</v>
      </c>
      <c r="C6906" s="323">
        <v>10</v>
      </c>
      <c r="D6906" t="s" s="165">
        <v>405</v>
      </c>
      <c r="E6906" s="179">
        <v>5.92</v>
      </c>
      <c r="F6906" s="23">
        <v>1.66</v>
      </c>
      <c r="G6906" s="322" cm="1">
        <f t="array" ref="G6906">E6906/F6906</f>
        <v>3.56626506024096</v>
      </c>
      <c r="H6906" s="15"/>
    </row>
    <row r="6907" ht="13.65" customHeight="1">
      <c r="A6907" s="21">
        <v>72</v>
      </c>
      <c r="B6907" t="s" s="22">
        <v>101</v>
      </c>
      <c r="C6907" s="323">
        <v>50</v>
      </c>
      <c r="D6907" t="s" s="165">
        <v>405</v>
      </c>
      <c r="E6907" s="179">
        <v>1.93</v>
      </c>
      <c r="F6907" s="23">
        <v>6.25</v>
      </c>
      <c r="G6907" s="322" cm="1">
        <f t="array" ref="G6907">E6907/F6907</f>
        <v>0.3088</v>
      </c>
      <c r="H6907" s="15"/>
    </row>
    <row r="6908" ht="13.65" customHeight="1">
      <c r="A6908" s="21">
        <v>86</v>
      </c>
      <c r="B6908" t="s" s="22">
        <v>107</v>
      </c>
      <c r="C6908" t="s" s="165">
        <v>108</v>
      </c>
      <c r="D6908" t="s" s="165">
        <v>405</v>
      </c>
      <c r="E6908" s="179">
        <v>0.32</v>
      </c>
      <c r="F6908" t="s" s="24">
        <v>967</v>
      </c>
      <c r="G6908" s="322" cm="1">
        <f t="array" ref="G6908">E6908*6</f>
        <v>1.92</v>
      </c>
      <c r="H6908" s="15"/>
    </row>
    <row r="6909" ht="13.65" customHeight="1">
      <c r="A6909" s="21">
        <v>149</v>
      </c>
      <c r="B6909" t="s" s="22">
        <v>906</v>
      </c>
      <c r="C6909" s="323">
        <v>100</v>
      </c>
      <c r="D6909" t="s" s="165">
        <v>104</v>
      </c>
      <c r="E6909" s="179">
        <v>9.6</v>
      </c>
      <c r="F6909" s="23">
        <v>100</v>
      </c>
      <c r="G6909" s="322" cm="1">
        <f t="array" ref="G6909">E6909/F6909</f>
        <v>0.096</v>
      </c>
      <c r="H6909" s="15"/>
    </row>
    <row r="6910" ht="13.65" customHeight="1">
      <c r="A6910" s="21">
        <v>87</v>
      </c>
      <c r="B6910" t="s" s="22">
        <v>110</v>
      </c>
      <c r="C6910" s="323">
        <v>50</v>
      </c>
      <c r="D6910" t="s" s="165">
        <v>405</v>
      </c>
      <c r="E6910" s="179">
        <v>11.2</v>
      </c>
      <c r="F6910" s="23">
        <v>8.33</v>
      </c>
      <c r="G6910" s="322" cm="1">
        <f t="array" ref="G6910">E6910/F6910</f>
        <v>1.34453781512605</v>
      </c>
      <c r="H6910" s="15"/>
    </row>
    <row r="6911" ht="13.65" customHeight="1">
      <c r="A6911" s="21">
        <v>100</v>
      </c>
      <c r="B6911" t="s" s="22">
        <v>376</v>
      </c>
      <c r="C6911" t="s" s="165">
        <v>377</v>
      </c>
      <c r="D6911" t="s" s="165">
        <v>378</v>
      </c>
      <c r="E6911" s="179">
        <v>4.5</v>
      </c>
      <c r="F6911" s="23">
        <v>40</v>
      </c>
      <c r="G6911" s="322" cm="1">
        <f t="array" ref="G6911">E6911/F6911</f>
        <v>0.1125</v>
      </c>
      <c r="H6911" s="15"/>
    </row>
    <row r="6912" ht="13.65" customHeight="1">
      <c r="A6912" s="21">
        <v>111</v>
      </c>
      <c r="B6912" t="s" s="22">
        <v>476</v>
      </c>
      <c r="C6912" s="323">
        <v>1</v>
      </c>
      <c r="D6912" t="s" s="165">
        <v>937</v>
      </c>
      <c r="E6912" s="179">
        <v>2.7</v>
      </c>
      <c r="F6912" s="23">
        <v>30</v>
      </c>
      <c r="G6912" s="322" cm="1">
        <f t="array" ref="G6912">E6912/F6912</f>
        <v>0.09</v>
      </c>
      <c r="H6912" s="15"/>
    </row>
    <row r="6913" ht="13.65" customHeight="1">
      <c r="A6913" s="21">
        <v>117</v>
      </c>
      <c r="B6913" t="s" s="22">
        <v>586</v>
      </c>
      <c r="C6913" s="323">
        <v>100</v>
      </c>
      <c r="D6913" t="s" s="165">
        <v>106</v>
      </c>
      <c r="E6913" s="179">
        <v>1.2</v>
      </c>
      <c r="F6913" s="23">
        <v>10</v>
      </c>
      <c r="G6913" s="322" cm="1">
        <f t="array" ref="G6913">E6913/F6913</f>
        <v>0.12</v>
      </c>
      <c r="H6913" s="15"/>
    </row>
    <row r="6914" ht="13.65" customHeight="1">
      <c r="A6914" s="21">
        <v>123</v>
      </c>
      <c r="B6914" t="s" s="22">
        <v>103</v>
      </c>
      <c r="C6914" s="323">
        <v>40</v>
      </c>
      <c r="D6914" t="s" s="165">
        <v>104</v>
      </c>
      <c r="E6914" s="179">
        <v>3.2</v>
      </c>
      <c r="F6914" s="23">
        <v>40</v>
      </c>
      <c r="G6914" s="322" cm="1">
        <f t="array" ref="G6914">E6914/F6914</f>
        <v>0.08</v>
      </c>
      <c r="H6914" s="15"/>
    </row>
    <row r="6915" ht="13.65" customHeight="1">
      <c r="A6915" s="21">
        <v>124</v>
      </c>
      <c r="B6915" t="s" s="22">
        <v>372</v>
      </c>
      <c r="C6915" s="323">
        <v>1</v>
      </c>
      <c r="D6915" t="s" s="165">
        <v>427</v>
      </c>
      <c r="E6915" s="179">
        <v>2.2</v>
      </c>
      <c r="F6915" s="23">
        <v>2</v>
      </c>
      <c r="G6915" s="322" cm="1">
        <f t="array" ref="G6915">E6915/F6915</f>
        <v>1.1</v>
      </c>
      <c r="H6915" s="15"/>
    </row>
    <row r="6916" ht="13.65" customHeight="1">
      <c r="A6916" s="21">
        <v>153</v>
      </c>
      <c r="B6916" t="s" s="22">
        <v>912</v>
      </c>
      <c r="C6916" s="323">
        <v>1</v>
      </c>
      <c r="D6916" t="s" s="165">
        <v>102</v>
      </c>
      <c r="E6916" s="179">
        <v>6.63</v>
      </c>
      <c r="F6916" t="s" s="24">
        <v>387</v>
      </c>
      <c r="G6916" s="322" cm="1">
        <f t="array" ref="G6916">E6916*2</f>
        <v>13.26</v>
      </c>
      <c r="H6916" s="15"/>
    </row>
    <row r="6917" ht="13.65" customHeight="1">
      <c r="A6917" s="28"/>
      <c r="B6917" t="s" s="22">
        <v>482</v>
      </c>
      <c r="C6917" s="323">
        <v>1</v>
      </c>
      <c r="D6917" t="s" s="165">
        <v>104</v>
      </c>
      <c r="E6917" s="179">
        <v>45</v>
      </c>
      <c r="F6917" s="23">
        <v>1</v>
      </c>
      <c r="G6917" s="322" cm="1">
        <f t="array" ref="G6917">E6917</f>
        <v>45</v>
      </c>
      <c r="H6917" s="15"/>
    </row>
    <row r="6918" ht="13.65" customHeight="1">
      <c r="A6918" s="28"/>
      <c r="B6918" s="28"/>
      <c r="C6918" s="141"/>
      <c r="D6918" s="165"/>
      <c r="E6918" s="28"/>
      <c r="F6918" t="s" s="24">
        <v>118</v>
      </c>
      <c r="G6918" s="322" cm="1">
        <f t="array" ref="G6918">SUM(G6895:G6917)</f>
        <v>99.6911069960361</v>
      </c>
      <c r="H6918" s="15"/>
    </row>
    <row r="6919" ht="13.65" customHeight="1">
      <c r="A6919" s="129"/>
      <c r="B6919" s="129"/>
      <c r="C6919" s="129"/>
      <c r="D6919" s="166"/>
      <c r="E6919" s="129"/>
      <c r="F6919" s="176"/>
      <c r="G6919" s="327"/>
      <c r="H6919" s="3"/>
    </row>
    <row r="6920" ht="11.7" customHeight="1">
      <c r="A6920" t="s" s="328">
        <v>136</v>
      </c>
      <c r="B6920" t="s" s="167">
        <v>913</v>
      </c>
      <c r="C6920" t="s" s="167">
        <v>914</v>
      </c>
      <c r="D6920" t="s" s="329">
        <v>973</v>
      </c>
      <c r="E6920" s="330"/>
      <c r="F6920" s="170"/>
      <c r="G6920" s="355"/>
      <c r="H6920" s="356"/>
    </row>
    <row r="6921" ht="13.65" customHeight="1">
      <c r="A6921" s="21">
        <v>100</v>
      </c>
      <c r="B6921" s="172" cm="1">
        <f t="array" ref="B6921">SUM(H256)</f>
        <v>2.47496540404041</v>
      </c>
      <c r="C6921" s="172" cm="1">
        <f t="array" ref="C6921">SUM(G6918)</f>
        <v>99.6911069960361</v>
      </c>
      <c r="D6921" s="199" cm="1">
        <f t="array" ref="D6921">SUM(A6921*B6921)+(C6921)</f>
        <v>347.187647400077</v>
      </c>
      <c r="E6921" s="200"/>
      <c r="F6921" s="331"/>
      <c r="G6921" s="332"/>
      <c r="H6921" s="3"/>
    </row>
    <row r="6922" ht="13.65" customHeight="1">
      <c r="A6922" s="129"/>
      <c r="B6922" s="129"/>
      <c r="C6922" s="333"/>
      <c r="D6922" s="166"/>
      <c r="E6922" s="136"/>
      <c r="F6922" s="317"/>
      <c r="G6922" s="332"/>
      <c r="H6922" s="3"/>
    </row>
    <row r="6923" ht="13.65" customHeight="1">
      <c r="A6923" t="s" s="22">
        <v>954</v>
      </c>
      <c r="B6923" t="s" s="132">
        <v>955</v>
      </c>
      <c r="C6923" s="131"/>
      <c r="D6923" t="s" s="165">
        <v>918</v>
      </c>
      <c r="E6923" s="15"/>
      <c r="F6923" s="317"/>
      <c r="G6923" s="332"/>
      <c r="H6923" s="3"/>
    </row>
    <row r="6924" ht="13.65" customHeight="1">
      <c r="A6924" t="s" s="22">
        <v>922</v>
      </c>
      <c r="B6924" t="s" s="132">
        <v>968</v>
      </c>
      <c r="C6924" s="131"/>
      <c r="D6924" t="s" s="165">
        <v>918</v>
      </c>
      <c r="E6924" s="15"/>
      <c r="F6924" s="317"/>
      <c r="G6924" s="332"/>
      <c r="H6924" s="3"/>
    </row>
    <row r="6925" ht="13.65" customHeight="1">
      <c r="A6925" t="s" s="22">
        <v>969</v>
      </c>
      <c r="B6925" t="s" s="132">
        <v>970</v>
      </c>
      <c r="C6925" s="131"/>
      <c r="D6925" t="s" s="165">
        <v>918</v>
      </c>
      <c r="E6925" s="15"/>
      <c r="F6925" s="317"/>
      <c r="G6925" s="332"/>
      <c r="H6925" s="3"/>
    </row>
    <row r="6926" ht="13.65" customHeight="1">
      <c r="A6926" s="28"/>
      <c r="B6926" s="164"/>
      <c r="C6926" t="s" s="334">
        <v>924</v>
      </c>
      <c r="D6926" t="s" s="335">
        <v>256</v>
      </c>
      <c r="E6926" s="15"/>
      <c r="F6926" s="317"/>
      <c r="G6926" s="332"/>
      <c r="H6926" s="3"/>
    </row>
    <row r="6927" ht="13.65" customHeight="1">
      <c r="A6927" s="31"/>
      <c r="B6927" s="290"/>
      <c r="C6927" s="31"/>
      <c r="D6927" s="32"/>
      <c r="E6927" s="3"/>
      <c r="F6927" s="317"/>
      <c r="G6927" s="332"/>
      <c r="H6927" s="3"/>
    </row>
    <row r="6928" ht="13.65" customHeight="1">
      <c r="A6928" s="203"/>
      <c r="B6928" s="203"/>
      <c r="C6928" s="203"/>
      <c r="D6928" s="349"/>
      <c r="E6928" s="203"/>
      <c r="F6928" s="340"/>
      <c r="G6928" s="341"/>
      <c r="H6928" s="203"/>
    </row>
    <row r="6929" ht="13.65" customHeight="1">
      <c r="A6929" t="s" s="274">
        <v>853</v>
      </c>
      <c r="B6929" s="275"/>
      <c r="C6929" s="275"/>
      <c r="D6929" s="342"/>
      <c r="E6929" s="275"/>
      <c r="F6929" s="311"/>
      <c r="G6929" s="343"/>
      <c r="H6929" s="277"/>
    </row>
    <row r="6930" ht="13.65" customHeight="1">
      <c r="A6930" s="278"/>
      <c r="B6930" s="278"/>
      <c r="C6930" s="278"/>
      <c r="D6930" s="344"/>
      <c r="E6930" s="278"/>
      <c r="F6930" s="314"/>
      <c r="G6930" s="345"/>
      <c r="H6930" s="278"/>
    </row>
    <row r="6931" ht="13.65" customHeight="1">
      <c r="A6931" s="3"/>
      <c r="B6931" s="3"/>
      <c r="C6931" s="3"/>
      <c r="D6931" s="316"/>
      <c r="E6931" s="3"/>
      <c r="F6931" s="317"/>
      <c r="G6931" s="332"/>
      <c r="H6931" s="3"/>
    </row>
    <row r="6932" ht="13.65" customHeight="1">
      <c r="A6932" t="s" s="5">
        <v>1012</v>
      </c>
      <c r="B6932" s="3"/>
      <c r="C6932" s="3"/>
      <c r="D6932" s="316"/>
      <c r="E6932" s="3"/>
      <c r="F6932" s="317"/>
      <c r="G6932" s="332"/>
      <c r="H6932" s="3"/>
    </row>
    <row r="6933" ht="13.65" customHeight="1">
      <c r="A6933" s="11"/>
      <c r="B6933" s="11"/>
      <c r="C6933" s="11"/>
      <c r="D6933" s="319"/>
      <c r="E6933" s="11"/>
      <c r="F6933" s="320"/>
      <c r="G6933" s="346"/>
      <c r="H6933" s="3"/>
    </row>
    <row r="6934" ht="13.65" customHeight="1">
      <c r="A6934" s="13"/>
      <c r="B6934" s="13"/>
      <c r="C6934" s="13"/>
      <c r="D6934" s="14"/>
      <c r="E6934" s="13"/>
      <c r="F6934" s="13"/>
      <c r="G6934" t="s" s="14">
        <v>92</v>
      </c>
      <c r="H6934" s="15"/>
    </row>
    <row r="6935" ht="13.65" customHeight="1">
      <c r="A6935" t="s" s="16">
        <v>93</v>
      </c>
      <c r="B6935" t="s" s="16">
        <v>94</v>
      </c>
      <c r="C6935" t="s" s="16">
        <v>95</v>
      </c>
      <c r="D6935" t="s" s="16">
        <v>96</v>
      </c>
      <c r="E6935" t="s" s="16">
        <v>97</v>
      </c>
      <c r="F6935" t="s" s="16">
        <v>98</v>
      </c>
      <c r="G6935" t="s" s="16">
        <v>99</v>
      </c>
      <c r="H6935" s="15"/>
    </row>
    <row r="6936" ht="13.65" customHeight="1">
      <c r="A6936" s="19"/>
      <c r="B6936" s="19"/>
      <c r="C6936" s="19"/>
      <c r="D6936" s="20"/>
      <c r="E6936" s="19"/>
      <c r="F6936" s="19"/>
      <c r="G6936" t="s" s="20">
        <v>100</v>
      </c>
      <c r="H6936" s="15"/>
    </row>
    <row r="6937" ht="13.65" customHeight="1">
      <c r="A6937" s="21">
        <v>166</v>
      </c>
      <c r="B6937" t="s" s="22">
        <v>477</v>
      </c>
      <c r="C6937" s="323">
        <v>500</v>
      </c>
      <c r="D6937" t="s" s="165">
        <v>663</v>
      </c>
      <c r="E6937" s="179">
        <v>29.73</v>
      </c>
      <c r="F6937" s="23">
        <v>12.5</v>
      </c>
      <c r="G6937" s="322" cm="1">
        <f t="array" ref="G6937">E6937/F6937</f>
        <v>2.3784</v>
      </c>
      <c r="H6937" s="15"/>
    </row>
    <row r="6938" ht="13.65" customHeight="1">
      <c r="A6938" s="21">
        <v>144</v>
      </c>
      <c r="B6938" t="s" s="22">
        <v>896</v>
      </c>
      <c r="C6938" s="323">
        <v>280</v>
      </c>
      <c r="D6938" t="s" s="165">
        <v>104</v>
      </c>
      <c r="E6938" s="179">
        <v>137.5</v>
      </c>
      <c r="F6938" s="23">
        <v>280</v>
      </c>
      <c r="G6938" s="322" cm="1">
        <f t="array" ref="G6938">E6938/F6938</f>
        <v>0.491071428571429</v>
      </c>
      <c r="H6938" s="15"/>
    </row>
    <row r="6939" ht="13.65" customHeight="1">
      <c r="A6939" s="21">
        <v>145</v>
      </c>
      <c r="B6939" t="s" s="22">
        <v>897</v>
      </c>
      <c r="C6939" s="323">
        <v>50</v>
      </c>
      <c r="D6939" t="s" s="165">
        <v>104</v>
      </c>
      <c r="E6939" s="179">
        <v>100</v>
      </c>
      <c r="F6939" s="23">
        <v>50</v>
      </c>
      <c r="G6939" s="322" cm="1">
        <f t="array" ref="G6939">E6939/F6939</f>
        <v>2</v>
      </c>
      <c r="H6939" s="15"/>
    </row>
    <row r="6940" ht="13.65" customHeight="1">
      <c r="A6940" s="21">
        <v>146</v>
      </c>
      <c r="B6940" t="s" s="324">
        <v>963</v>
      </c>
      <c r="C6940" t="s" s="165">
        <v>899</v>
      </c>
      <c r="D6940" t="s" s="165">
        <v>1011</v>
      </c>
      <c r="E6940" s="179">
        <v>270</v>
      </c>
      <c r="F6940" s="23">
        <v>28.68</v>
      </c>
      <c r="G6940" s="322" cm="1">
        <f t="array" ref="G6940">E6940/F6940</f>
        <v>9.41422594142259</v>
      </c>
      <c r="H6940" s="15"/>
    </row>
    <row r="6941" ht="13.65" customHeight="1">
      <c r="A6941" s="21">
        <v>55</v>
      </c>
      <c r="B6941" t="s" s="22">
        <v>111</v>
      </c>
      <c r="C6941" t="s" s="165">
        <v>112</v>
      </c>
      <c r="D6941" t="s" s="165">
        <v>964</v>
      </c>
      <c r="E6941" s="179">
        <v>2.71</v>
      </c>
      <c r="F6941" s="23">
        <v>12.5</v>
      </c>
      <c r="G6941" s="322" cm="1">
        <f t="array" ref="G6941">E6941/F6941</f>
        <v>0.2168</v>
      </c>
      <c r="H6941" s="15"/>
    </row>
    <row r="6942" ht="13.65" customHeight="1">
      <c r="A6942" s="21">
        <v>57</v>
      </c>
      <c r="B6942" t="s" s="22">
        <v>253</v>
      </c>
      <c r="C6942" t="s" s="165">
        <v>254</v>
      </c>
      <c r="D6942" t="s" s="165">
        <v>951</v>
      </c>
      <c r="E6942" s="179">
        <v>4.5</v>
      </c>
      <c r="F6942" s="23">
        <v>66.66</v>
      </c>
      <c r="G6942" s="322" cm="1">
        <f t="array" ref="G6942">E6942/F6942</f>
        <v>0.06750675067506751</v>
      </c>
      <c r="H6942" s="15"/>
    </row>
    <row r="6943" ht="13.65" customHeight="1">
      <c r="A6943" s="21">
        <v>68</v>
      </c>
      <c r="B6943" t="s" s="22">
        <v>480</v>
      </c>
      <c r="C6943" s="323">
        <v>1000</v>
      </c>
      <c r="D6943" t="s" s="165">
        <v>936</v>
      </c>
      <c r="E6943" s="179">
        <v>16</v>
      </c>
      <c r="F6943" s="23">
        <v>10</v>
      </c>
      <c r="G6943" s="322" cm="1">
        <f t="array" ref="G6943">E6943/F6943</f>
        <v>1.6</v>
      </c>
      <c r="H6943" s="15"/>
    </row>
    <row r="6944" ht="13.65" customHeight="1">
      <c r="A6944" s="21">
        <v>71</v>
      </c>
      <c r="B6944" t="s" s="22">
        <v>109</v>
      </c>
      <c r="C6944" s="323">
        <v>10</v>
      </c>
      <c r="D6944" t="s" s="165">
        <v>274</v>
      </c>
      <c r="E6944" s="179">
        <v>5.92</v>
      </c>
      <c r="F6944" s="23">
        <v>2.5</v>
      </c>
      <c r="G6944" s="322" cm="1">
        <f t="array" ref="G6944">E6944/F6944</f>
        <v>2.368</v>
      </c>
      <c r="H6944" s="15"/>
    </row>
    <row r="6945" ht="13.65" customHeight="1">
      <c r="A6945" s="21">
        <v>72</v>
      </c>
      <c r="B6945" t="s" s="22">
        <v>101</v>
      </c>
      <c r="C6945" s="323">
        <v>50</v>
      </c>
      <c r="D6945" t="s" s="165">
        <v>274</v>
      </c>
      <c r="E6945" s="179">
        <v>1.93</v>
      </c>
      <c r="F6945" s="23">
        <v>12.5</v>
      </c>
      <c r="G6945" s="322" cm="1">
        <f t="array" ref="G6945">E6945/F6945</f>
        <v>0.1544</v>
      </c>
      <c r="H6945" s="15"/>
    </row>
    <row r="6946" ht="13.65" customHeight="1">
      <c r="A6946" s="21">
        <v>86</v>
      </c>
      <c r="B6946" t="s" s="22">
        <v>107</v>
      </c>
      <c r="C6946" t="s" s="165">
        <v>108</v>
      </c>
      <c r="D6946" t="s" s="165">
        <v>274</v>
      </c>
      <c r="E6946" s="179">
        <v>0.32</v>
      </c>
      <c r="F6946" t="s" s="24">
        <v>301</v>
      </c>
      <c r="G6946" s="322" cm="1">
        <f t="array" ref="G6946">E6946*4</f>
        <v>1.28</v>
      </c>
      <c r="H6946" s="15"/>
    </row>
    <row r="6947" ht="13.65" customHeight="1">
      <c r="A6947" s="21">
        <v>87</v>
      </c>
      <c r="B6947" t="s" s="22">
        <v>110</v>
      </c>
      <c r="C6947" s="323">
        <v>50</v>
      </c>
      <c r="D6947" t="s" s="165">
        <v>274</v>
      </c>
      <c r="E6947" s="179">
        <v>11.2</v>
      </c>
      <c r="F6947" s="23">
        <v>12.5</v>
      </c>
      <c r="G6947" s="322" cm="1">
        <f t="array" ref="G6947">E6947/F6947</f>
        <v>0.896</v>
      </c>
      <c r="H6947" s="15"/>
    </row>
    <row r="6948" ht="13.65" customHeight="1">
      <c r="A6948" s="21">
        <v>100</v>
      </c>
      <c r="B6948" t="s" s="22">
        <v>376</v>
      </c>
      <c r="C6948" t="s" s="165">
        <v>377</v>
      </c>
      <c r="D6948" t="s" s="165">
        <v>378</v>
      </c>
      <c r="E6948" s="179">
        <v>4.5</v>
      </c>
      <c r="F6948" s="23">
        <v>40</v>
      </c>
      <c r="G6948" s="322" cm="1">
        <f t="array" ref="G6948">E6948/F6948</f>
        <v>0.1125</v>
      </c>
      <c r="H6948" s="15"/>
    </row>
    <row r="6949" ht="13.65" customHeight="1">
      <c r="A6949" s="21">
        <v>117</v>
      </c>
      <c r="B6949" t="s" s="22">
        <v>586</v>
      </c>
      <c r="C6949" s="323">
        <v>100</v>
      </c>
      <c r="D6949" t="s" s="165">
        <v>106</v>
      </c>
      <c r="E6949" s="179">
        <v>1.2</v>
      </c>
      <c r="F6949" s="23">
        <v>10</v>
      </c>
      <c r="G6949" s="322" cm="1">
        <f t="array" ref="G6949">E6949/F6949</f>
        <v>0.12</v>
      </c>
      <c r="H6949" s="15"/>
    </row>
    <row r="6950" ht="13.65" customHeight="1">
      <c r="A6950" s="21">
        <v>123</v>
      </c>
      <c r="B6950" t="s" s="22">
        <v>103</v>
      </c>
      <c r="C6950" s="323">
        <v>40</v>
      </c>
      <c r="D6950" t="s" s="165">
        <v>104</v>
      </c>
      <c r="E6950" s="179">
        <v>3.2</v>
      </c>
      <c r="F6950" s="23">
        <v>40</v>
      </c>
      <c r="G6950" s="322" cm="1">
        <f t="array" ref="G6950">E6950/F6950</f>
        <v>0.08</v>
      </c>
      <c r="H6950" s="15"/>
    </row>
    <row r="6951" ht="13.65" customHeight="1">
      <c r="A6951" s="21">
        <v>124</v>
      </c>
      <c r="B6951" t="s" s="22">
        <v>372</v>
      </c>
      <c r="C6951" s="323">
        <v>1</v>
      </c>
      <c r="D6951" t="s" s="165">
        <v>427</v>
      </c>
      <c r="E6951" s="179">
        <v>2.2</v>
      </c>
      <c r="F6951" s="23">
        <v>2</v>
      </c>
      <c r="G6951" s="322" cm="1">
        <f t="array" ref="G6951">E6951/F6951</f>
        <v>1.1</v>
      </c>
      <c r="H6951" s="15"/>
    </row>
    <row r="6952" ht="13.65" customHeight="1">
      <c r="A6952" s="28"/>
      <c r="B6952" t="s" s="22">
        <v>482</v>
      </c>
      <c r="C6952" s="323">
        <v>1</v>
      </c>
      <c r="D6952" t="s" s="165">
        <v>104</v>
      </c>
      <c r="E6952" s="179">
        <v>50</v>
      </c>
      <c r="F6952" s="23">
        <v>1</v>
      </c>
      <c r="G6952" s="322" cm="1">
        <f t="array" ref="G6952">E6952/F6952</f>
        <v>50</v>
      </c>
      <c r="H6952" s="15"/>
    </row>
    <row r="6953" ht="13.65" customHeight="1">
      <c r="A6953" s="28"/>
      <c r="B6953" s="28"/>
      <c r="C6953" s="141"/>
      <c r="D6953" s="165"/>
      <c r="E6953" s="28"/>
      <c r="F6953" t="s" s="24">
        <v>118</v>
      </c>
      <c r="G6953" s="322" cm="1">
        <f t="array" ref="G6953">SUM(G6937:G6952)</f>
        <v>72.2789041206691</v>
      </c>
      <c r="H6953" s="15"/>
    </row>
    <row r="6954" ht="13.65" customHeight="1">
      <c r="A6954" s="129"/>
      <c r="B6954" s="129"/>
      <c r="C6954" s="129"/>
      <c r="D6954" s="166"/>
      <c r="E6954" s="129"/>
      <c r="F6954" s="176"/>
      <c r="G6954" s="327"/>
      <c r="H6954" s="3"/>
    </row>
    <row r="6955" ht="11.7" customHeight="1">
      <c r="A6955" t="s" s="328">
        <v>136</v>
      </c>
      <c r="B6955" t="s" s="167">
        <v>913</v>
      </c>
      <c r="C6955" t="s" s="167">
        <v>914</v>
      </c>
      <c r="D6955" t="s" s="329">
        <v>973</v>
      </c>
      <c r="E6955" s="330"/>
      <c r="F6955" s="170"/>
      <c r="G6955" s="355"/>
      <c r="H6955" s="356"/>
    </row>
    <row r="6956" ht="13.65" customHeight="1">
      <c r="A6956" s="21">
        <v>100</v>
      </c>
      <c r="B6956" s="172" cm="1">
        <f t="array" ref="B6956">SUM(H256)</f>
        <v>2.47496540404041</v>
      </c>
      <c r="C6956" s="172" cm="1">
        <f t="array" ref="C6956">SUM(G6953)</f>
        <v>72.2789041206691</v>
      </c>
      <c r="D6956" s="199" cm="1">
        <f t="array" ref="D6956">SUM(A6956*B6956)+(C6956)</f>
        <v>319.775444524710</v>
      </c>
      <c r="E6956" s="200"/>
      <c r="F6956" s="331"/>
      <c r="G6956" s="332"/>
      <c r="H6956" s="3"/>
    </row>
    <row r="6957" ht="13.65" customHeight="1">
      <c r="A6957" s="129"/>
      <c r="B6957" s="129"/>
      <c r="C6957" s="333"/>
      <c r="D6957" s="166"/>
      <c r="E6957" s="136"/>
      <c r="F6957" s="317"/>
      <c r="G6957" s="332"/>
      <c r="H6957" s="3"/>
    </row>
    <row r="6958" ht="13.65" customHeight="1">
      <c r="A6958" t="s" s="22">
        <v>956</v>
      </c>
      <c r="B6958" t="s" s="132">
        <v>1001</v>
      </c>
      <c r="C6958" s="131"/>
      <c r="D6958" t="s" s="165">
        <v>918</v>
      </c>
      <c r="E6958" s="15"/>
      <c r="F6958" s="317"/>
      <c r="G6958" s="332"/>
      <c r="H6958" s="3"/>
    </row>
    <row r="6959" ht="13.65" customHeight="1">
      <c r="A6959" t="s" s="22">
        <v>956</v>
      </c>
      <c r="B6959" t="s" s="132">
        <v>970</v>
      </c>
      <c r="C6959" s="131"/>
      <c r="D6959" t="s" s="165">
        <v>918</v>
      </c>
      <c r="E6959" s="15"/>
      <c r="F6959" s="317"/>
      <c r="G6959" s="332"/>
      <c r="H6959" s="3"/>
    </row>
    <row r="6960" ht="13.65" customHeight="1">
      <c r="A6960" s="28"/>
      <c r="B6960" s="164"/>
      <c r="C6960" t="s" s="334">
        <v>924</v>
      </c>
      <c r="D6960" t="s" s="335">
        <v>102</v>
      </c>
      <c r="E6960" s="15"/>
      <c r="F6960" s="317"/>
      <c r="G6960" s="332"/>
      <c r="H6960" s="3"/>
    </row>
    <row r="6961" ht="13.65" customHeight="1">
      <c r="A6961" s="31"/>
      <c r="B6961" s="31"/>
      <c r="C6961" s="31"/>
      <c r="D6961" s="32"/>
      <c r="E6961" s="3"/>
      <c r="F6961" s="317"/>
      <c r="G6961" s="332"/>
      <c r="H6961" s="3"/>
    </row>
    <row r="6962" ht="13.65" customHeight="1">
      <c r="A6962" s="203"/>
      <c r="B6962" s="203"/>
      <c r="C6962" s="203"/>
      <c r="D6962" s="349"/>
      <c r="E6962" s="203"/>
      <c r="F6962" s="340"/>
      <c r="G6962" s="341"/>
      <c r="H6962" s="203"/>
    </row>
    <row r="6963" ht="13.65" customHeight="1">
      <c r="A6963" t="s" s="274">
        <v>853</v>
      </c>
      <c r="B6963" s="275"/>
      <c r="C6963" s="275"/>
      <c r="D6963" s="342"/>
      <c r="E6963" s="275"/>
      <c r="F6963" s="311"/>
      <c r="G6963" s="343"/>
      <c r="H6963" s="277"/>
    </row>
    <row r="6964" ht="13.65" customHeight="1">
      <c r="A6964" s="278"/>
      <c r="B6964" s="278"/>
      <c r="C6964" s="278"/>
      <c r="D6964" s="344"/>
      <c r="E6964" s="278"/>
      <c r="F6964" s="314"/>
      <c r="G6964" s="345"/>
      <c r="H6964" s="278"/>
    </row>
    <row r="6965" ht="13.65" customHeight="1">
      <c r="A6965" s="3"/>
      <c r="B6965" s="3"/>
      <c r="C6965" s="3"/>
      <c r="D6965" s="316"/>
      <c r="E6965" s="3"/>
      <c r="F6965" s="317"/>
      <c r="G6965" s="332"/>
      <c r="H6965" s="3"/>
    </row>
    <row r="6966" ht="13.65" customHeight="1">
      <c r="A6966" t="s" s="5">
        <v>1013</v>
      </c>
      <c r="B6966" s="3"/>
      <c r="C6966" s="3"/>
      <c r="D6966" s="316"/>
      <c r="E6966" s="3"/>
      <c r="F6966" s="317"/>
      <c r="G6966" s="332"/>
      <c r="H6966" s="3"/>
    </row>
    <row r="6967" ht="13.65" customHeight="1">
      <c r="A6967" s="11"/>
      <c r="B6967" s="11"/>
      <c r="C6967" s="11"/>
      <c r="D6967" s="319"/>
      <c r="E6967" s="11"/>
      <c r="F6967" s="320"/>
      <c r="G6967" s="346"/>
      <c r="H6967" s="3"/>
    </row>
    <row r="6968" ht="13.65" customHeight="1">
      <c r="A6968" s="13"/>
      <c r="B6968" s="13"/>
      <c r="C6968" s="13"/>
      <c r="D6968" s="14"/>
      <c r="E6968" s="13"/>
      <c r="F6968" s="13"/>
      <c r="G6968" t="s" s="14">
        <v>92</v>
      </c>
      <c r="H6968" s="15"/>
    </row>
    <row r="6969" ht="13.65" customHeight="1">
      <c r="A6969" t="s" s="16">
        <v>93</v>
      </c>
      <c r="B6969" t="s" s="16">
        <v>94</v>
      </c>
      <c r="C6969" t="s" s="16">
        <v>95</v>
      </c>
      <c r="D6969" t="s" s="16">
        <v>96</v>
      </c>
      <c r="E6969" t="s" s="16">
        <v>97</v>
      </c>
      <c r="F6969" t="s" s="16">
        <v>98</v>
      </c>
      <c r="G6969" t="s" s="16">
        <v>99</v>
      </c>
      <c r="H6969" s="15"/>
    </row>
    <row r="6970" ht="13.65" customHeight="1">
      <c r="A6970" s="19"/>
      <c r="B6970" s="19"/>
      <c r="C6970" s="19"/>
      <c r="D6970" s="20"/>
      <c r="E6970" s="19"/>
      <c r="F6970" s="19"/>
      <c r="G6970" t="s" s="20">
        <v>100</v>
      </c>
      <c r="H6970" s="15"/>
    </row>
    <row r="6971" ht="13.65" customHeight="1">
      <c r="A6971" s="21">
        <v>166</v>
      </c>
      <c r="B6971" t="s" s="22">
        <v>477</v>
      </c>
      <c r="C6971" s="323">
        <v>500</v>
      </c>
      <c r="D6971" t="s" s="165">
        <v>663</v>
      </c>
      <c r="E6971" s="179">
        <v>29.73</v>
      </c>
      <c r="F6971" s="23">
        <v>12.5</v>
      </c>
      <c r="G6971" s="322" cm="1">
        <f t="array" ref="G6971">E6971/F6971</f>
        <v>2.3784</v>
      </c>
      <c r="H6971" s="15"/>
    </row>
    <row r="6972" ht="13.65" customHeight="1">
      <c r="A6972" s="21">
        <v>161</v>
      </c>
      <c r="B6972" t="s" s="22">
        <v>1014</v>
      </c>
      <c r="C6972" s="323">
        <v>10</v>
      </c>
      <c r="D6972" t="s" s="165">
        <v>104</v>
      </c>
      <c r="E6972" s="179">
        <v>24.8</v>
      </c>
      <c r="F6972" s="23">
        <v>10</v>
      </c>
      <c r="G6972" s="322" cm="1">
        <f t="array" ref="G6972">E6972/F6972</f>
        <v>2.48</v>
      </c>
      <c r="H6972" s="15"/>
    </row>
    <row r="6973" ht="13.65" customHeight="1">
      <c r="A6973" s="21">
        <v>27</v>
      </c>
      <c r="B6973" t="s" s="22">
        <v>474</v>
      </c>
      <c r="C6973" s="323">
        <v>18</v>
      </c>
      <c r="D6973" t="s" s="165">
        <v>102</v>
      </c>
      <c r="E6973" s="179">
        <v>6.5</v>
      </c>
      <c r="F6973" s="23">
        <v>9</v>
      </c>
      <c r="G6973" s="322" cm="1">
        <f t="array" ref="G6973">E6973/F6973</f>
        <v>0.722222222222222</v>
      </c>
      <c r="H6973" s="15"/>
    </row>
    <row r="6974" ht="13.65" customHeight="1">
      <c r="A6974" s="21">
        <v>145</v>
      </c>
      <c r="B6974" t="s" s="22">
        <v>897</v>
      </c>
      <c r="C6974" s="323">
        <v>50</v>
      </c>
      <c r="D6974" t="s" s="165">
        <v>104</v>
      </c>
      <c r="E6974" s="179">
        <v>100</v>
      </c>
      <c r="F6974" s="23">
        <v>50</v>
      </c>
      <c r="G6974" s="322" cm="1">
        <f t="array" ref="G6974">E6974/F6974</f>
        <v>2</v>
      </c>
      <c r="H6974" s="15"/>
    </row>
    <row r="6975" ht="13.65" customHeight="1">
      <c r="A6975" s="21">
        <v>55</v>
      </c>
      <c r="B6975" t="s" s="22">
        <v>111</v>
      </c>
      <c r="C6975" t="s" s="165">
        <v>112</v>
      </c>
      <c r="D6975" t="s" s="165">
        <v>964</v>
      </c>
      <c r="E6975" s="179">
        <v>2.71</v>
      </c>
      <c r="F6975" s="23">
        <v>12.5</v>
      </c>
      <c r="G6975" s="322" cm="1">
        <f t="array" ref="G6975">E6975/F6975</f>
        <v>0.2168</v>
      </c>
      <c r="H6975" s="15"/>
    </row>
    <row r="6976" ht="13.65" customHeight="1">
      <c r="A6976" s="21">
        <v>57</v>
      </c>
      <c r="B6976" t="s" s="22">
        <v>253</v>
      </c>
      <c r="C6976" t="s" s="165">
        <v>254</v>
      </c>
      <c r="D6976" t="s" s="165">
        <v>255</v>
      </c>
      <c r="E6976" s="179">
        <v>4.5</v>
      </c>
      <c r="F6976" s="23">
        <v>200</v>
      </c>
      <c r="G6976" s="322" cm="1">
        <f t="array" ref="G6976">E6976/F6976</f>
        <v>0.0225</v>
      </c>
      <c r="H6976" s="15"/>
    </row>
    <row r="6977" ht="13.65" customHeight="1">
      <c r="A6977" s="21">
        <v>168</v>
      </c>
      <c r="B6977" t="s" s="22">
        <v>992</v>
      </c>
      <c r="C6977" s="323">
        <v>1</v>
      </c>
      <c r="D6977" t="s" s="165">
        <v>985</v>
      </c>
      <c r="E6977" s="179">
        <v>90</v>
      </c>
      <c r="F6977" s="23">
        <v>50</v>
      </c>
      <c r="G6977" s="322" cm="1">
        <f t="array" ref="G6977">E6977/F6977</f>
        <v>1.8</v>
      </c>
      <c r="H6977" s="15"/>
    </row>
    <row r="6978" ht="13.65" customHeight="1">
      <c r="A6978" s="21">
        <v>68</v>
      </c>
      <c r="B6978" t="s" s="22">
        <v>480</v>
      </c>
      <c r="C6978" s="323">
        <v>1000</v>
      </c>
      <c r="D6978" t="s" s="165">
        <v>936</v>
      </c>
      <c r="E6978" s="179">
        <v>16</v>
      </c>
      <c r="F6978" s="23">
        <v>10</v>
      </c>
      <c r="G6978" s="322" cm="1">
        <f t="array" ref="G6978">E6978/F6978</f>
        <v>1.6</v>
      </c>
      <c r="H6978" s="15"/>
    </row>
    <row r="6979" ht="13.65" customHeight="1">
      <c r="A6979" s="21">
        <v>71</v>
      </c>
      <c r="B6979" t="s" s="22">
        <v>109</v>
      </c>
      <c r="C6979" s="323">
        <v>10</v>
      </c>
      <c r="D6979" t="s" s="165">
        <v>405</v>
      </c>
      <c r="E6979" s="179">
        <v>5.92</v>
      </c>
      <c r="F6979" s="362">
        <v>1.66</v>
      </c>
      <c r="G6979" s="322" cm="1">
        <f t="array" ref="G6979">E6979/F6979</f>
        <v>3.56626506024096</v>
      </c>
      <c r="H6979" s="15"/>
    </row>
    <row r="6980" ht="13.65" customHeight="1">
      <c r="A6980" s="21">
        <v>72</v>
      </c>
      <c r="B6980" t="s" s="22">
        <v>101</v>
      </c>
      <c r="C6980" s="323">
        <v>50</v>
      </c>
      <c r="D6980" t="s" s="165">
        <v>405</v>
      </c>
      <c r="E6980" s="179">
        <v>1.93</v>
      </c>
      <c r="F6980" s="23">
        <v>8.33</v>
      </c>
      <c r="G6980" s="322" cm="1">
        <f t="array" ref="G6980">E6980/F6980</f>
        <v>0.231692677070828</v>
      </c>
      <c r="H6980" s="15"/>
    </row>
    <row r="6981" ht="13.65" customHeight="1">
      <c r="A6981" s="21">
        <v>86</v>
      </c>
      <c r="B6981" t="s" s="22">
        <v>107</v>
      </c>
      <c r="C6981" t="s" s="165">
        <v>108</v>
      </c>
      <c r="D6981" t="s" s="165">
        <v>405</v>
      </c>
      <c r="E6981" s="179">
        <v>0.32</v>
      </c>
      <c r="F6981" t="s" s="24">
        <v>967</v>
      </c>
      <c r="G6981" s="322" cm="1">
        <f t="array" ref="G6981">E6981*6</f>
        <v>1.92</v>
      </c>
      <c r="H6981" s="15"/>
    </row>
    <row r="6982" ht="13.65" customHeight="1">
      <c r="A6982" s="21">
        <v>149</v>
      </c>
      <c r="B6982" t="s" s="22">
        <v>906</v>
      </c>
      <c r="C6982" s="323">
        <v>100</v>
      </c>
      <c r="D6982" t="s" s="165">
        <v>104</v>
      </c>
      <c r="E6982" s="179">
        <v>9.6</v>
      </c>
      <c r="F6982" s="23">
        <v>100</v>
      </c>
      <c r="G6982" s="322" cm="1">
        <f t="array" ref="G6982">E6982/F6982</f>
        <v>0.096</v>
      </c>
      <c r="H6982" s="15"/>
    </row>
    <row r="6983" ht="13.65" customHeight="1">
      <c r="A6983" s="21">
        <v>87</v>
      </c>
      <c r="B6983" t="s" s="22">
        <v>110</v>
      </c>
      <c r="C6983" s="323">
        <v>50</v>
      </c>
      <c r="D6983" t="s" s="165">
        <v>405</v>
      </c>
      <c r="E6983" s="179">
        <v>9</v>
      </c>
      <c r="F6983" s="23">
        <v>8.33</v>
      </c>
      <c r="G6983" s="322" cm="1">
        <f t="array" ref="G6983">E6983/F6983</f>
        <v>1.08043217286915</v>
      </c>
      <c r="H6983" s="15"/>
    </row>
    <row r="6984" ht="13.65" customHeight="1">
      <c r="A6984" s="21">
        <v>123</v>
      </c>
      <c r="B6984" t="s" s="22">
        <v>103</v>
      </c>
      <c r="C6984" s="323">
        <v>40</v>
      </c>
      <c r="D6984" t="s" s="165">
        <v>256</v>
      </c>
      <c r="E6984" s="179">
        <v>3.2</v>
      </c>
      <c r="F6984" s="23">
        <v>13.33</v>
      </c>
      <c r="G6984" s="322" cm="1">
        <f t="array" ref="G6984">E6984/F6984</f>
        <v>0.240060015003751</v>
      </c>
      <c r="H6984" s="15"/>
    </row>
    <row r="6985" ht="13.65" customHeight="1">
      <c r="A6985" s="28"/>
      <c r="B6985" t="s" s="22">
        <v>482</v>
      </c>
      <c r="C6985" s="323">
        <v>1</v>
      </c>
      <c r="D6985" t="s" s="165">
        <v>104</v>
      </c>
      <c r="E6985" s="179">
        <v>90</v>
      </c>
      <c r="F6985" s="23">
        <v>1</v>
      </c>
      <c r="G6985" s="322" cm="1">
        <f t="array" ref="G6985">E6985/F6985</f>
        <v>90</v>
      </c>
      <c r="H6985" s="15"/>
    </row>
    <row r="6986" ht="13.65" customHeight="1">
      <c r="A6986" s="28"/>
      <c r="B6986" s="28"/>
      <c r="C6986" s="141"/>
      <c r="D6986" s="165"/>
      <c r="E6986" s="28"/>
      <c r="F6986" t="s" s="24">
        <v>118</v>
      </c>
      <c r="G6986" s="322" cm="1">
        <f t="array" ref="G6986">SUM(G6971:G6985)</f>
        <v>108.354372147407</v>
      </c>
      <c r="H6986" s="15"/>
    </row>
    <row r="6987" ht="13.65" customHeight="1">
      <c r="A6987" s="129"/>
      <c r="B6987" s="129"/>
      <c r="C6987" s="129"/>
      <c r="D6987" s="166"/>
      <c r="E6987" s="129"/>
      <c r="F6987" s="176"/>
      <c r="G6987" s="327"/>
      <c r="H6987" s="3"/>
    </row>
    <row r="6988" ht="11.7" customHeight="1">
      <c r="A6988" t="s" s="328">
        <v>136</v>
      </c>
      <c r="B6988" t="s" s="167">
        <v>913</v>
      </c>
      <c r="C6988" t="s" s="167">
        <v>914</v>
      </c>
      <c r="D6988" t="s" s="363">
        <v>1015</v>
      </c>
      <c r="E6988" s="330"/>
      <c r="F6988" s="350"/>
      <c r="G6988" s="171"/>
      <c r="H6988" s="356"/>
    </row>
    <row r="6989" ht="13.65" customHeight="1">
      <c r="A6989" s="21">
        <v>120</v>
      </c>
      <c r="B6989" s="172" cm="1">
        <f t="array" ref="B6989">SUM(H256)</f>
        <v>2.47496540404041</v>
      </c>
      <c r="C6989" s="172" cm="1">
        <f t="array" ref="C6989">SUM(G6986)</f>
        <v>108.354372147407</v>
      </c>
      <c r="D6989" s="199" cm="1">
        <f t="array" ref="D6989">SUM(A6989*B6989)+(C6989)</f>
        <v>405.350220632256</v>
      </c>
      <c r="E6989" s="200"/>
      <c r="F6989" s="364"/>
      <c r="G6989" s="317"/>
      <c r="H6989" s="3"/>
    </row>
    <row r="6990" ht="13.65" customHeight="1">
      <c r="A6990" s="129"/>
      <c r="B6990" s="129"/>
      <c r="C6990" s="333"/>
      <c r="D6990" s="166"/>
      <c r="E6990" s="136"/>
      <c r="F6990" s="268"/>
      <c r="G6990" s="317"/>
      <c r="H6990" s="3"/>
    </row>
    <row r="6991" ht="13.65" customHeight="1">
      <c r="A6991" t="s" s="22">
        <v>969</v>
      </c>
      <c r="B6991" t="s" s="132">
        <v>1016</v>
      </c>
      <c r="C6991" s="131"/>
      <c r="D6991" t="s" s="165">
        <v>918</v>
      </c>
      <c r="E6991" s="15"/>
      <c r="F6991" s="317"/>
      <c r="G6991" s="332"/>
      <c r="H6991" s="3"/>
    </row>
    <row r="6992" ht="13.65" customHeight="1">
      <c r="A6992" t="s" s="22">
        <v>1017</v>
      </c>
      <c r="B6992" t="s" s="132">
        <v>1018</v>
      </c>
      <c r="C6992" s="131"/>
      <c r="D6992" t="s" s="165">
        <v>918</v>
      </c>
      <c r="E6992" s="15"/>
      <c r="F6992" s="317"/>
      <c r="G6992" s="332"/>
      <c r="H6992" s="3"/>
    </row>
    <row r="6993" ht="13.65" customHeight="1">
      <c r="A6993" t="s" s="22">
        <v>1019</v>
      </c>
      <c r="B6993" t="s" s="132">
        <v>1020</v>
      </c>
      <c r="C6993" s="131"/>
      <c r="D6993" t="s" s="165">
        <v>918</v>
      </c>
      <c r="E6993" s="15"/>
      <c r="F6993" s="317"/>
      <c r="G6993" s="332"/>
      <c r="H6993" s="3"/>
    </row>
    <row r="6994" ht="13.65" customHeight="1">
      <c r="A6994" s="28"/>
      <c r="B6994" s="164"/>
      <c r="C6994" t="s" s="334">
        <v>924</v>
      </c>
      <c r="D6994" t="s" s="335">
        <v>256</v>
      </c>
      <c r="E6994" s="15"/>
      <c r="F6994" s="317"/>
      <c r="G6994" s="332"/>
      <c r="H6994" s="3"/>
    </row>
    <row r="6995" ht="13.65" customHeight="1">
      <c r="A6995" s="31"/>
      <c r="B6995" s="31"/>
      <c r="C6995" s="31"/>
      <c r="D6995" s="32"/>
      <c r="E6995" s="3"/>
      <c r="F6995" s="317"/>
      <c r="G6995" s="332"/>
      <c r="H6995" s="3"/>
    </row>
    <row r="6996" ht="13.65" customHeight="1">
      <c r="A6996" t="s" s="5">
        <v>1021</v>
      </c>
      <c r="B6996" s="3"/>
      <c r="C6996" s="3"/>
      <c r="D6996" s="316"/>
      <c r="E6996" s="3"/>
      <c r="F6996" s="317"/>
      <c r="G6996" s="332"/>
      <c r="H6996" s="3"/>
    </row>
    <row r="6997" ht="13.65" customHeight="1">
      <c r="A6997" s="3"/>
      <c r="B6997" t="s" s="5">
        <v>1022</v>
      </c>
      <c r="C6997" s="3"/>
      <c r="D6997" s="316"/>
      <c r="E6997" s="3"/>
      <c r="F6997" s="317"/>
      <c r="G6997" s="332"/>
      <c r="H6997" s="3"/>
    </row>
    <row r="6998" ht="13.65" customHeight="1">
      <c r="A6998" s="3"/>
      <c r="B6998" s="3"/>
      <c r="C6998" s="3"/>
      <c r="D6998" s="316"/>
      <c r="E6998" s="3"/>
      <c r="F6998" s="317"/>
      <c r="G6998" s="332"/>
      <c r="H6998" s="3"/>
    </row>
    <row r="6999" ht="13.65" customHeight="1">
      <c r="A6999" s="203"/>
      <c r="B6999" s="203"/>
      <c r="C6999" s="203"/>
      <c r="D6999" s="349"/>
      <c r="E6999" s="203"/>
      <c r="F6999" s="340"/>
      <c r="G6999" s="341"/>
      <c r="H6999" s="203"/>
    </row>
    <row r="7000" ht="13.65" customHeight="1">
      <c r="A7000" t="s" s="274">
        <v>853</v>
      </c>
      <c r="B7000" s="275"/>
      <c r="C7000" s="275"/>
      <c r="D7000" s="342"/>
      <c r="E7000" s="275"/>
      <c r="F7000" s="311"/>
      <c r="G7000" s="343"/>
      <c r="H7000" s="277"/>
    </row>
    <row r="7001" ht="13.65" customHeight="1">
      <c r="A7001" s="278"/>
      <c r="B7001" s="278"/>
      <c r="C7001" s="278"/>
      <c r="D7001" s="344"/>
      <c r="E7001" s="278"/>
      <c r="F7001" s="314"/>
      <c r="G7001" s="345"/>
      <c r="H7001" s="278"/>
    </row>
    <row r="7002" ht="13.65" customHeight="1">
      <c r="A7002" s="3"/>
      <c r="B7002" s="3"/>
      <c r="C7002" s="3"/>
      <c r="D7002" s="316"/>
      <c r="E7002" s="3"/>
      <c r="F7002" s="317"/>
      <c r="G7002" s="332"/>
      <c r="H7002" s="3"/>
    </row>
    <row r="7003" ht="13.65" customHeight="1">
      <c r="A7003" t="s" s="5">
        <v>1023</v>
      </c>
      <c r="B7003" s="3"/>
      <c r="C7003" s="3"/>
      <c r="D7003" s="316"/>
      <c r="E7003" s="3"/>
      <c r="F7003" s="317"/>
      <c r="G7003" s="332"/>
      <c r="H7003" s="3"/>
    </row>
    <row r="7004" ht="13.65" customHeight="1">
      <c r="A7004" s="11"/>
      <c r="B7004" s="11"/>
      <c r="C7004" s="11"/>
      <c r="D7004" s="319"/>
      <c r="E7004" s="11"/>
      <c r="F7004" s="320"/>
      <c r="G7004" s="346"/>
      <c r="H7004" s="3"/>
    </row>
    <row r="7005" ht="13.65" customHeight="1">
      <c r="A7005" s="13"/>
      <c r="B7005" s="13"/>
      <c r="C7005" s="13"/>
      <c r="D7005" s="14"/>
      <c r="E7005" s="13"/>
      <c r="F7005" s="13"/>
      <c r="G7005" t="s" s="14">
        <v>92</v>
      </c>
      <c r="H7005" s="15"/>
    </row>
    <row r="7006" ht="13.65" customHeight="1">
      <c r="A7006" t="s" s="16">
        <v>93</v>
      </c>
      <c r="B7006" t="s" s="16">
        <v>94</v>
      </c>
      <c r="C7006" t="s" s="16">
        <v>95</v>
      </c>
      <c r="D7006" t="s" s="16">
        <v>96</v>
      </c>
      <c r="E7006" t="s" s="16">
        <v>97</v>
      </c>
      <c r="F7006" t="s" s="16">
        <v>98</v>
      </c>
      <c r="G7006" t="s" s="16">
        <v>99</v>
      </c>
      <c r="H7006" s="15"/>
    </row>
    <row r="7007" ht="13.65" customHeight="1">
      <c r="A7007" s="19"/>
      <c r="B7007" s="19"/>
      <c r="C7007" s="19"/>
      <c r="D7007" s="20"/>
      <c r="E7007" s="19"/>
      <c r="F7007" s="19"/>
      <c r="G7007" t="s" s="20">
        <v>100</v>
      </c>
      <c r="H7007" s="15"/>
    </row>
    <row r="7008" ht="13.65" customHeight="1">
      <c r="A7008" s="21">
        <v>166</v>
      </c>
      <c r="B7008" t="s" s="22">
        <v>477</v>
      </c>
      <c r="C7008" s="323">
        <v>500</v>
      </c>
      <c r="D7008" t="s" s="165">
        <v>663</v>
      </c>
      <c r="E7008" s="179">
        <v>29.73</v>
      </c>
      <c r="F7008" s="23">
        <v>12.5</v>
      </c>
      <c r="G7008" s="322" cm="1">
        <f t="array" ref="G7008">E7008/F7008</f>
        <v>2.3784</v>
      </c>
      <c r="H7008" s="15"/>
    </row>
    <row r="7009" ht="13.65" customHeight="1">
      <c r="A7009" s="21">
        <v>161</v>
      </c>
      <c r="B7009" t="s" s="22">
        <v>948</v>
      </c>
      <c r="C7009" s="323">
        <v>10</v>
      </c>
      <c r="D7009" t="s" s="165">
        <v>104</v>
      </c>
      <c r="E7009" s="179">
        <v>24.8</v>
      </c>
      <c r="F7009" s="23">
        <v>10</v>
      </c>
      <c r="G7009" s="322" cm="1">
        <f t="array" ref="G7009">E7009/F7009</f>
        <v>2.48</v>
      </c>
      <c r="H7009" s="15"/>
    </row>
    <row r="7010" ht="13.65" customHeight="1">
      <c r="A7010" s="21">
        <v>27</v>
      </c>
      <c r="B7010" t="s" s="22">
        <v>474</v>
      </c>
      <c r="C7010" s="323">
        <v>18</v>
      </c>
      <c r="D7010" t="s" s="165">
        <v>102</v>
      </c>
      <c r="E7010" s="179">
        <v>6.5</v>
      </c>
      <c r="F7010" s="23">
        <v>9</v>
      </c>
      <c r="G7010" s="322" cm="1">
        <f t="array" ref="G7010">E7010/F7010</f>
        <v>0.722222222222222</v>
      </c>
      <c r="H7010" s="15"/>
    </row>
    <row r="7011" ht="13.65" customHeight="1">
      <c r="A7011" s="21">
        <v>145</v>
      </c>
      <c r="B7011" t="s" s="22">
        <v>897</v>
      </c>
      <c r="C7011" s="323">
        <v>50</v>
      </c>
      <c r="D7011" t="s" s="165">
        <v>104</v>
      </c>
      <c r="E7011" s="179">
        <v>100</v>
      </c>
      <c r="F7011" s="23">
        <v>50</v>
      </c>
      <c r="G7011" s="322" cm="1">
        <f t="array" ref="G7011">E7011/F7011</f>
        <v>2</v>
      </c>
      <c r="H7011" s="15"/>
    </row>
    <row r="7012" ht="13.65" customHeight="1">
      <c r="A7012" s="21">
        <v>55</v>
      </c>
      <c r="B7012" t="s" s="22">
        <v>111</v>
      </c>
      <c r="C7012" t="s" s="165">
        <v>112</v>
      </c>
      <c r="D7012" t="s" s="165">
        <v>964</v>
      </c>
      <c r="E7012" s="179">
        <v>2.71</v>
      </c>
      <c r="F7012" s="23">
        <v>12.5</v>
      </c>
      <c r="G7012" s="322" cm="1">
        <f t="array" ref="G7012">E7012/F7012</f>
        <v>0.2168</v>
      </c>
      <c r="H7012" s="15"/>
    </row>
    <row r="7013" ht="13.65" customHeight="1">
      <c r="A7013" s="21">
        <v>57</v>
      </c>
      <c r="B7013" t="s" s="22">
        <v>253</v>
      </c>
      <c r="C7013" t="s" s="165">
        <v>254</v>
      </c>
      <c r="D7013" t="s" s="165">
        <v>255</v>
      </c>
      <c r="E7013" s="179">
        <v>4.5</v>
      </c>
      <c r="F7013" s="23">
        <v>200</v>
      </c>
      <c r="G7013" s="322" cm="1">
        <f t="array" ref="G7013">E7013/F7013</f>
        <v>0.0225</v>
      </c>
      <c r="H7013" s="15"/>
    </row>
    <row r="7014" ht="13.65" customHeight="1">
      <c r="A7014" s="21">
        <v>168</v>
      </c>
      <c r="B7014" t="s" s="22">
        <v>1024</v>
      </c>
      <c r="C7014" s="323">
        <v>1</v>
      </c>
      <c r="D7014" t="s" s="165">
        <v>985</v>
      </c>
      <c r="E7014" s="179">
        <v>90</v>
      </c>
      <c r="F7014" s="23">
        <v>50</v>
      </c>
      <c r="G7014" s="322" cm="1">
        <f t="array" ref="G7014">E7014/F7014</f>
        <v>1.8</v>
      </c>
      <c r="H7014" s="15"/>
    </row>
    <row r="7015" ht="13.65" customHeight="1">
      <c r="A7015" s="21">
        <v>68</v>
      </c>
      <c r="B7015" t="s" s="22">
        <v>480</v>
      </c>
      <c r="C7015" s="323">
        <v>1000</v>
      </c>
      <c r="D7015" t="s" s="165">
        <v>936</v>
      </c>
      <c r="E7015" s="179">
        <v>16</v>
      </c>
      <c r="F7015" s="23">
        <v>10</v>
      </c>
      <c r="G7015" s="322" cm="1">
        <f t="array" ref="G7015">E7015/F7015</f>
        <v>1.6</v>
      </c>
      <c r="H7015" s="15"/>
    </row>
    <row r="7016" ht="13.65" customHeight="1">
      <c r="A7016" s="21">
        <v>71</v>
      </c>
      <c r="B7016" t="s" s="22">
        <v>109</v>
      </c>
      <c r="C7016" s="323">
        <v>10</v>
      </c>
      <c r="D7016" t="s" s="165">
        <v>405</v>
      </c>
      <c r="E7016" s="179">
        <v>5.92</v>
      </c>
      <c r="F7016" s="362">
        <v>1.66</v>
      </c>
      <c r="G7016" s="322" cm="1">
        <f t="array" ref="G7016">E7016/F7016</f>
        <v>3.56626506024096</v>
      </c>
      <c r="H7016" s="15"/>
    </row>
    <row r="7017" ht="13.65" customHeight="1">
      <c r="A7017" s="21">
        <v>72</v>
      </c>
      <c r="B7017" t="s" s="22">
        <v>101</v>
      </c>
      <c r="C7017" s="323">
        <v>50</v>
      </c>
      <c r="D7017" t="s" s="165">
        <v>405</v>
      </c>
      <c r="E7017" s="179">
        <v>1.93</v>
      </c>
      <c r="F7017" s="23">
        <v>8.33</v>
      </c>
      <c r="G7017" s="322" cm="1">
        <f t="array" ref="G7017">E7017/F7017</f>
        <v>0.231692677070828</v>
      </c>
      <c r="H7017" s="15"/>
    </row>
    <row r="7018" ht="13.65" customHeight="1">
      <c r="A7018" s="21">
        <v>86</v>
      </c>
      <c r="B7018" t="s" s="22">
        <v>107</v>
      </c>
      <c r="C7018" t="s" s="165">
        <v>108</v>
      </c>
      <c r="D7018" t="s" s="165">
        <v>405</v>
      </c>
      <c r="E7018" s="179">
        <v>0.32</v>
      </c>
      <c r="F7018" t="s" s="24">
        <v>967</v>
      </c>
      <c r="G7018" s="322" cm="1">
        <f t="array" ref="G7018">E7018*6</f>
        <v>1.92</v>
      </c>
      <c r="H7018" s="15"/>
    </row>
    <row r="7019" ht="13.65" customHeight="1">
      <c r="A7019" s="21">
        <v>149</v>
      </c>
      <c r="B7019" t="s" s="22">
        <v>906</v>
      </c>
      <c r="C7019" s="323">
        <v>100</v>
      </c>
      <c r="D7019" t="s" s="165">
        <v>104</v>
      </c>
      <c r="E7019" s="179">
        <v>9.6</v>
      </c>
      <c r="F7019" s="23">
        <v>100</v>
      </c>
      <c r="G7019" s="322" cm="1">
        <f t="array" ref="G7019">E7019/F7019</f>
        <v>0.096</v>
      </c>
      <c r="H7019" s="15"/>
    </row>
    <row r="7020" ht="13.65" customHeight="1">
      <c r="A7020" s="21">
        <v>87</v>
      </c>
      <c r="B7020" t="s" s="22">
        <v>110</v>
      </c>
      <c r="C7020" s="323">
        <v>50</v>
      </c>
      <c r="D7020" t="s" s="165">
        <v>405</v>
      </c>
      <c r="E7020" s="179">
        <v>9</v>
      </c>
      <c r="F7020" s="23">
        <v>8.33</v>
      </c>
      <c r="G7020" s="322" cm="1">
        <f t="array" ref="G7020">E7020/F7020</f>
        <v>1.08043217286915</v>
      </c>
      <c r="H7020" s="15"/>
    </row>
    <row r="7021" ht="13.65" customHeight="1">
      <c r="A7021" s="21">
        <v>123</v>
      </c>
      <c r="B7021" t="s" s="22">
        <v>103</v>
      </c>
      <c r="C7021" s="323">
        <v>40</v>
      </c>
      <c r="D7021" t="s" s="165">
        <v>256</v>
      </c>
      <c r="E7021" s="179">
        <v>3.2</v>
      </c>
      <c r="F7021" s="23">
        <v>13.33</v>
      </c>
      <c r="G7021" s="322" cm="1">
        <f t="array" ref="G7021">E7021/F7021</f>
        <v>0.240060015003751</v>
      </c>
      <c r="H7021" s="15"/>
    </row>
    <row r="7022" ht="13.65" customHeight="1">
      <c r="A7022" s="28"/>
      <c r="B7022" t="s" s="22">
        <v>482</v>
      </c>
      <c r="C7022" s="323">
        <v>1</v>
      </c>
      <c r="D7022" t="s" s="165">
        <v>104</v>
      </c>
      <c r="E7022" s="179">
        <v>90</v>
      </c>
      <c r="F7022" s="23">
        <v>1</v>
      </c>
      <c r="G7022" s="322" cm="1">
        <f t="array" ref="G7022">E7022/F7022</f>
        <v>90</v>
      </c>
      <c r="H7022" s="15"/>
    </row>
    <row r="7023" ht="13.65" customHeight="1">
      <c r="A7023" s="28"/>
      <c r="B7023" s="28"/>
      <c r="C7023" s="141"/>
      <c r="D7023" s="165"/>
      <c r="E7023" s="28"/>
      <c r="F7023" t="s" s="24">
        <v>118</v>
      </c>
      <c r="G7023" s="322" cm="1">
        <f t="array" ref="G7023">SUM(G7008:G7022)</f>
        <v>108.354372147407</v>
      </c>
      <c r="H7023" s="15"/>
    </row>
    <row r="7024" ht="13.65" customHeight="1">
      <c r="A7024" s="129"/>
      <c r="B7024" s="129"/>
      <c r="C7024" s="129"/>
      <c r="D7024" s="166"/>
      <c r="E7024" s="129"/>
      <c r="F7024" s="176"/>
      <c r="G7024" s="327"/>
      <c r="H7024" s="3"/>
    </row>
    <row r="7025" ht="11.7" customHeight="1">
      <c r="A7025" t="s" s="328">
        <v>136</v>
      </c>
      <c r="B7025" t="s" s="167">
        <v>913</v>
      </c>
      <c r="C7025" t="s" s="167">
        <v>914</v>
      </c>
      <c r="D7025" t="s" s="363">
        <v>1015</v>
      </c>
      <c r="E7025" s="330"/>
      <c r="F7025" s="350"/>
      <c r="G7025" s="171"/>
      <c r="H7025" s="356"/>
    </row>
    <row r="7026" ht="13.65" customHeight="1">
      <c r="A7026" s="21">
        <v>120</v>
      </c>
      <c r="B7026" s="172" cm="1">
        <f t="array" ref="B7026">SUM(H256)</f>
        <v>2.47496540404041</v>
      </c>
      <c r="C7026" s="172" cm="1">
        <f t="array" ref="C7026">SUM(G7023)</f>
        <v>108.354372147407</v>
      </c>
      <c r="D7026" s="199" cm="1">
        <f t="array" ref="D7026">SUM(A7026*B7026)+(C7026)</f>
        <v>405.350220632256</v>
      </c>
      <c r="E7026" s="200"/>
      <c r="F7026" s="364"/>
      <c r="G7026" s="317"/>
      <c r="H7026" s="3"/>
    </row>
    <row r="7027" ht="13.65" customHeight="1">
      <c r="A7027" s="129"/>
      <c r="B7027" s="129"/>
      <c r="C7027" s="333"/>
      <c r="D7027" s="166"/>
      <c r="E7027" s="136"/>
      <c r="F7027" s="268"/>
      <c r="G7027" s="317"/>
      <c r="H7027" s="3"/>
    </row>
    <row r="7028" ht="13.65" customHeight="1">
      <c r="A7028" t="s" s="22">
        <v>969</v>
      </c>
      <c r="B7028" t="s" s="132">
        <v>1016</v>
      </c>
      <c r="C7028" s="131"/>
      <c r="D7028" t="s" s="165">
        <v>918</v>
      </c>
      <c r="E7028" s="15"/>
      <c r="F7028" s="317"/>
      <c r="G7028" s="332"/>
      <c r="H7028" s="3"/>
    </row>
    <row r="7029" ht="13.65" customHeight="1">
      <c r="A7029" t="s" s="22">
        <v>1017</v>
      </c>
      <c r="B7029" t="s" s="132">
        <v>1018</v>
      </c>
      <c r="C7029" s="131"/>
      <c r="D7029" t="s" s="165">
        <v>918</v>
      </c>
      <c r="E7029" s="15"/>
      <c r="F7029" s="317"/>
      <c r="G7029" s="332"/>
      <c r="H7029" s="3"/>
    </row>
    <row r="7030" ht="13.65" customHeight="1">
      <c r="A7030" t="s" s="22">
        <v>1019</v>
      </c>
      <c r="B7030" t="s" s="132">
        <v>1020</v>
      </c>
      <c r="C7030" s="131"/>
      <c r="D7030" t="s" s="165">
        <v>918</v>
      </c>
      <c r="E7030" s="15"/>
      <c r="F7030" s="317"/>
      <c r="G7030" s="332"/>
      <c r="H7030" s="3"/>
    </row>
    <row r="7031" ht="13.65" customHeight="1">
      <c r="A7031" s="28"/>
      <c r="B7031" s="164"/>
      <c r="C7031" t="s" s="334">
        <v>924</v>
      </c>
      <c r="D7031" t="s" s="335">
        <v>256</v>
      </c>
      <c r="E7031" s="15"/>
      <c r="F7031" s="317"/>
      <c r="G7031" s="332"/>
      <c r="H7031" s="3"/>
    </row>
    <row r="7032" ht="13.65" customHeight="1">
      <c r="A7032" s="31"/>
      <c r="B7032" s="31"/>
      <c r="C7032" s="31"/>
      <c r="D7032" s="32"/>
      <c r="E7032" s="3"/>
      <c r="F7032" s="317"/>
      <c r="G7032" s="332"/>
      <c r="H7032" s="3"/>
    </row>
    <row r="7033" ht="13.65" customHeight="1">
      <c r="A7033" t="s" s="5">
        <v>1021</v>
      </c>
      <c r="B7033" s="3"/>
      <c r="C7033" s="3"/>
      <c r="D7033" s="316"/>
      <c r="E7033" s="3"/>
      <c r="F7033" s="317"/>
      <c r="G7033" s="332"/>
      <c r="H7033" s="3"/>
    </row>
    <row r="7034" ht="13.65" customHeight="1">
      <c r="A7034" s="3"/>
      <c r="B7034" t="s" s="5">
        <v>1022</v>
      </c>
      <c r="C7034" s="3"/>
      <c r="D7034" s="316"/>
      <c r="E7034" s="3"/>
      <c r="F7034" s="317"/>
      <c r="G7034" s="332"/>
      <c r="H7034" s="3"/>
    </row>
    <row r="7035" ht="13.65" customHeight="1">
      <c r="A7035" s="3"/>
      <c r="B7035" s="3"/>
      <c r="C7035" s="3"/>
      <c r="D7035" s="316"/>
      <c r="E7035" s="3"/>
      <c r="F7035" s="317"/>
      <c r="G7035" s="332"/>
      <c r="H7035" s="3"/>
    </row>
    <row r="7036" ht="13.65" customHeight="1">
      <c r="A7036" s="203"/>
      <c r="B7036" s="203"/>
      <c r="C7036" s="203"/>
      <c r="D7036" s="349"/>
      <c r="E7036" s="203"/>
      <c r="F7036" s="340"/>
      <c r="G7036" s="341"/>
      <c r="H7036" s="203"/>
    </row>
    <row r="7037" ht="13.65" customHeight="1">
      <c r="A7037" t="s" s="274">
        <v>853</v>
      </c>
      <c r="B7037" s="275"/>
      <c r="C7037" s="275"/>
      <c r="D7037" s="342"/>
      <c r="E7037" s="275"/>
      <c r="F7037" s="311"/>
      <c r="G7037" s="343"/>
      <c r="H7037" s="277"/>
    </row>
    <row r="7038" ht="13.65" customHeight="1">
      <c r="A7038" s="278"/>
      <c r="B7038" s="278"/>
      <c r="C7038" s="278"/>
      <c r="D7038" s="344"/>
      <c r="E7038" s="278"/>
      <c r="F7038" s="314"/>
      <c r="G7038" s="345"/>
      <c r="H7038" s="278"/>
    </row>
    <row r="7039" ht="13.65" customHeight="1">
      <c r="A7039" s="3"/>
      <c r="B7039" s="3"/>
      <c r="C7039" s="3"/>
      <c r="D7039" s="316"/>
      <c r="E7039" s="3"/>
      <c r="F7039" s="317"/>
      <c r="G7039" s="332"/>
      <c r="H7039" s="3"/>
    </row>
    <row r="7040" ht="13.65" customHeight="1">
      <c r="A7040" t="s" s="5">
        <v>1025</v>
      </c>
      <c r="B7040" s="3"/>
      <c r="C7040" s="3"/>
      <c r="D7040" s="316"/>
      <c r="E7040" s="3"/>
      <c r="F7040" s="317"/>
      <c r="G7040" s="332"/>
      <c r="H7040" s="3"/>
    </row>
    <row r="7041" ht="13.65" customHeight="1">
      <c r="A7041" s="11"/>
      <c r="B7041" s="11"/>
      <c r="C7041" s="11"/>
      <c r="D7041" s="319"/>
      <c r="E7041" s="11"/>
      <c r="F7041" s="320"/>
      <c r="G7041" s="346"/>
      <c r="H7041" s="3"/>
    </row>
    <row r="7042" ht="13.65" customHeight="1">
      <c r="A7042" s="13"/>
      <c r="B7042" s="13"/>
      <c r="C7042" s="13"/>
      <c r="D7042" s="14"/>
      <c r="E7042" s="13"/>
      <c r="F7042" s="13"/>
      <c r="G7042" t="s" s="14">
        <v>92</v>
      </c>
      <c r="H7042" s="15"/>
    </row>
    <row r="7043" ht="13.65" customHeight="1">
      <c r="A7043" t="s" s="16">
        <v>93</v>
      </c>
      <c r="B7043" t="s" s="16">
        <v>94</v>
      </c>
      <c r="C7043" t="s" s="16">
        <v>95</v>
      </c>
      <c r="D7043" t="s" s="16">
        <v>96</v>
      </c>
      <c r="E7043" t="s" s="16">
        <v>97</v>
      </c>
      <c r="F7043" t="s" s="16">
        <v>98</v>
      </c>
      <c r="G7043" t="s" s="16">
        <v>99</v>
      </c>
      <c r="H7043" s="15"/>
    </row>
    <row r="7044" ht="13.65" customHeight="1">
      <c r="A7044" s="19"/>
      <c r="B7044" s="19"/>
      <c r="C7044" s="19"/>
      <c r="D7044" s="20"/>
      <c r="E7044" s="19"/>
      <c r="F7044" s="19"/>
      <c r="G7044" t="s" s="20">
        <v>100</v>
      </c>
      <c r="H7044" s="15"/>
    </row>
    <row r="7045" ht="13.65" customHeight="1">
      <c r="A7045" s="21">
        <v>166</v>
      </c>
      <c r="B7045" t="s" s="22">
        <v>477</v>
      </c>
      <c r="C7045" s="323">
        <v>500</v>
      </c>
      <c r="D7045" t="s" s="165">
        <v>663</v>
      </c>
      <c r="E7045" s="179">
        <v>29.73</v>
      </c>
      <c r="F7045" s="23">
        <v>12.5</v>
      </c>
      <c r="G7045" s="322" cm="1">
        <f t="array" ref="G7045">E7045/F7045</f>
        <v>2.3784</v>
      </c>
      <c r="H7045" s="15"/>
    </row>
    <row r="7046" ht="13.65" customHeight="1">
      <c r="A7046" s="21">
        <v>161</v>
      </c>
      <c r="B7046" t="s" s="22">
        <v>1026</v>
      </c>
      <c r="C7046" s="323">
        <v>10</v>
      </c>
      <c r="D7046" t="s" s="165">
        <v>104</v>
      </c>
      <c r="E7046" s="179">
        <v>24.8</v>
      </c>
      <c r="F7046" s="23">
        <v>10</v>
      </c>
      <c r="G7046" s="322" cm="1">
        <f t="array" ref="G7046">E7046/F7046</f>
        <v>2.48</v>
      </c>
      <c r="H7046" s="15"/>
    </row>
    <row r="7047" ht="13.65" customHeight="1">
      <c r="A7047" s="21">
        <v>27</v>
      </c>
      <c r="B7047" t="s" s="22">
        <v>474</v>
      </c>
      <c r="C7047" s="323">
        <v>18</v>
      </c>
      <c r="D7047" t="s" s="165">
        <v>102</v>
      </c>
      <c r="E7047" s="179">
        <v>6.5</v>
      </c>
      <c r="F7047" s="23">
        <v>9</v>
      </c>
      <c r="G7047" s="322" cm="1">
        <f t="array" ref="G7047">E7047/F7047</f>
        <v>0.722222222222222</v>
      </c>
      <c r="H7047" s="15"/>
    </row>
    <row r="7048" ht="13.65" customHeight="1">
      <c r="A7048" s="21">
        <v>145</v>
      </c>
      <c r="B7048" t="s" s="22">
        <v>897</v>
      </c>
      <c r="C7048" s="323">
        <v>50</v>
      </c>
      <c r="D7048" t="s" s="165">
        <v>104</v>
      </c>
      <c r="E7048" s="179">
        <v>100</v>
      </c>
      <c r="F7048" s="23">
        <v>50</v>
      </c>
      <c r="G7048" s="322" cm="1">
        <f t="array" ref="G7048">E7048/F7048</f>
        <v>2</v>
      </c>
      <c r="H7048" s="15"/>
    </row>
    <row r="7049" ht="13.65" customHeight="1">
      <c r="A7049" s="21">
        <v>55</v>
      </c>
      <c r="B7049" t="s" s="22">
        <v>111</v>
      </c>
      <c r="C7049" t="s" s="165">
        <v>112</v>
      </c>
      <c r="D7049" t="s" s="165">
        <v>964</v>
      </c>
      <c r="E7049" s="179">
        <v>2.71</v>
      </c>
      <c r="F7049" s="23">
        <v>12.5</v>
      </c>
      <c r="G7049" s="322" cm="1">
        <f t="array" ref="G7049">E7049/F7049</f>
        <v>0.2168</v>
      </c>
      <c r="H7049" s="15"/>
    </row>
    <row r="7050" ht="13.65" customHeight="1">
      <c r="A7050" s="21">
        <v>57</v>
      </c>
      <c r="B7050" t="s" s="22">
        <v>253</v>
      </c>
      <c r="C7050" t="s" s="165">
        <v>254</v>
      </c>
      <c r="D7050" t="s" s="165">
        <v>255</v>
      </c>
      <c r="E7050" s="179">
        <v>4.5</v>
      </c>
      <c r="F7050" s="23">
        <v>200</v>
      </c>
      <c r="G7050" s="322" cm="1">
        <f t="array" ref="G7050">E7050/F7050</f>
        <v>0.0225</v>
      </c>
      <c r="H7050" s="15"/>
    </row>
    <row r="7051" ht="13.65" customHeight="1">
      <c r="A7051" s="21">
        <v>168</v>
      </c>
      <c r="B7051" t="s" s="22">
        <v>992</v>
      </c>
      <c r="C7051" s="323">
        <v>1</v>
      </c>
      <c r="D7051" t="s" s="165">
        <v>985</v>
      </c>
      <c r="E7051" s="179">
        <v>90</v>
      </c>
      <c r="F7051" s="23">
        <v>50</v>
      </c>
      <c r="G7051" s="322" cm="1">
        <f t="array" ref="G7051">E7051/F7051</f>
        <v>1.8</v>
      </c>
      <c r="H7051" s="15"/>
    </row>
    <row r="7052" ht="13.65" customHeight="1">
      <c r="A7052" s="21">
        <v>68</v>
      </c>
      <c r="B7052" t="s" s="22">
        <v>480</v>
      </c>
      <c r="C7052" s="323">
        <v>1000</v>
      </c>
      <c r="D7052" t="s" s="165">
        <v>936</v>
      </c>
      <c r="E7052" s="179">
        <v>16</v>
      </c>
      <c r="F7052" s="23">
        <v>10</v>
      </c>
      <c r="G7052" s="322" cm="1">
        <f t="array" ref="G7052">E7052/F7052</f>
        <v>1.6</v>
      </c>
      <c r="H7052" s="15"/>
    </row>
    <row r="7053" ht="13.65" customHeight="1">
      <c r="A7053" s="21">
        <v>71</v>
      </c>
      <c r="B7053" t="s" s="22">
        <v>109</v>
      </c>
      <c r="C7053" s="323">
        <v>10</v>
      </c>
      <c r="D7053" t="s" s="165">
        <v>405</v>
      </c>
      <c r="E7053" s="179">
        <v>5.92</v>
      </c>
      <c r="F7053" s="362">
        <v>1.66</v>
      </c>
      <c r="G7053" s="322" cm="1">
        <f t="array" ref="G7053">E7053/F7053</f>
        <v>3.56626506024096</v>
      </c>
      <c r="H7053" s="15"/>
    </row>
    <row r="7054" ht="13.65" customHeight="1">
      <c r="A7054" s="21">
        <v>72</v>
      </c>
      <c r="B7054" t="s" s="22">
        <v>101</v>
      </c>
      <c r="C7054" s="323">
        <v>50</v>
      </c>
      <c r="D7054" t="s" s="165">
        <v>405</v>
      </c>
      <c r="E7054" s="179">
        <v>1.93</v>
      </c>
      <c r="F7054" s="23">
        <v>8.33</v>
      </c>
      <c r="G7054" s="322" cm="1">
        <f t="array" ref="G7054">E7054/F7054</f>
        <v>0.231692677070828</v>
      </c>
      <c r="H7054" s="15"/>
    </row>
    <row r="7055" ht="13.65" customHeight="1">
      <c r="A7055" s="21">
        <v>86</v>
      </c>
      <c r="B7055" t="s" s="22">
        <v>1027</v>
      </c>
      <c r="C7055" t="s" s="165">
        <v>108</v>
      </c>
      <c r="D7055" t="s" s="165">
        <v>405</v>
      </c>
      <c r="E7055" s="179">
        <v>0.32</v>
      </c>
      <c r="F7055" t="s" s="24">
        <v>967</v>
      </c>
      <c r="G7055" s="322" cm="1">
        <f t="array" ref="G7055">E7055*6</f>
        <v>1.92</v>
      </c>
      <c r="H7055" s="15"/>
    </row>
    <row r="7056" ht="13.65" customHeight="1">
      <c r="A7056" s="21">
        <v>149</v>
      </c>
      <c r="B7056" t="s" s="22">
        <v>906</v>
      </c>
      <c r="C7056" s="323">
        <v>100</v>
      </c>
      <c r="D7056" t="s" s="165">
        <v>104</v>
      </c>
      <c r="E7056" s="179">
        <v>9.6</v>
      </c>
      <c r="F7056" s="23">
        <v>100</v>
      </c>
      <c r="G7056" s="322" cm="1">
        <f t="array" ref="G7056">E7056/F7056</f>
        <v>0.096</v>
      </c>
      <c r="H7056" s="15"/>
    </row>
    <row r="7057" ht="13.65" customHeight="1">
      <c r="A7057" s="21">
        <v>87</v>
      </c>
      <c r="B7057" t="s" s="22">
        <v>110</v>
      </c>
      <c r="C7057" s="323">
        <v>50</v>
      </c>
      <c r="D7057" t="s" s="165">
        <v>405</v>
      </c>
      <c r="E7057" s="179">
        <v>9</v>
      </c>
      <c r="F7057" s="23">
        <v>8.33</v>
      </c>
      <c r="G7057" s="322" cm="1">
        <f t="array" ref="G7057">E7057/F7057</f>
        <v>1.08043217286915</v>
      </c>
      <c r="H7057" s="15"/>
    </row>
    <row r="7058" ht="13.65" customHeight="1">
      <c r="A7058" s="21">
        <v>123</v>
      </c>
      <c r="B7058" t="s" s="22">
        <v>103</v>
      </c>
      <c r="C7058" s="323">
        <v>40</v>
      </c>
      <c r="D7058" t="s" s="165">
        <v>256</v>
      </c>
      <c r="E7058" s="179">
        <v>3.2</v>
      </c>
      <c r="F7058" s="23">
        <v>13.33</v>
      </c>
      <c r="G7058" s="322" cm="1">
        <f t="array" ref="G7058">E7058/F7058</f>
        <v>0.240060015003751</v>
      </c>
      <c r="H7058" s="15"/>
    </row>
    <row r="7059" ht="13.65" customHeight="1">
      <c r="A7059" s="28"/>
      <c r="B7059" t="s" s="22">
        <v>482</v>
      </c>
      <c r="C7059" s="323">
        <v>1</v>
      </c>
      <c r="D7059" t="s" s="165">
        <v>104</v>
      </c>
      <c r="E7059" s="179"/>
      <c r="F7059" s="23">
        <v>1</v>
      </c>
      <c r="G7059" s="322"/>
      <c r="H7059" s="15"/>
    </row>
    <row r="7060" ht="13.65" customHeight="1">
      <c r="A7060" s="28"/>
      <c r="B7060" s="28"/>
      <c r="C7060" s="141"/>
      <c r="D7060" s="165"/>
      <c r="E7060" s="28"/>
      <c r="F7060" t="s" s="24">
        <v>118</v>
      </c>
      <c r="G7060" s="322" cm="1">
        <f t="array" ref="G7060">SUM(G7045:G7058)</f>
        <v>18.3543721474069</v>
      </c>
      <c r="H7060" s="15"/>
    </row>
    <row r="7061" ht="13.65" customHeight="1">
      <c r="A7061" s="129"/>
      <c r="B7061" s="129"/>
      <c r="C7061" s="129"/>
      <c r="D7061" s="166"/>
      <c r="E7061" s="129"/>
      <c r="F7061" s="176"/>
      <c r="G7061" s="327"/>
      <c r="H7061" s="3"/>
    </row>
    <row r="7062" ht="11.7" customHeight="1">
      <c r="A7062" t="s" s="328">
        <v>136</v>
      </c>
      <c r="B7062" t="s" s="167">
        <v>913</v>
      </c>
      <c r="C7062" t="s" s="167">
        <v>914</v>
      </c>
      <c r="D7062" t="s" s="363">
        <v>1015</v>
      </c>
      <c r="E7062" s="330"/>
      <c r="F7062" s="350"/>
      <c r="G7062" s="171"/>
      <c r="H7062" s="356"/>
    </row>
    <row r="7063" ht="13.65" customHeight="1">
      <c r="A7063" s="21">
        <v>120</v>
      </c>
      <c r="B7063" s="172" cm="1">
        <f t="array" ref="B7063">SUM(H256)</f>
        <v>2.47496540404041</v>
      </c>
      <c r="C7063" s="172" cm="1">
        <f t="array" ref="C7063">SUM(G7060)</f>
        <v>18.3543721474069</v>
      </c>
      <c r="D7063" s="199" cm="1">
        <f t="array" ref="D7063">SUM(A7063*B7063)+(C7063)</f>
        <v>315.350220632256</v>
      </c>
      <c r="E7063" s="200"/>
      <c r="F7063" s="364"/>
      <c r="G7063" s="317"/>
      <c r="H7063" s="3"/>
    </row>
    <row r="7064" ht="13.65" customHeight="1">
      <c r="A7064" s="129"/>
      <c r="B7064" s="129"/>
      <c r="C7064" s="333"/>
      <c r="D7064" s="166"/>
      <c r="E7064" s="136"/>
      <c r="F7064" s="268"/>
      <c r="G7064" s="317"/>
      <c r="H7064" s="3"/>
    </row>
    <row r="7065" ht="13.65" customHeight="1">
      <c r="A7065" t="s" s="22">
        <v>969</v>
      </c>
      <c r="B7065" t="s" s="132">
        <v>1016</v>
      </c>
      <c r="C7065" s="131"/>
      <c r="D7065" t="s" s="165">
        <v>918</v>
      </c>
      <c r="E7065" s="15"/>
      <c r="F7065" s="317"/>
      <c r="G7065" s="332"/>
      <c r="H7065" s="3"/>
    </row>
    <row r="7066" ht="13.65" customHeight="1">
      <c r="A7066" t="s" s="22">
        <v>1017</v>
      </c>
      <c r="B7066" t="s" s="132">
        <v>1018</v>
      </c>
      <c r="C7066" s="131"/>
      <c r="D7066" t="s" s="165">
        <v>918</v>
      </c>
      <c r="E7066" s="15"/>
      <c r="F7066" s="317"/>
      <c r="G7066" s="332"/>
      <c r="H7066" s="3"/>
    </row>
    <row r="7067" ht="13.65" customHeight="1">
      <c r="A7067" t="s" s="22">
        <v>1019</v>
      </c>
      <c r="B7067" t="s" s="132">
        <v>1020</v>
      </c>
      <c r="C7067" s="131"/>
      <c r="D7067" t="s" s="165">
        <v>918</v>
      </c>
      <c r="E7067" s="15"/>
      <c r="F7067" s="317"/>
      <c r="G7067" s="332"/>
      <c r="H7067" s="3"/>
    </row>
    <row r="7068" ht="13.65" customHeight="1">
      <c r="A7068" s="28"/>
      <c r="B7068" s="164"/>
      <c r="C7068" t="s" s="334">
        <v>924</v>
      </c>
      <c r="D7068" t="s" s="335">
        <v>256</v>
      </c>
      <c r="E7068" s="15"/>
      <c r="F7068" s="317"/>
      <c r="G7068" s="332"/>
      <c r="H7068" s="3"/>
    </row>
    <row r="7069" ht="13.65" customHeight="1">
      <c r="A7069" s="31"/>
      <c r="B7069" s="31"/>
      <c r="C7069" s="31"/>
      <c r="D7069" s="32"/>
      <c r="E7069" s="3"/>
      <c r="F7069" s="317"/>
      <c r="G7069" s="332"/>
      <c r="H7069" s="3"/>
    </row>
    <row r="7070" ht="13.65" customHeight="1">
      <c r="A7070" t="s" s="5">
        <v>1021</v>
      </c>
      <c r="B7070" s="3"/>
      <c r="C7070" s="3"/>
      <c r="D7070" s="316"/>
      <c r="E7070" s="3"/>
      <c r="F7070" s="317"/>
      <c r="G7070" s="332"/>
      <c r="H7070" s="3"/>
    </row>
    <row r="7071" ht="13.65" customHeight="1">
      <c r="A7071" s="3"/>
      <c r="B7071" t="s" s="5">
        <v>1022</v>
      </c>
      <c r="C7071" s="3"/>
      <c r="D7071" s="316"/>
      <c r="E7071" s="3"/>
      <c r="F7071" s="317"/>
      <c r="G7071" s="332"/>
      <c r="H7071" s="3"/>
    </row>
    <row r="7072" ht="13.65" customHeight="1">
      <c r="A7072" s="3"/>
      <c r="B7072" s="3"/>
      <c r="C7072" s="3"/>
      <c r="D7072" s="316"/>
      <c r="E7072" s="3"/>
      <c r="F7072" s="317"/>
      <c r="G7072" s="332"/>
      <c r="H7072" s="3"/>
    </row>
    <row r="7073" ht="13.65" customHeight="1">
      <c r="A7073" s="203"/>
      <c r="B7073" s="203"/>
      <c r="C7073" s="203"/>
      <c r="D7073" s="349"/>
      <c r="E7073" s="203"/>
      <c r="F7073" s="340"/>
      <c r="G7073" s="341"/>
      <c r="H7073" s="203"/>
    </row>
    <row r="7074" ht="13.65" customHeight="1">
      <c r="A7074" t="s" s="274">
        <v>853</v>
      </c>
      <c r="B7074" s="275"/>
      <c r="C7074" s="275"/>
      <c r="D7074" s="342"/>
      <c r="E7074" s="275"/>
      <c r="F7074" s="311"/>
      <c r="G7074" s="343"/>
      <c r="H7074" s="277"/>
    </row>
    <row r="7075" ht="13.65" customHeight="1">
      <c r="A7075" s="278"/>
      <c r="B7075" s="278"/>
      <c r="C7075" s="278"/>
      <c r="D7075" s="344"/>
      <c r="E7075" s="278"/>
      <c r="F7075" s="314"/>
      <c r="G7075" s="345"/>
      <c r="H7075" s="278"/>
    </row>
    <row r="7076" ht="13.65" customHeight="1">
      <c r="A7076" s="3"/>
      <c r="B7076" s="3"/>
      <c r="C7076" s="3"/>
      <c r="D7076" s="316"/>
      <c r="E7076" s="3"/>
      <c r="F7076" s="317"/>
      <c r="G7076" s="332"/>
      <c r="H7076" s="3"/>
    </row>
    <row r="7077" ht="13.65" customHeight="1">
      <c r="A7077" t="s" s="5">
        <v>1028</v>
      </c>
      <c r="B7077" s="3"/>
      <c r="C7077" s="3"/>
      <c r="D7077" s="316"/>
      <c r="E7077" s="3"/>
      <c r="F7077" s="317"/>
      <c r="G7077" s="332"/>
      <c r="H7077" s="3"/>
    </row>
    <row r="7078" ht="13.65" customHeight="1">
      <c r="A7078" s="11"/>
      <c r="B7078" s="11"/>
      <c r="C7078" s="11"/>
      <c r="D7078" s="319"/>
      <c r="E7078" s="11"/>
      <c r="F7078" s="320"/>
      <c r="G7078" s="346"/>
      <c r="H7078" s="3"/>
    </row>
    <row r="7079" ht="13.65" customHeight="1">
      <c r="A7079" s="13"/>
      <c r="B7079" s="13"/>
      <c r="C7079" s="13"/>
      <c r="D7079" s="14"/>
      <c r="E7079" s="13"/>
      <c r="F7079" s="13"/>
      <c r="G7079" t="s" s="14">
        <v>92</v>
      </c>
      <c r="H7079" s="15"/>
    </row>
    <row r="7080" ht="13.65" customHeight="1">
      <c r="A7080" t="s" s="16">
        <v>93</v>
      </c>
      <c r="B7080" t="s" s="16">
        <v>94</v>
      </c>
      <c r="C7080" t="s" s="16">
        <v>95</v>
      </c>
      <c r="D7080" t="s" s="16">
        <v>96</v>
      </c>
      <c r="E7080" t="s" s="16">
        <v>97</v>
      </c>
      <c r="F7080" t="s" s="16">
        <v>98</v>
      </c>
      <c r="G7080" t="s" s="16">
        <v>99</v>
      </c>
      <c r="H7080" s="15"/>
    </row>
    <row r="7081" ht="13.65" customHeight="1">
      <c r="A7081" s="19"/>
      <c r="B7081" s="19"/>
      <c r="C7081" s="19"/>
      <c r="D7081" s="20"/>
      <c r="E7081" s="19"/>
      <c r="F7081" s="19"/>
      <c r="G7081" t="s" s="20">
        <v>100</v>
      </c>
      <c r="H7081" s="15"/>
    </row>
    <row r="7082" ht="13.65" customHeight="1">
      <c r="A7082" s="21">
        <v>166</v>
      </c>
      <c r="B7082" t="s" s="22">
        <v>477</v>
      </c>
      <c r="C7082" s="323">
        <v>500</v>
      </c>
      <c r="D7082" t="s" s="165">
        <v>663</v>
      </c>
      <c r="E7082" s="179">
        <v>29.73</v>
      </c>
      <c r="F7082" s="23">
        <v>12.5</v>
      </c>
      <c r="G7082" s="322" cm="1">
        <f t="array" ref="G7082">E7082/F7082</f>
        <v>2.3784</v>
      </c>
      <c r="H7082" s="15"/>
    </row>
    <row r="7083" ht="13.65" customHeight="1">
      <c r="A7083" s="21">
        <v>161</v>
      </c>
      <c r="B7083" t="s" s="22">
        <v>1014</v>
      </c>
      <c r="C7083" s="323">
        <v>10</v>
      </c>
      <c r="D7083" t="s" s="165">
        <v>104</v>
      </c>
      <c r="E7083" s="179">
        <v>24.8</v>
      </c>
      <c r="F7083" s="23">
        <v>10</v>
      </c>
      <c r="G7083" s="322" cm="1">
        <f t="array" ref="G7083">E7083/F7083</f>
        <v>2.48</v>
      </c>
      <c r="H7083" s="15"/>
    </row>
    <row r="7084" ht="13.65" customHeight="1">
      <c r="A7084" s="21">
        <v>27</v>
      </c>
      <c r="B7084" t="s" s="22">
        <v>474</v>
      </c>
      <c r="C7084" s="323">
        <v>18</v>
      </c>
      <c r="D7084" t="s" s="165">
        <v>102</v>
      </c>
      <c r="E7084" s="179">
        <v>6.5</v>
      </c>
      <c r="F7084" s="23">
        <v>9</v>
      </c>
      <c r="G7084" s="322" cm="1">
        <f t="array" ref="G7084">E7084/F7084</f>
        <v>0.722222222222222</v>
      </c>
      <c r="H7084" s="15"/>
    </row>
    <row r="7085" ht="13.65" customHeight="1">
      <c r="A7085" s="21">
        <v>145</v>
      </c>
      <c r="B7085" t="s" s="22">
        <v>897</v>
      </c>
      <c r="C7085" s="323">
        <v>50</v>
      </c>
      <c r="D7085" t="s" s="165">
        <v>104</v>
      </c>
      <c r="E7085" s="179">
        <v>100</v>
      </c>
      <c r="F7085" s="23">
        <v>50</v>
      </c>
      <c r="G7085" s="322" cm="1">
        <f t="array" ref="G7085">E7085/F7085</f>
        <v>2</v>
      </c>
      <c r="H7085" s="15"/>
    </row>
    <row r="7086" ht="13.65" customHeight="1">
      <c r="A7086" s="21">
        <v>55</v>
      </c>
      <c r="B7086" t="s" s="22">
        <v>111</v>
      </c>
      <c r="C7086" t="s" s="165">
        <v>112</v>
      </c>
      <c r="D7086" t="s" s="165">
        <v>964</v>
      </c>
      <c r="E7086" s="179">
        <v>2.71</v>
      </c>
      <c r="F7086" s="23">
        <v>12.5</v>
      </c>
      <c r="G7086" s="322" cm="1">
        <f t="array" ref="G7086">E7086/F7086</f>
        <v>0.2168</v>
      </c>
      <c r="H7086" s="15"/>
    </row>
    <row r="7087" ht="13.65" customHeight="1">
      <c r="A7087" s="21">
        <v>57</v>
      </c>
      <c r="B7087" t="s" s="22">
        <v>253</v>
      </c>
      <c r="C7087" t="s" s="165">
        <v>254</v>
      </c>
      <c r="D7087" t="s" s="165">
        <v>255</v>
      </c>
      <c r="E7087" s="179">
        <v>4.5</v>
      </c>
      <c r="F7087" s="23">
        <v>200</v>
      </c>
      <c r="G7087" s="322" cm="1">
        <f t="array" ref="G7087">E7087/F7087</f>
        <v>0.0225</v>
      </c>
      <c r="H7087" s="15"/>
    </row>
    <row r="7088" ht="13.65" customHeight="1">
      <c r="A7088" s="21">
        <v>168</v>
      </c>
      <c r="B7088" t="s" s="22">
        <v>992</v>
      </c>
      <c r="C7088" s="323">
        <v>1</v>
      </c>
      <c r="D7088" t="s" s="165">
        <v>985</v>
      </c>
      <c r="E7088" s="179">
        <v>90</v>
      </c>
      <c r="F7088" s="23">
        <v>50</v>
      </c>
      <c r="G7088" s="322" cm="1">
        <f t="array" ref="G7088">E7088/F7088</f>
        <v>1.8</v>
      </c>
      <c r="H7088" s="15"/>
    </row>
    <row r="7089" ht="13.65" customHeight="1">
      <c r="A7089" s="21">
        <v>68</v>
      </c>
      <c r="B7089" t="s" s="22">
        <v>480</v>
      </c>
      <c r="C7089" s="323">
        <v>1000</v>
      </c>
      <c r="D7089" t="s" s="165">
        <v>936</v>
      </c>
      <c r="E7089" s="179">
        <v>16</v>
      </c>
      <c r="F7089" s="23">
        <v>10</v>
      </c>
      <c r="G7089" s="322" cm="1">
        <f t="array" ref="G7089">E7089/F7089</f>
        <v>1.6</v>
      </c>
      <c r="H7089" s="15"/>
    </row>
    <row r="7090" ht="13.65" customHeight="1">
      <c r="A7090" s="21">
        <v>71</v>
      </c>
      <c r="B7090" t="s" s="22">
        <v>109</v>
      </c>
      <c r="C7090" s="323">
        <v>10</v>
      </c>
      <c r="D7090" t="s" s="165">
        <v>405</v>
      </c>
      <c r="E7090" s="179">
        <v>5.92</v>
      </c>
      <c r="F7090" s="362">
        <v>1.66</v>
      </c>
      <c r="G7090" s="322" cm="1">
        <f t="array" ref="G7090">E7090/F7090</f>
        <v>3.56626506024096</v>
      </c>
      <c r="H7090" s="15"/>
    </row>
    <row r="7091" ht="13.65" customHeight="1">
      <c r="A7091" s="21">
        <v>72</v>
      </c>
      <c r="B7091" t="s" s="22">
        <v>101</v>
      </c>
      <c r="C7091" s="323">
        <v>50</v>
      </c>
      <c r="D7091" t="s" s="165">
        <v>405</v>
      </c>
      <c r="E7091" s="179">
        <v>1.93</v>
      </c>
      <c r="F7091" s="23">
        <v>8.33</v>
      </c>
      <c r="G7091" s="322" cm="1">
        <f t="array" ref="G7091">E7091/F7091</f>
        <v>0.231692677070828</v>
      </c>
      <c r="H7091" s="15"/>
    </row>
    <row r="7092" ht="13.65" customHeight="1">
      <c r="A7092" s="21">
        <v>86</v>
      </c>
      <c r="B7092" t="s" s="22">
        <v>107</v>
      </c>
      <c r="C7092" t="s" s="165">
        <v>108</v>
      </c>
      <c r="D7092" t="s" s="165">
        <v>405</v>
      </c>
      <c r="E7092" s="179">
        <v>0.32</v>
      </c>
      <c r="F7092" t="s" s="24">
        <v>967</v>
      </c>
      <c r="G7092" s="322" cm="1">
        <f t="array" ref="G7092">E7092*6</f>
        <v>1.92</v>
      </c>
      <c r="H7092" s="15"/>
    </row>
    <row r="7093" ht="13.65" customHeight="1">
      <c r="A7093" s="21">
        <v>149</v>
      </c>
      <c r="B7093" t="s" s="22">
        <v>906</v>
      </c>
      <c r="C7093" s="323">
        <v>100</v>
      </c>
      <c r="D7093" t="s" s="165">
        <v>104</v>
      </c>
      <c r="E7093" s="179">
        <v>9.6</v>
      </c>
      <c r="F7093" s="23">
        <v>100</v>
      </c>
      <c r="G7093" s="322" cm="1">
        <f t="array" ref="G7093">E7093/F7093</f>
        <v>0.096</v>
      </c>
      <c r="H7093" s="15"/>
    </row>
    <row r="7094" ht="13.65" customHeight="1">
      <c r="A7094" s="21">
        <v>87</v>
      </c>
      <c r="B7094" t="s" s="22">
        <v>110</v>
      </c>
      <c r="C7094" s="323">
        <v>50</v>
      </c>
      <c r="D7094" t="s" s="165">
        <v>405</v>
      </c>
      <c r="E7094" s="179">
        <v>9</v>
      </c>
      <c r="F7094" s="23">
        <v>8.33</v>
      </c>
      <c r="G7094" s="322" cm="1">
        <f t="array" ref="G7094">E7094/F7094</f>
        <v>1.08043217286915</v>
      </c>
      <c r="H7094" s="15"/>
    </row>
    <row r="7095" ht="13.65" customHeight="1">
      <c r="A7095" s="21">
        <v>123</v>
      </c>
      <c r="B7095" t="s" s="22">
        <v>103</v>
      </c>
      <c r="C7095" s="323">
        <v>40</v>
      </c>
      <c r="D7095" t="s" s="165">
        <v>256</v>
      </c>
      <c r="E7095" s="179">
        <v>3.2</v>
      </c>
      <c r="F7095" s="23">
        <v>13.33</v>
      </c>
      <c r="G7095" s="322" cm="1">
        <f t="array" ref="G7095">E7095/F7095</f>
        <v>0.240060015003751</v>
      </c>
      <c r="H7095" s="15"/>
    </row>
    <row r="7096" ht="13.65" customHeight="1">
      <c r="A7096" s="28"/>
      <c r="B7096" t="s" s="22">
        <v>482</v>
      </c>
      <c r="C7096" s="323">
        <v>1</v>
      </c>
      <c r="D7096" t="s" s="165">
        <v>104</v>
      </c>
      <c r="E7096" s="179">
        <v>50</v>
      </c>
      <c r="F7096" s="23">
        <v>1</v>
      </c>
      <c r="G7096" s="322" cm="1">
        <f t="array" ref="G7096">E7096/F7096</f>
        <v>50</v>
      </c>
      <c r="H7096" s="15"/>
    </row>
    <row r="7097" ht="13.65" customHeight="1">
      <c r="A7097" s="28"/>
      <c r="B7097" s="28"/>
      <c r="C7097" s="141"/>
      <c r="D7097" s="165"/>
      <c r="E7097" s="28"/>
      <c r="F7097" t="s" s="24">
        <v>118</v>
      </c>
      <c r="G7097" s="322" cm="1">
        <f t="array" ref="G7097">SUM(G7082:G7096)</f>
        <v>68.35437214740691</v>
      </c>
      <c r="H7097" s="15"/>
    </row>
    <row r="7098" ht="13.65" customHeight="1">
      <c r="A7098" s="129"/>
      <c r="B7098" s="129"/>
      <c r="C7098" s="129"/>
      <c r="D7098" s="166"/>
      <c r="E7098" s="129"/>
      <c r="F7098" s="176"/>
      <c r="G7098" s="327"/>
      <c r="H7098" s="3"/>
    </row>
    <row r="7099" ht="11.7" customHeight="1">
      <c r="A7099" t="s" s="328">
        <v>136</v>
      </c>
      <c r="B7099" t="s" s="167">
        <v>913</v>
      </c>
      <c r="C7099" t="s" s="167">
        <v>914</v>
      </c>
      <c r="D7099" t="s" s="363">
        <v>1015</v>
      </c>
      <c r="E7099" s="330"/>
      <c r="F7099" s="350"/>
      <c r="G7099" s="171"/>
      <c r="H7099" s="356"/>
    </row>
    <row r="7100" ht="13.65" customHeight="1">
      <c r="A7100" s="21">
        <v>120</v>
      </c>
      <c r="B7100" s="172" cm="1">
        <f t="array" ref="B7100">SUM(H256)</f>
        <v>2.47496540404041</v>
      </c>
      <c r="C7100" s="172" cm="1">
        <f t="array" ref="C7100">SUM(G7097)</f>
        <v>68.35437214740691</v>
      </c>
      <c r="D7100" s="199" cm="1">
        <f t="array" ref="D7100">SUM(A7100*B7100)+(C7100)</f>
        <v>365.350220632256</v>
      </c>
      <c r="E7100" s="200"/>
      <c r="F7100" s="364"/>
      <c r="G7100" s="317"/>
      <c r="H7100" s="3"/>
    </row>
    <row r="7101" ht="13.65" customHeight="1">
      <c r="A7101" s="129"/>
      <c r="B7101" s="129"/>
      <c r="C7101" s="333"/>
      <c r="D7101" s="166"/>
      <c r="E7101" s="136"/>
      <c r="F7101" s="268"/>
      <c r="G7101" s="317"/>
      <c r="H7101" s="3"/>
    </row>
    <row r="7102" ht="13.65" customHeight="1">
      <c r="A7102" t="s" s="22">
        <v>969</v>
      </c>
      <c r="B7102" t="s" s="132">
        <v>1016</v>
      </c>
      <c r="C7102" s="131"/>
      <c r="D7102" t="s" s="165">
        <v>918</v>
      </c>
      <c r="E7102" s="15"/>
      <c r="F7102" s="317"/>
      <c r="G7102" s="332"/>
      <c r="H7102" s="3"/>
    </row>
    <row r="7103" ht="13.65" customHeight="1">
      <c r="A7103" t="s" s="22">
        <v>1017</v>
      </c>
      <c r="B7103" t="s" s="132">
        <v>1018</v>
      </c>
      <c r="C7103" s="131"/>
      <c r="D7103" t="s" s="165">
        <v>918</v>
      </c>
      <c r="E7103" s="15"/>
      <c r="F7103" s="317"/>
      <c r="G7103" s="332"/>
      <c r="H7103" s="3"/>
    </row>
    <row r="7104" ht="13.65" customHeight="1">
      <c r="A7104" t="s" s="22">
        <v>1019</v>
      </c>
      <c r="B7104" t="s" s="132">
        <v>1020</v>
      </c>
      <c r="C7104" s="131"/>
      <c r="D7104" t="s" s="165">
        <v>918</v>
      </c>
      <c r="E7104" s="15"/>
      <c r="F7104" s="317"/>
      <c r="G7104" s="332"/>
      <c r="H7104" s="3"/>
    </row>
    <row r="7105" ht="13.65" customHeight="1">
      <c r="A7105" s="28"/>
      <c r="B7105" s="164"/>
      <c r="C7105" t="s" s="334">
        <v>924</v>
      </c>
      <c r="D7105" t="s" s="335">
        <v>256</v>
      </c>
      <c r="E7105" s="15"/>
      <c r="F7105" s="317"/>
      <c r="G7105" s="332"/>
      <c r="H7105" s="3"/>
    </row>
    <row r="7106" ht="13.65" customHeight="1">
      <c r="A7106" s="31"/>
      <c r="B7106" s="31"/>
      <c r="C7106" s="31"/>
      <c r="D7106" s="32"/>
      <c r="E7106" s="3"/>
      <c r="F7106" s="317"/>
      <c r="G7106" s="332"/>
      <c r="H7106" s="3"/>
    </row>
    <row r="7107" ht="13.65" customHeight="1">
      <c r="A7107" t="s" s="5">
        <v>1021</v>
      </c>
      <c r="B7107" s="3"/>
      <c r="C7107" s="3"/>
      <c r="D7107" s="316"/>
      <c r="E7107" s="3"/>
      <c r="F7107" s="317"/>
      <c r="G7107" s="332"/>
      <c r="H7107" s="3"/>
    </row>
    <row r="7108" ht="13.65" customHeight="1">
      <c r="A7108" s="3"/>
      <c r="B7108" t="s" s="5">
        <v>1022</v>
      </c>
      <c r="C7108" s="3"/>
      <c r="D7108" s="316"/>
      <c r="E7108" s="3"/>
      <c r="F7108" s="317"/>
      <c r="G7108" s="332"/>
      <c r="H7108" s="3"/>
    </row>
    <row r="7109" ht="13.65" customHeight="1">
      <c r="A7109" s="203"/>
      <c r="B7109" s="203"/>
      <c r="C7109" s="203"/>
      <c r="D7109" s="349"/>
      <c r="E7109" s="203"/>
      <c r="F7109" s="340"/>
      <c r="G7109" s="341"/>
      <c r="H7109" s="203"/>
    </row>
    <row r="7110" ht="13.65" customHeight="1">
      <c r="A7110" t="s" s="274">
        <v>853</v>
      </c>
      <c r="B7110" s="275"/>
      <c r="C7110" s="275"/>
      <c r="D7110" s="342"/>
      <c r="E7110" s="275"/>
      <c r="F7110" s="311"/>
      <c r="G7110" s="343"/>
      <c r="H7110" s="277"/>
    </row>
    <row r="7111" ht="13.65" customHeight="1">
      <c r="A7111" s="278"/>
      <c r="B7111" s="278"/>
      <c r="C7111" s="278"/>
      <c r="D7111" s="344"/>
      <c r="E7111" s="278"/>
      <c r="F7111" s="314"/>
      <c r="G7111" s="345"/>
      <c r="H7111" s="278"/>
    </row>
    <row r="7112" ht="13.65" customHeight="1">
      <c r="A7112" s="3"/>
      <c r="B7112" s="3"/>
      <c r="C7112" s="3"/>
      <c r="D7112" s="316"/>
      <c r="E7112" s="3"/>
      <c r="F7112" s="317"/>
      <c r="G7112" s="332"/>
      <c r="H7112" s="3"/>
    </row>
    <row r="7113" ht="13.65" customHeight="1">
      <c r="A7113" t="s" s="5">
        <v>1029</v>
      </c>
      <c r="B7113" s="3"/>
      <c r="C7113" s="3"/>
      <c r="D7113" s="316"/>
      <c r="E7113" s="3"/>
      <c r="F7113" s="317"/>
      <c r="G7113" s="332"/>
      <c r="H7113" s="3"/>
    </row>
    <row r="7114" ht="13.65" customHeight="1">
      <c r="A7114" s="11"/>
      <c r="B7114" s="11"/>
      <c r="C7114" s="11"/>
      <c r="D7114" s="319"/>
      <c r="E7114" s="11"/>
      <c r="F7114" s="320"/>
      <c r="G7114" s="346"/>
      <c r="H7114" s="3"/>
    </row>
    <row r="7115" ht="13.65" customHeight="1">
      <c r="A7115" s="13"/>
      <c r="B7115" s="13"/>
      <c r="C7115" s="13"/>
      <c r="D7115" s="14"/>
      <c r="E7115" s="13"/>
      <c r="F7115" s="13"/>
      <c r="G7115" t="s" s="14">
        <v>92</v>
      </c>
      <c r="H7115" s="15"/>
    </row>
    <row r="7116" ht="13.65" customHeight="1">
      <c r="A7116" t="s" s="16">
        <v>93</v>
      </c>
      <c r="B7116" t="s" s="16">
        <v>94</v>
      </c>
      <c r="C7116" t="s" s="16">
        <v>95</v>
      </c>
      <c r="D7116" t="s" s="16">
        <v>96</v>
      </c>
      <c r="E7116" t="s" s="16">
        <v>97</v>
      </c>
      <c r="F7116" t="s" s="16">
        <v>98</v>
      </c>
      <c r="G7116" t="s" s="16">
        <v>99</v>
      </c>
      <c r="H7116" s="15"/>
    </row>
    <row r="7117" ht="13.65" customHeight="1">
      <c r="A7117" s="19"/>
      <c r="B7117" s="19"/>
      <c r="C7117" s="19"/>
      <c r="D7117" s="20"/>
      <c r="E7117" s="19"/>
      <c r="F7117" s="19"/>
      <c r="G7117" t="s" s="20">
        <v>100</v>
      </c>
      <c r="H7117" s="15"/>
    </row>
    <row r="7118" ht="13.65" customHeight="1">
      <c r="A7118" s="21">
        <v>166</v>
      </c>
      <c r="B7118" t="s" s="22">
        <v>477</v>
      </c>
      <c r="C7118" s="323">
        <v>500</v>
      </c>
      <c r="D7118" t="s" s="165">
        <v>663</v>
      </c>
      <c r="E7118" s="179">
        <v>29.73</v>
      </c>
      <c r="F7118" s="23">
        <v>12.5</v>
      </c>
      <c r="G7118" s="322" cm="1">
        <f t="array" ref="G7118">E7118/F7118</f>
        <v>2.3784</v>
      </c>
      <c r="H7118" s="15"/>
    </row>
    <row r="7119" ht="13.65" customHeight="1">
      <c r="A7119" s="21">
        <v>161</v>
      </c>
      <c r="B7119" t="s" s="22">
        <v>948</v>
      </c>
      <c r="C7119" s="323">
        <v>10</v>
      </c>
      <c r="D7119" t="s" s="165">
        <v>104</v>
      </c>
      <c r="E7119" s="179">
        <v>24.8</v>
      </c>
      <c r="F7119" s="23">
        <v>10</v>
      </c>
      <c r="G7119" s="322" cm="1">
        <f t="array" ref="G7119">E7119/F7119</f>
        <v>2.48</v>
      </c>
      <c r="H7119" s="15"/>
    </row>
    <row r="7120" ht="13.65" customHeight="1">
      <c r="A7120" s="21">
        <v>27</v>
      </c>
      <c r="B7120" t="s" s="22">
        <v>474</v>
      </c>
      <c r="C7120" s="323">
        <v>18</v>
      </c>
      <c r="D7120" t="s" s="165">
        <v>102</v>
      </c>
      <c r="E7120" s="179">
        <v>6.5</v>
      </c>
      <c r="F7120" s="23">
        <v>9</v>
      </c>
      <c r="G7120" s="322" cm="1">
        <f t="array" ref="G7120">E7120/F7120</f>
        <v>0.722222222222222</v>
      </c>
      <c r="H7120" s="15"/>
    </row>
    <row r="7121" ht="13.65" customHeight="1">
      <c r="A7121" s="21">
        <v>145</v>
      </c>
      <c r="B7121" t="s" s="22">
        <v>897</v>
      </c>
      <c r="C7121" s="323">
        <v>50</v>
      </c>
      <c r="D7121" t="s" s="165">
        <v>104</v>
      </c>
      <c r="E7121" s="179">
        <v>100</v>
      </c>
      <c r="F7121" s="23">
        <v>50</v>
      </c>
      <c r="G7121" s="322" cm="1">
        <f t="array" ref="G7121">E7121/F7121</f>
        <v>2</v>
      </c>
      <c r="H7121" s="15"/>
    </row>
    <row r="7122" ht="13.65" customHeight="1">
      <c r="A7122" s="21">
        <v>55</v>
      </c>
      <c r="B7122" t="s" s="22">
        <v>111</v>
      </c>
      <c r="C7122" t="s" s="165">
        <v>112</v>
      </c>
      <c r="D7122" t="s" s="165">
        <v>964</v>
      </c>
      <c r="E7122" s="179">
        <v>2.71</v>
      </c>
      <c r="F7122" s="23">
        <v>12.5</v>
      </c>
      <c r="G7122" s="322" cm="1">
        <f t="array" ref="G7122">E7122/F7122</f>
        <v>0.2168</v>
      </c>
      <c r="H7122" s="15"/>
    </row>
    <row r="7123" ht="13.65" customHeight="1">
      <c r="A7123" s="21">
        <v>57</v>
      </c>
      <c r="B7123" t="s" s="22">
        <v>253</v>
      </c>
      <c r="C7123" t="s" s="165">
        <v>254</v>
      </c>
      <c r="D7123" t="s" s="165">
        <v>255</v>
      </c>
      <c r="E7123" s="179">
        <v>4.5</v>
      </c>
      <c r="F7123" s="23">
        <v>200</v>
      </c>
      <c r="G7123" s="322" cm="1">
        <f t="array" ref="G7123">E7123/F7123</f>
        <v>0.0225</v>
      </c>
      <c r="H7123" s="15"/>
    </row>
    <row r="7124" ht="13.65" customHeight="1">
      <c r="A7124" s="21">
        <v>168</v>
      </c>
      <c r="B7124" t="s" s="22">
        <v>992</v>
      </c>
      <c r="C7124" s="323">
        <v>1</v>
      </c>
      <c r="D7124" t="s" s="165">
        <v>985</v>
      </c>
      <c r="E7124" s="179">
        <v>90</v>
      </c>
      <c r="F7124" s="23">
        <v>50</v>
      </c>
      <c r="G7124" s="322" cm="1">
        <f t="array" ref="G7124">E7124/F7124</f>
        <v>1.8</v>
      </c>
      <c r="H7124" s="15"/>
    </row>
    <row r="7125" ht="13.65" customHeight="1">
      <c r="A7125" s="21">
        <v>68</v>
      </c>
      <c r="B7125" t="s" s="22">
        <v>480</v>
      </c>
      <c r="C7125" s="323">
        <v>1000</v>
      </c>
      <c r="D7125" t="s" s="165">
        <v>936</v>
      </c>
      <c r="E7125" s="179">
        <v>16</v>
      </c>
      <c r="F7125" s="23">
        <v>10</v>
      </c>
      <c r="G7125" s="322" cm="1">
        <f t="array" ref="G7125">E7125/F7125</f>
        <v>1.6</v>
      </c>
      <c r="H7125" s="15"/>
    </row>
    <row r="7126" ht="13.65" customHeight="1">
      <c r="A7126" s="21">
        <v>71</v>
      </c>
      <c r="B7126" t="s" s="22">
        <v>109</v>
      </c>
      <c r="C7126" s="323">
        <v>10</v>
      </c>
      <c r="D7126" t="s" s="165">
        <v>405</v>
      </c>
      <c r="E7126" s="179">
        <v>5.92</v>
      </c>
      <c r="F7126" s="362">
        <v>1.66</v>
      </c>
      <c r="G7126" s="322" cm="1">
        <f t="array" ref="G7126">E7126/F7126</f>
        <v>3.56626506024096</v>
      </c>
      <c r="H7126" s="15"/>
    </row>
    <row r="7127" ht="13.65" customHeight="1">
      <c r="A7127" s="21">
        <v>72</v>
      </c>
      <c r="B7127" t="s" s="22">
        <v>101</v>
      </c>
      <c r="C7127" s="323">
        <v>50</v>
      </c>
      <c r="D7127" t="s" s="165">
        <v>405</v>
      </c>
      <c r="E7127" s="179">
        <v>1.93</v>
      </c>
      <c r="F7127" s="23">
        <v>8.33</v>
      </c>
      <c r="G7127" s="322" cm="1">
        <f t="array" ref="G7127">E7127/F7127</f>
        <v>0.231692677070828</v>
      </c>
      <c r="H7127" s="15"/>
    </row>
    <row r="7128" ht="13.65" customHeight="1">
      <c r="A7128" s="21">
        <v>86</v>
      </c>
      <c r="B7128" t="s" s="22">
        <v>107</v>
      </c>
      <c r="C7128" t="s" s="165">
        <v>108</v>
      </c>
      <c r="D7128" t="s" s="165">
        <v>405</v>
      </c>
      <c r="E7128" s="179">
        <v>0.32</v>
      </c>
      <c r="F7128" t="s" s="24">
        <v>967</v>
      </c>
      <c r="G7128" s="322" cm="1">
        <f t="array" ref="G7128">E7128*6</f>
        <v>1.92</v>
      </c>
      <c r="H7128" s="15"/>
    </row>
    <row r="7129" ht="13.65" customHeight="1">
      <c r="A7129" s="21">
        <v>149</v>
      </c>
      <c r="B7129" t="s" s="22">
        <v>906</v>
      </c>
      <c r="C7129" s="323">
        <v>100</v>
      </c>
      <c r="D7129" t="s" s="165">
        <v>104</v>
      </c>
      <c r="E7129" s="179">
        <v>9.6</v>
      </c>
      <c r="F7129" s="23">
        <v>100</v>
      </c>
      <c r="G7129" s="322" cm="1">
        <f t="array" ref="G7129">E7129/F7129</f>
        <v>0.096</v>
      </c>
      <c r="H7129" s="15"/>
    </row>
    <row r="7130" ht="13.65" customHeight="1">
      <c r="A7130" s="21">
        <v>87</v>
      </c>
      <c r="B7130" t="s" s="22">
        <v>110</v>
      </c>
      <c r="C7130" s="323">
        <v>50</v>
      </c>
      <c r="D7130" t="s" s="165">
        <v>405</v>
      </c>
      <c r="E7130" s="179">
        <v>9</v>
      </c>
      <c r="F7130" s="23">
        <v>8.33</v>
      </c>
      <c r="G7130" s="322" cm="1">
        <f t="array" ref="G7130">E7130/F7130</f>
        <v>1.08043217286915</v>
      </c>
      <c r="H7130" s="15"/>
    </row>
    <row r="7131" ht="13.65" customHeight="1">
      <c r="A7131" s="21">
        <v>123</v>
      </c>
      <c r="B7131" t="s" s="22">
        <v>103</v>
      </c>
      <c r="C7131" s="323">
        <v>40</v>
      </c>
      <c r="D7131" t="s" s="165">
        <v>256</v>
      </c>
      <c r="E7131" s="179">
        <v>3.2</v>
      </c>
      <c r="F7131" s="23">
        <v>13.33</v>
      </c>
      <c r="G7131" s="322" cm="1">
        <f t="array" ref="G7131">E7131/F7131</f>
        <v>0.240060015003751</v>
      </c>
      <c r="H7131" s="15"/>
    </row>
    <row r="7132" ht="13.65" customHeight="1">
      <c r="A7132" s="28"/>
      <c r="B7132" t="s" s="22">
        <v>482</v>
      </c>
      <c r="C7132" s="323">
        <v>1</v>
      </c>
      <c r="D7132" t="s" s="165">
        <v>104</v>
      </c>
      <c r="E7132" s="179">
        <v>45</v>
      </c>
      <c r="F7132" s="23">
        <v>1</v>
      </c>
      <c r="G7132" s="322" cm="1">
        <f t="array" ref="G7132">E7132/F7132</f>
        <v>45</v>
      </c>
      <c r="H7132" s="15"/>
    </row>
    <row r="7133" ht="13.65" customHeight="1">
      <c r="A7133" s="28"/>
      <c r="B7133" s="28"/>
      <c r="C7133" s="141"/>
      <c r="D7133" s="165"/>
      <c r="E7133" s="28"/>
      <c r="F7133" t="s" s="24">
        <v>118</v>
      </c>
      <c r="G7133" s="322" cm="1">
        <f t="array" ref="G7133">SUM(G7132)</f>
        <v>45</v>
      </c>
      <c r="H7133" s="15"/>
    </row>
    <row r="7134" ht="13.65" customHeight="1">
      <c r="A7134" s="129"/>
      <c r="B7134" s="129"/>
      <c r="C7134" s="129"/>
      <c r="D7134" s="166"/>
      <c r="E7134" s="129"/>
      <c r="F7134" s="176"/>
      <c r="G7134" s="327"/>
      <c r="H7134" s="3"/>
    </row>
    <row r="7135" ht="11.7" customHeight="1">
      <c r="A7135" t="s" s="328">
        <v>136</v>
      </c>
      <c r="B7135" t="s" s="167">
        <v>913</v>
      </c>
      <c r="C7135" t="s" s="167">
        <v>914</v>
      </c>
      <c r="D7135" t="s" s="363">
        <v>1015</v>
      </c>
      <c r="E7135" s="330"/>
      <c r="F7135" s="350"/>
      <c r="G7135" s="171"/>
      <c r="H7135" s="356"/>
    </row>
    <row r="7136" ht="13.65" customHeight="1">
      <c r="A7136" s="21">
        <v>120</v>
      </c>
      <c r="B7136" s="172" cm="1">
        <f t="array" ref="B7136">SUM(H256)</f>
        <v>2.47496540404041</v>
      </c>
      <c r="C7136" s="172" cm="1">
        <f t="array" ref="C7136">SUM(G7133)</f>
        <v>45</v>
      </c>
      <c r="D7136" s="199" cm="1">
        <f t="array" ref="D7136">SUM(A7136*B7136)+(C7136)</f>
        <v>341.995848484849</v>
      </c>
      <c r="E7136" s="200"/>
      <c r="F7136" s="364"/>
      <c r="G7136" s="317"/>
      <c r="H7136" s="3"/>
    </row>
    <row r="7137" ht="13.65" customHeight="1">
      <c r="A7137" s="129"/>
      <c r="B7137" s="129"/>
      <c r="C7137" s="333"/>
      <c r="D7137" s="166"/>
      <c r="E7137" s="136"/>
      <c r="F7137" s="268"/>
      <c r="G7137" s="317"/>
      <c r="H7137" s="3"/>
    </row>
    <row r="7138" ht="13.65" customHeight="1">
      <c r="A7138" t="s" s="22">
        <v>969</v>
      </c>
      <c r="B7138" t="s" s="132">
        <v>1016</v>
      </c>
      <c r="C7138" s="131"/>
      <c r="D7138" t="s" s="165">
        <v>918</v>
      </c>
      <c r="E7138" s="15"/>
      <c r="F7138" s="317"/>
      <c r="G7138" s="332"/>
      <c r="H7138" s="3"/>
    </row>
    <row r="7139" ht="13.65" customHeight="1">
      <c r="A7139" t="s" s="22">
        <v>1017</v>
      </c>
      <c r="B7139" t="s" s="132">
        <v>1018</v>
      </c>
      <c r="C7139" s="131"/>
      <c r="D7139" t="s" s="165">
        <v>918</v>
      </c>
      <c r="E7139" s="15"/>
      <c r="F7139" s="317"/>
      <c r="G7139" s="332"/>
      <c r="H7139" s="3"/>
    </row>
    <row r="7140" ht="13.65" customHeight="1">
      <c r="A7140" t="s" s="22">
        <v>1019</v>
      </c>
      <c r="B7140" t="s" s="132">
        <v>1020</v>
      </c>
      <c r="C7140" s="131"/>
      <c r="D7140" t="s" s="165">
        <v>918</v>
      </c>
      <c r="E7140" s="15"/>
      <c r="F7140" s="317"/>
      <c r="G7140" s="332"/>
      <c r="H7140" s="3"/>
    </row>
    <row r="7141" ht="13.65" customHeight="1">
      <c r="A7141" s="28"/>
      <c r="B7141" s="164"/>
      <c r="C7141" t="s" s="334">
        <v>924</v>
      </c>
      <c r="D7141" t="s" s="335">
        <v>256</v>
      </c>
      <c r="E7141" s="15"/>
      <c r="F7141" s="317"/>
      <c r="G7141" s="332"/>
      <c r="H7141" s="3"/>
    </row>
    <row r="7142" ht="13.65" customHeight="1">
      <c r="A7142" s="31"/>
      <c r="B7142" s="31"/>
      <c r="C7142" s="31"/>
      <c r="D7142" s="32"/>
      <c r="E7142" s="3"/>
      <c r="F7142" s="317"/>
      <c r="G7142" s="332"/>
      <c r="H7142" s="3"/>
    </row>
    <row r="7143" ht="13.65" customHeight="1">
      <c r="A7143" t="s" s="5">
        <v>1021</v>
      </c>
      <c r="B7143" s="3"/>
      <c r="C7143" s="3"/>
      <c r="D7143" s="316"/>
      <c r="E7143" s="3"/>
      <c r="F7143" s="317"/>
      <c r="G7143" s="332"/>
      <c r="H7143" s="3"/>
    </row>
    <row r="7144" ht="13.65" customHeight="1">
      <c r="A7144" s="3"/>
      <c r="B7144" t="s" s="5">
        <v>1022</v>
      </c>
      <c r="C7144" s="3"/>
      <c r="D7144" s="316"/>
      <c r="E7144" s="3"/>
      <c r="F7144" s="317"/>
      <c r="G7144" s="332"/>
      <c r="H7144" s="3"/>
    </row>
    <row r="7145" ht="13.65" customHeight="1">
      <c r="A7145" s="3"/>
      <c r="B7145" s="3"/>
      <c r="C7145" s="3"/>
      <c r="D7145" s="316"/>
      <c r="E7145" s="3"/>
      <c r="F7145" s="317"/>
      <c r="G7145" s="332"/>
      <c r="H7145" s="3"/>
    </row>
    <row r="7146" ht="13.65" customHeight="1">
      <c r="A7146" s="203"/>
      <c r="B7146" s="203"/>
      <c r="C7146" s="203"/>
      <c r="D7146" s="349"/>
      <c r="E7146" s="203"/>
      <c r="F7146" s="340"/>
      <c r="G7146" s="341"/>
      <c r="H7146" s="203"/>
    </row>
    <row r="7147" ht="13.65" customHeight="1">
      <c r="A7147" t="s" s="274">
        <v>853</v>
      </c>
      <c r="B7147" s="275"/>
      <c r="C7147" s="275"/>
      <c r="D7147" s="342"/>
      <c r="E7147" s="275"/>
      <c r="F7147" s="311"/>
      <c r="G7147" s="343"/>
      <c r="H7147" s="277"/>
    </row>
    <row r="7148" ht="13.65" customHeight="1">
      <c r="A7148" s="278"/>
      <c r="B7148" s="278"/>
      <c r="C7148" s="278"/>
      <c r="D7148" s="344"/>
      <c r="E7148" s="278"/>
      <c r="F7148" s="314"/>
      <c r="G7148" s="345"/>
      <c r="H7148" s="278"/>
    </row>
    <row r="7149" ht="13.65" customHeight="1">
      <c r="A7149" s="3"/>
      <c r="B7149" s="3"/>
      <c r="C7149" s="3"/>
      <c r="D7149" s="316"/>
      <c r="E7149" s="3"/>
      <c r="F7149" s="317"/>
      <c r="G7149" s="332"/>
      <c r="H7149" s="3"/>
    </row>
    <row r="7150" ht="13.65" customHeight="1">
      <c r="A7150" t="s" s="5">
        <v>1030</v>
      </c>
      <c r="B7150" s="3"/>
      <c r="C7150" s="3"/>
      <c r="D7150" s="316"/>
      <c r="E7150" s="3"/>
      <c r="F7150" s="317"/>
      <c r="G7150" s="332"/>
      <c r="H7150" s="3"/>
    </row>
    <row r="7151" ht="13.65" customHeight="1">
      <c r="A7151" s="11"/>
      <c r="B7151" s="11"/>
      <c r="C7151" s="11"/>
      <c r="D7151" s="319"/>
      <c r="E7151" s="11"/>
      <c r="F7151" s="320"/>
      <c r="G7151" s="346"/>
      <c r="H7151" s="3"/>
    </row>
    <row r="7152" ht="13.65" customHeight="1">
      <c r="A7152" s="13"/>
      <c r="B7152" s="13"/>
      <c r="C7152" s="13"/>
      <c r="D7152" s="14"/>
      <c r="E7152" s="13"/>
      <c r="F7152" s="13"/>
      <c r="G7152" t="s" s="14">
        <v>92</v>
      </c>
      <c r="H7152" s="15"/>
    </row>
    <row r="7153" ht="13.65" customHeight="1">
      <c r="A7153" t="s" s="16">
        <v>93</v>
      </c>
      <c r="B7153" t="s" s="16">
        <v>94</v>
      </c>
      <c r="C7153" t="s" s="16">
        <v>95</v>
      </c>
      <c r="D7153" t="s" s="16">
        <v>96</v>
      </c>
      <c r="E7153" t="s" s="16">
        <v>97</v>
      </c>
      <c r="F7153" t="s" s="16">
        <v>98</v>
      </c>
      <c r="G7153" t="s" s="16">
        <v>99</v>
      </c>
      <c r="H7153" s="15"/>
    </row>
    <row r="7154" ht="13.65" customHeight="1">
      <c r="A7154" s="19"/>
      <c r="B7154" s="19"/>
      <c r="C7154" s="19"/>
      <c r="D7154" s="20"/>
      <c r="E7154" s="19"/>
      <c r="F7154" s="19"/>
      <c r="G7154" t="s" s="20">
        <v>100</v>
      </c>
      <c r="H7154" s="15"/>
    </row>
    <row r="7155" ht="13.65" customHeight="1">
      <c r="A7155" s="21">
        <v>166</v>
      </c>
      <c r="B7155" t="s" s="22">
        <v>477</v>
      </c>
      <c r="C7155" s="323">
        <v>500</v>
      </c>
      <c r="D7155" t="s" s="165">
        <v>663</v>
      </c>
      <c r="E7155" s="179">
        <v>29.73</v>
      </c>
      <c r="F7155" s="23">
        <v>12.5</v>
      </c>
      <c r="G7155" s="322" cm="1">
        <f t="array" ref="G7155">E7155/F7155</f>
        <v>2.3784</v>
      </c>
      <c r="H7155" s="15"/>
    </row>
    <row r="7156" ht="13.65" customHeight="1">
      <c r="A7156" s="21">
        <v>161</v>
      </c>
      <c r="B7156" t="s" s="22">
        <v>1014</v>
      </c>
      <c r="C7156" s="323">
        <v>10</v>
      </c>
      <c r="D7156" t="s" s="165">
        <v>104</v>
      </c>
      <c r="E7156" s="179">
        <v>24.8</v>
      </c>
      <c r="F7156" s="23">
        <v>10</v>
      </c>
      <c r="G7156" s="322" cm="1">
        <f t="array" ref="G7156">E7156/F7156</f>
        <v>2.48</v>
      </c>
      <c r="H7156" s="15"/>
    </row>
    <row r="7157" ht="13.65" customHeight="1">
      <c r="A7157" s="21">
        <v>27</v>
      </c>
      <c r="B7157" t="s" s="22">
        <v>474</v>
      </c>
      <c r="C7157" s="323">
        <v>18</v>
      </c>
      <c r="D7157" t="s" s="165">
        <v>102</v>
      </c>
      <c r="E7157" s="179">
        <v>6.5</v>
      </c>
      <c r="F7157" s="23">
        <v>9</v>
      </c>
      <c r="G7157" s="322" cm="1">
        <f t="array" ref="G7157">E7157/F7157</f>
        <v>0.722222222222222</v>
      </c>
      <c r="H7157" s="15"/>
    </row>
    <row r="7158" ht="13.65" customHeight="1">
      <c r="A7158" s="21">
        <v>145</v>
      </c>
      <c r="B7158" t="s" s="22">
        <v>897</v>
      </c>
      <c r="C7158" s="323">
        <v>50</v>
      </c>
      <c r="D7158" t="s" s="165">
        <v>104</v>
      </c>
      <c r="E7158" s="179">
        <v>100</v>
      </c>
      <c r="F7158" s="23">
        <v>50</v>
      </c>
      <c r="G7158" s="322" cm="1">
        <f t="array" ref="G7158">E7158/F7158</f>
        <v>2</v>
      </c>
      <c r="H7158" s="15"/>
    </row>
    <row r="7159" ht="13.65" customHeight="1">
      <c r="A7159" s="21">
        <v>55</v>
      </c>
      <c r="B7159" t="s" s="22">
        <v>111</v>
      </c>
      <c r="C7159" t="s" s="165">
        <v>112</v>
      </c>
      <c r="D7159" t="s" s="165">
        <v>964</v>
      </c>
      <c r="E7159" s="179">
        <v>2.71</v>
      </c>
      <c r="F7159" s="23">
        <v>12.5</v>
      </c>
      <c r="G7159" s="322" cm="1">
        <f t="array" ref="G7159">E7159/F7159</f>
        <v>0.2168</v>
      </c>
      <c r="H7159" s="15"/>
    </row>
    <row r="7160" ht="13.65" customHeight="1">
      <c r="A7160" s="21">
        <v>57</v>
      </c>
      <c r="B7160" t="s" s="22">
        <v>253</v>
      </c>
      <c r="C7160" t="s" s="165">
        <v>254</v>
      </c>
      <c r="D7160" t="s" s="165">
        <v>255</v>
      </c>
      <c r="E7160" s="179">
        <v>4.5</v>
      </c>
      <c r="F7160" s="23">
        <v>200</v>
      </c>
      <c r="G7160" s="322" cm="1">
        <f t="array" ref="G7160">E7160/F7160</f>
        <v>0.0225</v>
      </c>
      <c r="H7160" s="15"/>
    </row>
    <row r="7161" ht="13.65" customHeight="1">
      <c r="A7161" s="21">
        <v>168</v>
      </c>
      <c r="B7161" t="s" s="22">
        <v>992</v>
      </c>
      <c r="C7161" s="323">
        <v>1</v>
      </c>
      <c r="D7161" t="s" s="165">
        <v>985</v>
      </c>
      <c r="E7161" s="179">
        <v>90</v>
      </c>
      <c r="F7161" s="23">
        <v>50</v>
      </c>
      <c r="G7161" s="322" cm="1">
        <f t="array" ref="G7161">E7161/F7161</f>
        <v>1.8</v>
      </c>
      <c r="H7161" s="15"/>
    </row>
    <row r="7162" ht="13.65" customHeight="1">
      <c r="A7162" s="21">
        <v>68</v>
      </c>
      <c r="B7162" t="s" s="22">
        <v>480</v>
      </c>
      <c r="C7162" s="323">
        <v>1000</v>
      </c>
      <c r="D7162" t="s" s="165">
        <v>936</v>
      </c>
      <c r="E7162" s="179">
        <v>16</v>
      </c>
      <c r="F7162" s="23">
        <v>10</v>
      </c>
      <c r="G7162" s="322" cm="1">
        <f t="array" ref="G7162">E7162/F7162</f>
        <v>1.6</v>
      </c>
      <c r="H7162" s="15"/>
    </row>
    <row r="7163" ht="13.65" customHeight="1">
      <c r="A7163" s="21">
        <v>71</v>
      </c>
      <c r="B7163" t="s" s="22">
        <v>109</v>
      </c>
      <c r="C7163" s="323">
        <v>10</v>
      </c>
      <c r="D7163" t="s" s="165">
        <v>405</v>
      </c>
      <c r="E7163" s="179">
        <v>5.92</v>
      </c>
      <c r="F7163" s="362">
        <v>1.66</v>
      </c>
      <c r="G7163" s="322" cm="1">
        <f t="array" ref="G7163">E7163/F7163</f>
        <v>3.56626506024096</v>
      </c>
      <c r="H7163" s="15"/>
    </row>
    <row r="7164" ht="13.65" customHeight="1">
      <c r="A7164" s="21">
        <v>72</v>
      </c>
      <c r="B7164" t="s" s="22">
        <v>101</v>
      </c>
      <c r="C7164" s="323">
        <v>50</v>
      </c>
      <c r="D7164" t="s" s="165">
        <v>405</v>
      </c>
      <c r="E7164" s="179">
        <v>1.93</v>
      </c>
      <c r="F7164" s="23">
        <v>8.33</v>
      </c>
      <c r="G7164" s="322" cm="1">
        <f t="array" ref="G7164">E7164/F7164</f>
        <v>0.231692677070828</v>
      </c>
      <c r="H7164" s="15"/>
    </row>
    <row r="7165" ht="13.65" customHeight="1">
      <c r="A7165" s="21">
        <v>86</v>
      </c>
      <c r="B7165" t="s" s="22">
        <v>1027</v>
      </c>
      <c r="C7165" t="s" s="165">
        <v>108</v>
      </c>
      <c r="D7165" t="s" s="165">
        <v>405</v>
      </c>
      <c r="E7165" s="179">
        <v>0.32</v>
      </c>
      <c r="F7165" t="s" s="24">
        <v>967</v>
      </c>
      <c r="G7165" s="322" cm="1">
        <f t="array" ref="G7165">E7165*6</f>
        <v>1.92</v>
      </c>
      <c r="H7165" s="15"/>
    </row>
    <row r="7166" ht="13.65" customHeight="1">
      <c r="A7166" s="21">
        <v>149</v>
      </c>
      <c r="B7166" t="s" s="22">
        <v>906</v>
      </c>
      <c r="C7166" s="323">
        <v>100</v>
      </c>
      <c r="D7166" t="s" s="165">
        <v>104</v>
      </c>
      <c r="E7166" s="179">
        <v>9.6</v>
      </c>
      <c r="F7166" s="23">
        <v>100</v>
      </c>
      <c r="G7166" s="322" cm="1">
        <f t="array" ref="G7166">E7166/F7166</f>
        <v>0.096</v>
      </c>
      <c r="H7166" s="15"/>
    </row>
    <row r="7167" ht="13.65" customHeight="1">
      <c r="A7167" s="21">
        <v>87</v>
      </c>
      <c r="B7167" t="s" s="22">
        <v>110</v>
      </c>
      <c r="C7167" s="323">
        <v>50</v>
      </c>
      <c r="D7167" t="s" s="165">
        <v>405</v>
      </c>
      <c r="E7167" s="179">
        <v>9</v>
      </c>
      <c r="F7167" s="23">
        <v>8.33</v>
      </c>
      <c r="G7167" s="322" cm="1">
        <f t="array" ref="G7167">E7167/F7167</f>
        <v>1.08043217286915</v>
      </c>
      <c r="H7167" s="15"/>
    </row>
    <row r="7168" ht="13.65" customHeight="1">
      <c r="A7168" s="21">
        <v>123</v>
      </c>
      <c r="B7168" t="s" s="22">
        <v>103</v>
      </c>
      <c r="C7168" s="323">
        <v>40</v>
      </c>
      <c r="D7168" t="s" s="165">
        <v>256</v>
      </c>
      <c r="E7168" s="179">
        <v>3.2</v>
      </c>
      <c r="F7168" s="23">
        <v>13.33</v>
      </c>
      <c r="G7168" s="322" cm="1">
        <f t="array" ref="G7168">E7168/F7168</f>
        <v>0.240060015003751</v>
      </c>
      <c r="H7168" s="15"/>
    </row>
    <row r="7169" ht="13.65" customHeight="1">
      <c r="A7169" s="28"/>
      <c r="B7169" t="s" s="22">
        <v>482</v>
      </c>
      <c r="C7169" s="323">
        <v>1</v>
      </c>
      <c r="D7169" t="s" s="165">
        <v>104</v>
      </c>
      <c r="E7169" s="179">
        <v>50</v>
      </c>
      <c r="F7169" s="23">
        <v>1</v>
      </c>
      <c r="G7169" s="322" cm="1">
        <f t="array" ref="G7169">E7169/F7169</f>
        <v>50</v>
      </c>
      <c r="H7169" s="15"/>
    </row>
    <row r="7170" ht="13.65" customHeight="1">
      <c r="A7170" s="28"/>
      <c r="B7170" s="28"/>
      <c r="C7170" s="141"/>
      <c r="D7170" s="165"/>
      <c r="E7170" s="28"/>
      <c r="F7170" t="s" s="24">
        <v>118</v>
      </c>
      <c r="G7170" s="322" cm="1">
        <f t="array" ref="G7170">SUM(G7155:G7169)</f>
        <v>68.35437214740691</v>
      </c>
      <c r="H7170" s="15"/>
    </row>
    <row r="7171" ht="13.65" customHeight="1">
      <c r="A7171" s="129"/>
      <c r="B7171" s="129"/>
      <c r="C7171" s="129"/>
      <c r="D7171" s="166"/>
      <c r="E7171" s="129"/>
      <c r="F7171" s="176"/>
      <c r="G7171" s="327"/>
      <c r="H7171" s="3"/>
    </row>
    <row r="7172" ht="11.7" customHeight="1">
      <c r="A7172" t="s" s="328">
        <v>136</v>
      </c>
      <c r="B7172" t="s" s="167">
        <v>913</v>
      </c>
      <c r="C7172" t="s" s="167">
        <v>914</v>
      </c>
      <c r="D7172" t="s" s="363">
        <v>1015</v>
      </c>
      <c r="E7172" s="330"/>
      <c r="F7172" s="350"/>
      <c r="G7172" s="171"/>
      <c r="H7172" s="356"/>
    </row>
    <row r="7173" ht="13.65" customHeight="1">
      <c r="A7173" s="21">
        <v>120</v>
      </c>
      <c r="B7173" s="172" cm="1">
        <f t="array" ref="B7173">SUM(H256)</f>
        <v>2.47496540404041</v>
      </c>
      <c r="C7173" s="172" cm="1">
        <f t="array" ref="C7173">SUM(G7170)</f>
        <v>68.35437214740691</v>
      </c>
      <c r="D7173" s="199" cm="1">
        <f t="array" ref="D7173">SUM(A7173*B7173)+(C7173)</f>
        <v>365.350220632256</v>
      </c>
      <c r="E7173" s="200"/>
      <c r="F7173" s="364"/>
      <c r="G7173" s="317"/>
      <c r="H7173" s="3"/>
    </row>
    <row r="7174" ht="13.65" customHeight="1">
      <c r="A7174" s="129"/>
      <c r="B7174" s="129"/>
      <c r="C7174" s="333"/>
      <c r="D7174" s="166"/>
      <c r="E7174" s="136"/>
      <c r="F7174" s="268"/>
      <c r="G7174" s="317"/>
      <c r="H7174" s="3"/>
    </row>
    <row r="7175" ht="13.65" customHeight="1">
      <c r="A7175" t="s" s="22">
        <v>969</v>
      </c>
      <c r="B7175" t="s" s="132">
        <v>1016</v>
      </c>
      <c r="C7175" s="131"/>
      <c r="D7175" t="s" s="165">
        <v>918</v>
      </c>
      <c r="E7175" s="15"/>
      <c r="F7175" s="317"/>
      <c r="G7175" s="332"/>
      <c r="H7175" s="3"/>
    </row>
    <row r="7176" ht="13.65" customHeight="1">
      <c r="A7176" t="s" s="22">
        <v>1017</v>
      </c>
      <c r="B7176" t="s" s="132">
        <v>1018</v>
      </c>
      <c r="C7176" s="131"/>
      <c r="D7176" t="s" s="165">
        <v>918</v>
      </c>
      <c r="E7176" s="15"/>
      <c r="F7176" s="317"/>
      <c r="G7176" s="332"/>
      <c r="H7176" s="3"/>
    </row>
    <row r="7177" ht="13.65" customHeight="1">
      <c r="A7177" t="s" s="22">
        <v>1019</v>
      </c>
      <c r="B7177" t="s" s="132">
        <v>1020</v>
      </c>
      <c r="C7177" s="131"/>
      <c r="D7177" t="s" s="165">
        <v>918</v>
      </c>
      <c r="E7177" s="15"/>
      <c r="F7177" s="317"/>
      <c r="G7177" s="332"/>
      <c r="H7177" s="3"/>
    </row>
    <row r="7178" ht="13.65" customHeight="1">
      <c r="A7178" s="28"/>
      <c r="B7178" s="164"/>
      <c r="C7178" t="s" s="334">
        <v>924</v>
      </c>
      <c r="D7178" t="s" s="335">
        <v>256</v>
      </c>
      <c r="E7178" s="15"/>
      <c r="F7178" s="317"/>
      <c r="G7178" s="332"/>
      <c r="H7178" s="3"/>
    </row>
    <row r="7179" ht="13.65" customHeight="1">
      <c r="A7179" s="31"/>
      <c r="B7179" s="31"/>
      <c r="C7179" s="31"/>
      <c r="D7179" s="32"/>
      <c r="E7179" s="3"/>
      <c r="F7179" s="317"/>
      <c r="G7179" s="332"/>
      <c r="H7179" s="3"/>
    </row>
    <row r="7180" ht="13.65" customHeight="1">
      <c r="A7180" t="s" s="5">
        <v>1021</v>
      </c>
      <c r="B7180" s="3"/>
      <c r="C7180" s="3"/>
      <c r="D7180" s="316"/>
      <c r="E7180" s="3"/>
      <c r="F7180" s="317"/>
      <c r="G7180" s="332"/>
      <c r="H7180" s="3"/>
    </row>
    <row r="7181" ht="13.65" customHeight="1">
      <c r="A7181" s="3"/>
      <c r="B7181" t="s" s="5">
        <v>1022</v>
      </c>
      <c r="C7181" s="3"/>
      <c r="D7181" s="316"/>
      <c r="E7181" s="3"/>
      <c r="F7181" s="317"/>
      <c r="G7181" s="332"/>
      <c r="H7181" s="3"/>
    </row>
    <row r="7182" ht="13.65" customHeight="1">
      <c r="A7182" s="3"/>
      <c r="B7182" s="3"/>
      <c r="C7182" s="3"/>
      <c r="D7182" s="316"/>
      <c r="E7182" s="3"/>
      <c r="F7182" s="317"/>
      <c r="G7182" s="332"/>
      <c r="H7182" s="3"/>
    </row>
    <row r="7183" ht="13.65" customHeight="1">
      <c r="A7183" s="203"/>
      <c r="B7183" s="203"/>
      <c r="C7183" s="203"/>
      <c r="D7183" s="349"/>
      <c r="E7183" s="203"/>
      <c r="F7183" s="340"/>
      <c r="G7183" s="341"/>
      <c r="H7183" s="203"/>
    </row>
    <row r="7184" ht="13.65" customHeight="1">
      <c r="A7184" t="s" s="274">
        <v>853</v>
      </c>
      <c r="B7184" s="275"/>
      <c r="C7184" s="275"/>
      <c r="D7184" s="342"/>
      <c r="E7184" s="275"/>
      <c r="F7184" s="311"/>
      <c r="G7184" s="343"/>
      <c r="H7184" s="277"/>
    </row>
    <row r="7185" ht="13.65" customHeight="1">
      <c r="A7185" s="278"/>
      <c r="B7185" s="278"/>
      <c r="C7185" s="278"/>
      <c r="D7185" s="344"/>
      <c r="E7185" s="278"/>
      <c r="F7185" s="314"/>
      <c r="G7185" s="345"/>
      <c r="H7185" s="278"/>
    </row>
    <row r="7186" ht="13.65" customHeight="1">
      <c r="A7186" s="3"/>
      <c r="B7186" s="3"/>
      <c r="C7186" s="3"/>
      <c r="D7186" s="316"/>
      <c r="E7186" s="3"/>
      <c r="F7186" s="317"/>
      <c r="G7186" s="332"/>
      <c r="H7186" s="3"/>
    </row>
    <row r="7187" ht="13.65" customHeight="1">
      <c r="A7187" t="s" s="5">
        <v>1031</v>
      </c>
      <c r="B7187" s="3"/>
      <c r="C7187" s="3"/>
      <c r="D7187" s="316"/>
      <c r="E7187" s="3"/>
      <c r="F7187" s="317"/>
      <c r="G7187" s="332"/>
      <c r="H7187" s="3"/>
    </row>
    <row r="7188" ht="13.65" customHeight="1">
      <c r="A7188" s="11"/>
      <c r="B7188" s="11"/>
      <c r="C7188" s="11"/>
      <c r="D7188" s="319"/>
      <c r="E7188" s="11"/>
      <c r="F7188" s="320"/>
      <c r="G7188" s="346"/>
      <c r="H7188" s="3"/>
    </row>
    <row r="7189" ht="13.65" customHeight="1">
      <c r="A7189" s="13"/>
      <c r="B7189" s="13"/>
      <c r="C7189" s="13"/>
      <c r="D7189" s="14"/>
      <c r="E7189" s="13"/>
      <c r="F7189" s="13"/>
      <c r="G7189" t="s" s="14">
        <v>92</v>
      </c>
      <c r="H7189" s="15"/>
    </row>
    <row r="7190" ht="13.65" customHeight="1">
      <c r="A7190" t="s" s="16">
        <v>93</v>
      </c>
      <c r="B7190" t="s" s="16">
        <v>94</v>
      </c>
      <c r="C7190" t="s" s="16">
        <v>95</v>
      </c>
      <c r="D7190" t="s" s="16">
        <v>96</v>
      </c>
      <c r="E7190" t="s" s="16">
        <v>97</v>
      </c>
      <c r="F7190" t="s" s="16">
        <v>98</v>
      </c>
      <c r="G7190" t="s" s="16">
        <v>99</v>
      </c>
      <c r="H7190" s="15"/>
    </row>
    <row r="7191" ht="13.65" customHeight="1">
      <c r="A7191" s="19"/>
      <c r="B7191" s="19"/>
      <c r="C7191" s="19"/>
      <c r="D7191" s="20"/>
      <c r="E7191" s="19"/>
      <c r="F7191" s="19"/>
      <c r="G7191" t="s" s="20">
        <v>100</v>
      </c>
      <c r="H7191" s="15"/>
    </row>
    <row r="7192" ht="13.65" customHeight="1">
      <c r="A7192" s="21">
        <v>166</v>
      </c>
      <c r="B7192" t="s" s="22">
        <v>477</v>
      </c>
      <c r="C7192" s="323">
        <v>500</v>
      </c>
      <c r="D7192" t="s" s="165">
        <v>663</v>
      </c>
      <c r="E7192" s="179">
        <v>29.73</v>
      </c>
      <c r="F7192" s="23">
        <v>12.5</v>
      </c>
      <c r="G7192" s="322" cm="1">
        <f t="array" ref="G7192">E7192/F7192</f>
        <v>2.3784</v>
      </c>
      <c r="H7192" s="15"/>
    </row>
    <row r="7193" ht="13.65" customHeight="1">
      <c r="A7193" s="21">
        <v>161</v>
      </c>
      <c r="B7193" t="s" s="22">
        <v>1014</v>
      </c>
      <c r="C7193" s="323">
        <v>10</v>
      </c>
      <c r="D7193" t="s" s="165">
        <v>104</v>
      </c>
      <c r="E7193" s="179">
        <v>24.8</v>
      </c>
      <c r="F7193" s="23">
        <v>10</v>
      </c>
      <c r="G7193" s="322" cm="1">
        <f t="array" ref="G7193">E7193/F7193</f>
        <v>2.48</v>
      </c>
      <c r="H7193" s="15"/>
    </row>
    <row r="7194" ht="13.65" customHeight="1">
      <c r="A7194" s="21">
        <v>27</v>
      </c>
      <c r="B7194" t="s" s="22">
        <v>474</v>
      </c>
      <c r="C7194" s="323">
        <v>18</v>
      </c>
      <c r="D7194" t="s" s="165">
        <v>102</v>
      </c>
      <c r="E7194" s="179">
        <v>6.5</v>
      </c>
      <c r="F7194" s="23">
        <v>9</v>
      </c>
      <c r="G7194" s="322" cm="1">
        <f t="array" ref="G7194">E7194/F7194</f>
        <v>0.722222222222222</v>
      </c>
      <c r="H7194" s="15"/>
    </row>
    <row r="7195" ht="13.65" customHeight="1">
      <c r="A7195" s="21">
        <v>145</v>
      </c>
      <c r="B7195" t="s" s="22">
        <v>897</v>
      </c>
      <c r="C7195" s="323">
        <v>50</v>
      </c>
      <c r="D7195" t="s" s="165">
        <v>104</v>
      </c>
      <c r="E7195" s="179">
        <v>100</v>
      </c>
      <c r="F7195" s="23">
        <v>50</v>
      </c>
      <c r="G7195" s="322" cm="1">
        <f t="array" ref="G7195">E7195/F7195</f>
        <v>2</v>
      </c>
      <c r="H7195" s="15"/>
    </row>
    <row r="7196" ht="13.65" customHeight="1">
      <c r="A7196" s="21">
        <v>55</v>
      </c>
      <c r="B7196" t="s" s="22">
        <v>111</v>
      </c>
      <c r="C7196" t="s" s="165">
        <v>112</v>
      </c>
      <c r="D7196" t="s" s="165">
        <v>964</v>
      </c>
      <c r="E7196" s="179">
        <v>2.71</v>
      </c>
      <c r="F7196" s="23">
        <v>12.5</v>
      </c>
      <c r="G7196" s="322" cm="1">
        <f t="array" ref="G7196">E7196/F7196</f>
        <v>0.2168</v>
      </c>
      <c r="H7196" s="15"/>
    </row>
    <row r="7197" ht="13.65" customHeight="1">
      <c r="A7197" s="21">
        <v>57</v>
      </c>
      <c r="B7197" t="s" s="22">
        <v>253</v>
      </c>
      <c r="C7197" t="s" s="165">
        <v>254</v>
      </c>
      <c r="D7197" t="s" s="165">
        <v>255</v>
      </c>
      <c r="E7197" s="179">
        <v>4.5</v>
      </c>
      <c r="F7197" s="23">
        <v>200</v>
      </c>
      <c r="G7197" s="322" cm="1">
        <f t="array" ref="G7197">E7197/F7197</f>
        <v>0.0225</v>
      </c>
      <c r="H7197" s="15"/>
    </row>
    <row r="7198" ht="13.65" customHeight="1">
      <c r="A7198" s="21">
        <v>168</v>
      </c>
      <c r="B7198" t="s" s="22">
        <v>992</v>
      </c>
      <c r="C7198" s="323">
        <v>1</v>
      </c>
      <c r="D7198" t="s" s="165">
        <v>985</v>
      </c>
      <c r="E7198" s="179">
        <v>90</v>
      </c>
      <c r="F7198" s="23">
        <v>50</v>
      </c>
      <c r="G7198" s="322" cm="1">
        <f t="array" ref="G7198">E7198/F7198</f>
        <v>1.8</v>
      </c>
      <c r="H7198" s="15"/>
    </row>
    <row r="7199" ht="13.65" customHeight="1">
      <c r="A7199" s="21">
        <v>68</v>
      </c>
      <c r="B7199" t="s" s="22">
        <v>480</v>
      </c>
      <c r="C7199" s="323">
        <v>1000</v>
      </c>
      <c r="D7199" t="s" s="165">
        <v>936</v>
      </c>
      <c r="E7199" s="179">
        <v>16</v>
      </c>
      <c r="F7199" s="23">
        <v>10</v>
      </c>
      <c r="G7199" s="322" cm="1">
        <f t="array" ref="G7199">E7199/F7199</f>
        <v>1.6</v>
      </c>
      <c r="H7199" s="15"/>
    </row>
    <row r="7200" ht="13.65" customHeight="1">
      <c r="A7200" s="21">
        <v>71</v>
      </c>
      <c r="B7200" t="s" s="22">
        <v>109</v>
      </c>
      <c r="C7200" s="323">
        <v>10</v>
      </c>
      <c r="D7200" t="s" s="165">
        <v>405</v>
      </c>
      <c r="E7200" s="179">
        <v>5.92</v>
      </c>
      <c r="F7200" s="362">
        <v>1.66</v>
      </c>
      <c r="G7200" s="322" cm="1">
        <f t="array" ref="G7200">E7200/F7200</f>
        <v>3.56626506024096</v>
      </c>
      <c r="H7200" s="15"/>
    </row>
    <row r="7201" ht="13.65" customHeight="1">
      <c r="A7201" s="21">
        <v>72</v>
      </c>
      <c r="B7201" t="s" s="22">
        <v>101</v>
      </c>
      <c r="C7201" s="323">
        <v>50</v>
      </c>
      <c r="D7201" t="s" s="165">
        <v>405</v>
      </c>
      <c r="E7201" s="179">
        <v>1.93</v>
      </c>
      <c r="F7201" s="23">
        <v>8.33</v>
      </c>
      <c r="G7201" s="322" cm="1">
        <f t="array" ref="G7201">E7201/F7201</f>
        <v>0.231692677070828</v>
      </c>
      <c r="H7201" s="15"/>
    </row>
    <row r="7202" ht="13.65" customHeight="1">
      <c r="A7202" s="21">
        <v>86</v>
      </c>
      <c r="B7202" t="s" s="22">
        <v>107</v>
      </c>
      <c r="C7202" t="s" s="165">
        <v>108</v>
      </c>
      <c r="D7202" t="s" s="165">
        <v>405</v>
      </c>
      <c r="E7202" s="179">
        <v>0.32</v>
      </c>
      <c r="F7202" t="s" s="24">
        <v>967</v>
      </c>
      <c r="G7202" s="322" cm="1">
        <f t="array" ref="G7202">E7202*6</f>
        <v>1.92</v>
      </c>
      <c r="H7202" s="15"/>
    </row>
    <row r="7203" ht="13.65" customHeight="1">
      <c r="A7203" s="21">
        <v>149</v>
      </c>
      <c r="B7203" t="s" s="22">
        <v>906</v>
      </c>
      <c r="C7203" s="323">
        <v>100</v>
      </c>
      <c r="D7203" t="s" s="165">
        <v>104</v>
      </c>
      <c r="E7203" s="179">
        <v>9.6</v>
      </c>
      <c r="F7203" s="23">
        <v>100</v>
      </c>
      <c r="G7203" s="322" cm="1">
        <f t="array" ref="G7203">E7203/F7203</f>
        <v>0.096</v>
      </c>
      <c r="H7203" s="15"/>
    </row>
    <row r="7204" ht="13.65" customHeight="1">
      <c r="A7204" s="21">
        <v>87</v>
      </c>
      <c r="B7204" t="s" s="22">
        <v>110</v>
      </c>
      <c r="C7204" s="323">
        <v>50</v>
      </c>
      <c r="D7204" t="s" s="165">
        <v>405</v>
      </c>
      <c r="E7204" s="179">
        <v>9</v>
      </c>
      <c r="F7204" s="23">
        <v>8.33</v>
      </c>
      <c r="G7204" s="322" cm="1">
        <f t="array" ref="G7204">E7204/F7204</f>
        <v>1.08043217286915</v>
      </c>
      <c r="H7204" s="15"/>
    </row>
    <row r="7205" ht="13.65" customHeight="1">
      <c r="A7205" s="21">
        <v>123</v>
      </c>
      <c r="B7205" t="s" s="22">
        <v>103</v>
      </c>
      <c r="C7205" s="323">
        <v>40</v>
      </c>
      <c r="D7205" t="s" s="165">
        <v>256</v>
      </c>
      <c r="E7205" s="179">
        <v>3.2</v>
      </c>
      <c r="F7205" s="23">
        <v>13.33</v>
      </c>
      <c r="G7205" s="322" cm="1">
        <f t="array" ref="G7205">E7205/F7205</f>
        <v>0.240060015003751</v>
      </c>
      <c r="H7205" s="15"/>
    </row>
    <row r="7206" ht="13.65" customHeight="1">
      <c r="A7206" s="28"/>
      <c r="B7206" t="s" s="22">
        <v>482</v>
      </c>
      <c r="C7206" s="323">
        <v>1</v>
      </c>
      <c r="D7206" t="s" s="165">
        <v>104</v>
      </c>
      <c r="E7206" s="179"/>
      <c r="F7206" s="23">
        <v>1</v>
      </c>
      <c r="G7206" s="322"/>
      <c r="H7206" s="15"/>
    </row>
    <row r="7207" ht="13.65" customHeight="1">
      <c r="A7207" s="28"/>
      <c r="B7207" s="28"/>
      <c r="C7207" s="141"/>
      <c r="D7207" s="165"/>
      <c r="E7207" s="28"/>
      <c r="F7207" t="s" s="24">
        <v>118</v>
      </c>
      <c r="G7207" s="322" cm="1">
        <f t="array" ref="G7207">SUM(G7192:G7206)</f>
        <v>18.3543721474069</v>
      </c>
      <c r="H7207" s="15"/>
    </row>
    <row r="7208" ht="13.65" customHeight="1">
      <c r="A7208" s="129"/>
      <c r="B7208" s="129"/>
      <c r="C7208" s="129"/>
      <c r="D7208" s="166"/>
      <c r="E7208" s="129"/>
      <c r="F7208" s="176"/>
      <c r="G7208" s="327"/>
      <c r="H7208" s="3"/>
    </row>
    <row r="7209" ht="11.7" customHeight="1">
      <c r="A7209" t="s" s="328">
        <v>136</v>
      </c>
      <c r="B7209" t="s" s="167">
        <v>913</v>
      </c>
      <c r="C7209" t="s" s="167">
        <v>914</v>
      </c>
      <c r="D7209" t="s" s="363">
        <v>1015</v>
      </c>
      <c r="E7209" s="330"/>
      <c r="F7209" s="350"/>
      <c r="G7209" s="171"/>
      <c r="H7209" s="356"/>
    </row>
    <row r="7210" ht="13.65" customHeight="1">
      <c r="A7210" s="21">
        <v>120</v>
      </c>
      <c r="B7210" s="172" cm="1">
        <f t="array" ref="B7210">SUM(H256)</f>
        <v>2.47496540404041</v>
      </c>
      <c r="C7210" s="172" cm="1">
        <f t="array" ref="C7210">SUM(G7207)</f>
        <v>18.3543721474069</v>
      </c>
      <c r="D7210" s="199" cm="1">
        <f t="array" ref="D7210">SUM(A7210*B7210)+(C7210)</f>
        <v>315.350220632256</v>
      </c>
      <c r="E7210" s="200"/>
      <c r="F7210" s="364"/>
      <c r="G7210" s="317"/>
      <c r="H7210" s="3"/>
    </row>
    <row r="7211" ht="13.65" customHeight="1">
      <c r="A7211" s="129"/>
      <c r="B7211" s="129"/>
      <c r="C7211" s="333"/>
      <c r="D7211" s="166"/>
      <c r="E7211" s="136"/>
      <c r="F7211" s="268"/>
      <c r="G7211" s="317"/>
      <c r="H7211" s="3"/>
    </row>
    <row r="7212" ht="13.65" customHeight="1">
      <c r="A7212" t="s" s="22">
        <v>969</v>
      </c>
      <c r="B7212" t="s" s="132">
        <v>1016</v>
      </c>
      <c r="C7212" s="131"/>
      <c r="D7212" t="s" s="165">
        <v>918</v>
      </c>
      <c r="E7212" s="15"/>
      <c r="F7212" s="317"/>
      <c r="G7212" s="332"/>
      <c r="H7212" s="3"/>
    </row>
    <row r="7213" ht="13.65" customHeight="1">
      <c r="A7213" t="s" s="22">
        <v>1017</v>
      </c>
      <c r="B7213" t="s" s="132">
        <v>1018</v>
      </c>
      <c r="C7213" s="131"/>
      <c r="D7213" t="s" s="165">
        <v>918</v>
      </c>
      <c r="E7213" s="15"/>
      <c r="F7213" s="317"/>
      <c r="G7213" s="332"/>
      <c r="H7213" s="3"/>
    </row>
    <row r="7214" ht="13.65" customHeight="1">
      <c r="A7214" t="s" s="22">
        <v>1019</v>
      </c>
      <c r="B7214" t="s" s="132">
        <v>1020</v>
      </c>
      <c r="C7214" s="131"/>
      <c r="D7214" t="s" s="165">
        <v>918</v>
      </c>
      <c r="E7214" s="15"/>
      <c r="F7214" s="317"/>
      <c r="G7214" s="332"/>
      <c r="H7214" s="3"/>
    </row>
    <row r="7215" ht="13.65" customHeight="1">
      <c r="A7215" s="28"/>
      <c r="B7215" s="164"/>
      <c r="C7215" t="s" s="334">
        <v>924</v>
      </c>
      <c r="D7215" t="s" s="335">
        <v>256</v>
      </c>
      <c r="E7215" s="15"/>
      <c r="F7215" s="317"/>
      <c r="G7215" s="332"/>
      <c r="H7215" s="3"/>
    </row>
    <row r="7216" ht="13.65" customHeight="1">
      <c r="A7216" s="31"/>
      <c r="B7216" s="31"/>
      <c r="C7216" s="31"/>
      <c r="D7216" s="32"/>
      <c r="E7216" s="3"/>
      <c r="F7216" s="317"/>
      <c r="G7216" s="332"/>
      <c r="H7216" s="3"/>
    </row>
    <row r="7217" ht="13.65" customHeight="1">
      <c r="A7217" t="s" s="5">
        <v>1021</v>
      </c>
      <c r="B7217" s="3"/>
      <c r="C7217" s="3"/>
      <c r="D7217" s="316"/>
      <c r="E7217" s="3"/>
      <c r="F7217" s="317"/>
      <c r="G7217" s="332"/>
      <c r="H7217" s="3"/>
    </row>
    <row r="7218" ht="13.65" customHeight="1">
      <c r="A7218" s="3"/>
      <c r="B7218" t="s" s="5">
        <v>1022</v>
      </c>
      <c r="C7218" s="3"/>
      <c r="D7218" s="316"/>
      <c r="E7218" s="3"/>
      <c r="F7218" s="317"/>
      <c r="G7218" s="332"/>
      <c r="H7218" s="3"/>
    </row>
    <row r="7219" ht="13.65" customHeight="1">
      <c r="A7219" s="3"/>
      <c r="B7219" s="3"/>
      <c r="C7219" s="3"/>
      <c r="D7219" s="316"/>
      <c r="E7219" s="3"/>
      <c r="F7219" s="317"/>
      <c r="G7219" s="332"/>
      <c r="H7219" s="3"/>
    </row>
    <row r="7220" ht="13.65" customHeight="1">
      <c r="A7220" s="203"/>
      <c r="B7220" s="203"/>
      <c r="C7220" s="203"/>
      <c r="D7220" s="349"/>
      <c r="E7220" s="203"/>
      <c r="F7220" s="340"/>
      <c r="G7220" s="341"/>
      <c r="H7220" s="203"/>
    </row>
    <row r="7221" ht="13.65" customHeight="1">
      <c r="A7221" t="s" s="274">
        <v>853</v>
      </c>
      <c r="B7221" s="275"/>
      <c r="C7221" s="275"/>
      <c r="D7221" s="342"/>
      <c r="E7221" s="275"/>
      <c r="F7221" s="311"/>
      <c r="G7221" s="343"/>
      <c r="H7221" s="277"/>
    </row>
    <row r="7222" ht="13.65" customHeight="1">
      <c r="A7222" s="278"/>
      <c r="B7222" s="278"/>
      <c r="C7222" s="278"/>
      <c r="D7222" s="344"/>
      <c r="E7222" s="278"/>
      <c r="F7222" s="314"/>
      <c r="G7222" s="345"/>
      <c r="H7222" s="278"/>
    </row>
    <row r="7223" ht="13.65" customHeight="1">
      <c r="A7223" s="3"/>
      <c r="B7223" s="3"/>
      <c r="C7223" s="3"/>
      <c r="D7223" s="316"/>
      <c r="E7223" s="3"/>
      <c r="F7223" s="317"/>
      <c r="G7223" s="332"/>
      <c r="H7223" s="3"/>
    </row>
    <row r="7224" ht="13.65" customHeight="1">
      <c r="A7224" t="s" s="5">
        <v>1032</v>
      </c>
      <c r="B7224" s="3"/>
      <c r="C7224" s="3"/>
      <c r="D7224" s="316"/>
      <c r="E7224" s="3"/>
      <c r="F7224" s="317"/>
      <c r="G7224" s="332"/>
      <c r="H7224" s="3"/>
    </row>
    <row r="7225" ht="13.65" customHeight="1">
      <c r="A7225" s="11"/>
      <c r="B7225" s="11"/>
      <c r="C7225" s="11"/>
      <c r="D7225" s="319"/>
      <c r="E7225" s="11"/>
      <c r="F7225" s="320"/>
      <c r="G7225" s="346"/>
      <c r="H7225" s="3"/>
    </row>
    <row r="7226" ht="13.65" customHeight="1">
      <c r="A7226" s="13"/>
      <c r="B7226" s="13"/>
      <c r="C7226" s="13"/>
      <c r="D7226" s="14"/>
      <c r="E7226" s="13"/>
      <c r="F7226" s="13"/>
      <c r="G7226" t="s" s="14">
        <v>92</v>
      </c>
      <c r="H7226" s="15"/>
    </row>
    <row r="7227" ht="13.65" customHeight="1">
      <c r="A7227" t="s" s="16">
        <v>93</v>
      </c>
      <c r="B7227" t="s" s="16">
        <v>94</v>
      </c>
      <c r="C7227" t="s" s="16">
        <v>95</v>
      </c>
      <c r="D7227" t="s" s="16">
        <v>96</v>
      </c>
      <c r="E7227" t="s" s="16">
        <v>97</v>
      </c>
      <c r="F7227" t="s" s="16">
        <v>98</v>
      </c>
      <c r="G7227" t="s" s="16">
        <v>99</v>
      </c>
      <c r="H7227" s="15"/>
    </row>
    <row r="7228" ht="13.65" customHeight="1">
      <c r="A7228" s="19"/>
      <c r="B7228" s="19"/>
      <c r="C7228" s="19"/>
      <c r="D7228" s="20"/>
      <c r="E7228" s="19"/>
      <c r="F7228" s="19"/>
      <c r="G7228" t="s" s="20">
        <v>100</v>
      </c>
      <c r="H7228" s="15"/>
    </row>
    <row r="7229" ht="13.65" customHeight="1">
      <c r="A7229" s="21">
        <v>166</v>
      </c>
      <c r="B7229" t="s" s="22">
        <v>477</v>
      </c>
      <c r="C7229" s="323">
        <v>500</v>
      </c>
      <c r="D7229" t="s" s="165">
        <v>663</v>
      </c>
      <c r="E7229" s="179">
        <v>29.73</v>
      </c>
      <c r="F7229" s="23">
        <v>12.5</v>
      </c>
      <c r="G7229" s="322" cm="1">
        <f t="array" ref="G7229">E7229/F7229</f>
        <v>2.3784</v>
      </c>
      <c r="H7229" s="15"/>
    </row>
    <row r="7230" ht="13.65" customHeight="1">
      <c r="A7230" s="21">
        <v>161</v>
      </c>
      <c r="B7230" t="s" s="22">
        <v>1014</v>
      </c>
      <c r="C7230" s="323">
        <v>10</v>
      </c>
      <c r="D7230" t="s" s="165">
        <v>104</v>
      </c>
      <c r="E7230" s="179">
        <v>24.8</v>
      </c>
      <c r="F7230" s="23">
        <v>10</v>
      </c>
      <c r="G7230" s="322" cm="1">
        <f t="array" ref="G7230">E7230/F7230</f>
        <v>2.48</v>
      </c>
      <c r="H7230" s="15"/>
    </row>
    <row r="7231" ht="13.65" customHeight="1">
      <c r="A7231" s="21">
        <v>144</v>
      </c>
      <c r="B7231" t="s" s="22">
        <v>896</v>
      </c>
      <c r="C7231" s="323">
        <v>280</v>
      </c>
      <c r="D7231" t="s" s="165">
        <v>104</v>
      </c>
      <c r="E7231" s="179">
        <v>137.5</v>
      </c>
      <c r="F7231" s="23">
        <v>280</v>
      </c>
      <c r="G7231" s="322" cm="1">
        <f t="array" ref="G7231">E7231/F7231</f>
        <v>0.491071428571429</v>
      </c>
      <c r="H7231" s="15"/>
    </row>
    <row r="7232" ht="13.65" customHeight="1">
      <c r="A7232" s="21">
        <v>27</v>
      </c>
      <c r="B7232" t="s" s="22">
        <v>474</v>
      </c>
      <c r="C7232" s="323">
        <v>18</v>
      </c>
      <c r="D7232" t="s" s="165">
        <v>102</v>
      </c>
      <c r="E7232" s="179">
        <v>6.5</v>
      </c>
      <c r="F7232" s="23">
        <v>9</v>
      </c>
      <c r="G7232" s="322" cm="1">
        <f t="array" ref="G7232">E7232/F7232</f>
        <v>0.722222222222222</v>
      </c>
      <c r="H7232" s="15"/>
    </row>
    <row r="7233" ht="13.65" customHeight="1">
      <c r="A7233" s="21">
        <v>172</v>
      </c>
      <c r="B7233" t="s" s="22">
        <v>1033</v>
      </c>
      <c r="C7233" s="323">
        <v>1</v>
      </c>
      <c r="D7233" t="s" s="165">
        <v>104</v>
      </c>
      <c r="E7233" s="179">
        <v>39.96</v>
      </c>
      <c r="F7233" s="23">
        <v>1</v>
      </c>
      <c r="G7233" s="322" cm="1">
        <f t="array" ref="G7233">E7233/F7233</f>
        <v>39.96</v>
      </c>
      <c r="H7233" s="15"/>
    </row>
    <row r="7234" ht="13.65" customHeight="1">
      <c r="A7234" s="21">
        <v>55</v>
      </c>
      <c r="B7234" t="s" s="22">
        <v>111</v>
      </c>
      <c r="C7234" t="s" s="165">
        <v>112</v>
      </c>
      <c r="D7234" t="s" s="165">
        <v>651</v>
      </c>
      <c r="E7234" s="179">
        <v>2.71</v>
      </c>
      <c r="F7234" s="23">
        <v>18.75</v>
      </c>
      <c r="G7234" s="322" cm="1">
        <f t="array" ref="G7234">E7234/F7234</f>
        <v>0.144533333333333</v>
      </c>
      <c r="H7234" s="15"/>
    </row>
    <row r="7235" ht="13.65" customHeight="1">
      <c r="A7235" s="21">
        <v>57</v>
      </c>
      <c r="B7235" t="s" s="22">
        <v>253</v>
      </c>
      <c r="C7235" t="s" s="165">
        <v>254</v>
      </c>
      <c r="D7235" t="s" s="165">
        <v>255</v>
      </c>
      <c r="E7235" s="179">
        <v>4.5</v>
      </c>
      <c r="F7235" s="23">
        <v>200</v>
      </c>
      <c r="G7235" s="322" cm="1">
        <f t="array" ref="G7235">E7235/F7235</f>
        <v>0.0225</v>
      </c>
      <c r="H7235" s="15"/>
    </row>
    <row r="7236" ht="13.65" customHeight="1">
      <c r="A7236" s="21">
        <v>168</v>
      </c>
      <c r="B7236" t="s" s="22">
        <v>992</v>
      </c>
      <c r="C7236" s="323">
        <v>1</v>
      </c>
      <c r="D7236" t="s" s="165">
        <v>985</v>
      </c>
      <c r="E7236" s="179">
        <v>90</v>
      </c>
      <c r="F7236" s="23">
        <v>50</v>
      </c>
      <c r="G7236" s="322" cm="1">
        <f t="array" ref="G7236">E7236/F7236</f>
        <v>1.8</v>
      </c>
      <c r="H7236" s="15"/>
    </row>
    <row r="7237" ht="13.65" customHeight="1">
      <c r="A7237" s="21">
        <v>68</v>
      </c>
      <c r="B7237" t="s" s="22">
        <v>480</v>
      </c>
      <c r="C7237" t="s" s="165">
        <v>481</v>
      </c>
      <c r="D7237" t="s" s="165">
        <v>380</v>
      </c>
      <c r="E7237" s="179">
        <v>16</v>
      </c>
      <c r="F7237" s="23">
        <v>10</v>
      </c>
      <c r="G7237" s="322" cm="1">
        <f t="array" ref="G7237">E7237/F7237</f>
        <v>1.6</v>
      </c>
      <c r="H7237" s="15"/>
    </row>
    <row r="7238" ht="13.65" customHeight="1">
      <c r="A7238" s="21">
        <v>71</v>
      </c>
      <c r="B7238" t="s" s="22">
        <v>109</v>
      </c>
      <c r="C7238" s="323">
        <v>10</v>
      </c>
      <c r="D7238" t="s" s="165">
        <v>274</v>
      </c>
      <c r="E7238" s="179">
        <v>5.92</v>
      </c>
      <c r="F7238" s="362">
        <v>2.5</v>
      </c>
      <c r="G7238" s="322" cm="1">
        <f t="array" ref="G7238">E7238/F7238</f>
        <v>2.368</v>
      </c>
      <c r="H7238" s="15"/>
    </row>
    <row r="7239" ht="13.65" customHeight="1">
      <c r="A7239" s="21">
        <v>72</v>
      </c>
      <c r="B7239" t="s" s="22">
        <v>101</v>
      </c>
      <c r="C7239" s="323">
        <v>50</v>
      </c>
      <c r="D7239" t="s" s="165">
        <v>274</v>
      </c>
      <c r="E7239" s="179">
        <v>1.93</v>
      </c>
      <c r="F7239" s="23">
        <v>12.5</v>
      </c>
      <c r="G7239" s="322" cm="1">
        <f t="array" ref="G7239">E7239/F7239</f>
        <v>0.1544</v>
      </c>
      <c r="H7239" s="15"/>
    </row>
    <row r="7240" ht="13.65" customHeight="1">
      <c r="A7240" s="21">
        <v>86</v>
      </c>
      <c r="B7240" t="s" s="22">
        <v>107</v>
      </c>
      <c r="C7240" t="s" s="165">
        <v>108</v>
      </c>
      <c r="D7240" t="s" s="165">
        <v>274</v>
      </c>
      <c r="E7240" s="179">
        <v>0.32</v>
      </c>
      <c r="F7240" t="s" s="24">
        <v>301</v>
      </c>
      <c r="G7240" s="322" cm="1">
        <f t="array" ref="G7240">E7240*4</f>
        <v>1.28</v>
      </c>
      <c r="H7240" s="15"/>
    </row>
    <row r="7241" ht="13.65" customHeight="1">
      <c r="A7241" s="21">
        <v>149</v>
      </c>
      <c r="B7241" t="s" s="22">
        <v>906</v>
      </c>
      <c r="C7241" s="323">
        <v>100</v>
      </c>
      <c r="D7241" t="s" s="165">
        <v>104</v>
      </c>
      <c r="E7241" s="179">
        <v>9.6</v>
      </c>
      <c r="F7241" s="23">
        <v>100</v>
      </c>
      <c r="G7241" s="322" cm="1">
        <f t="array" ref="G7241">E7241/F7241</f>
        <v>0.096</v>
      </c>
      <c r="H7241" s="15"/>
    </row>
    <row r="7242" ht="13.65" customHeight="1">
      <c r="A7242" s="21">
        <v>87</v>
      </c>
      <c r="B7242" t="s" s="22">
        <v>110</v>
      </c>
      <c r="C7242" s="323">
        <v>50</v>
      </c>
      <c r="D7242" t="s" s="165">
        <v>274</v>
      </c>
      <c r="E7242" s="179">
        <v>9</v>
      </c>
      <c r="F7242" s="23">
        <v>12.5</v>
      </c>
      <c r="G7242" s="322" cm="1">
        <f t="array" ref="G7242">E7242/F7242</f>
        <v>0.72</v>
      </c>
      <c r="H7242" s="15"/>
    </row>
    <row r="7243" ht="13.65" customHeight="1">
      <c r="A7243" s="21">
        <v>123</v>
      </c>
      <c r="B7243" t="s" s="22">
        <v>103</v>
      </c>
      <c r="C7243" s="323">
        <v>40</v>
      </c>
      <c r="D7243" t="s" s="165">
        <v>104</v>
      </c>
      <c r="E7243" s="179">
        <v>3.2</v>
      </c>
      <c r="F7243" s="23">
        <v>40</v>
      </c>
      <c r="G7243" s="322" cm="1">
        <f t="array" ref="G7243">E7243/F7243</f>
        <v>0.08</v>
      </c>
      <c r="H7243" s="15"/>
    </row>
    <row r="7244" ht="13.65" customHeight="1">
      <c r="A7244" s="28"/>
      <c r="B7244" t="s" s="22">
        <v>482</v>
      </c>
      <c r="C7244" s="323">
        <v>1</v>
      </c>
      <c r="D7244" t="s" s="165">
        <v>104</v>
      </c>
      <c r="E7244" s="179">
        <v>60</v>
      </c>
      <c r="F7244" s="23">
        <v>1</v>
      </c>
      <c r="G7244" s="322" cm="1">
        <f t="array" ref="G7244">E7244/F7244</f>
        <v>60</v>
      </c>
      <c r="H7244" s="15"/>
    </row>
    <row r="7245" ht="13.65" customHeight="1">
      <c r="A7245" s="28"/>
      <c r="B7245" s="28"/>
      <c r="C7245" s="141"/>
      <c r="D7245" s="165"/>
      <c r="E7245" s="28"/>
      <c r="F7245" t="s" s="24">
        <v>118</v>
      </c>
      <c r="G7245" s="322" cm="1">
        <f t="array" ref="G7245">SUM(G7229:G7244)</f>
        <v>114.297126984127</v>
      </c>
      <c r="H7245" s="15"/>
    </row>
    <row r="7246" ht="13.65" customHeight="1">
      <c r="A7246" s="129"/>
      <c r="B7246" s="129"/>
      <c r="C7246" s="129"/>
      <c r="D7246" s="166"/>
      <c r="E7246" s="129"/>
      <c r="F7246" s="176"/>
      <c r="G7246" s="327"/>
      <c r="H7246" s="3"/>
    </row>
    <row r="7247" ht="11.7" customHeight="1">
      <c r="A7247" t="s" s="328">
        <v>136</v>
      </c>
      <c r="B7247" t="s" s="167">
        <v>913</v>
      </c>
      <c r="C7247" t="s" s="167">
        <v>914</v>
      </c>
      <c r="D7247" t="s" s="329">
        <v>1034</v>
      </c>
      <c r="E7247" s="359"/>
      <c r="F7247" s="170"/>
      <c r="G7247" s="355"/>
      <c r="H7247" s="356"/>
    </row>
    <row r="7248" ht="13.65" customHeight="1">
      <c r="A7248" s="23">
        <v>60</v>
      </c>
      <c r="B7248" s="172" cm="1">
        <f t="array" ref="B7248">SUM(H256)</f>
        <v>2.47496540404041</v>
      </c>
      <c r="C7248" s="172" cm="1">
        <f t="array" ref="C7248">SUM(G7245)</f>
        <v>114.297126984127</v>
      </c>
      <c r="D7248" s="201" cm="1">
        <f t="array" ref="D7248">SUM(A7248*B7248)+(C7248)</f>
        <v>262.795051226552</v>
      </c>
      <c r="E7248" s="202"/>
      <c r="F7248" s="331"/>
      <c r="G7248" s="332"/>
      <c r="H7248" s="3"/>
    </row>
    <row r="7249" ht="13.65" customHeight="1">
      <c r="A7249" s="129"/>
      <c r="B7249" s="129"/>
      <c r="C7249" s="333"/>
      <c r="D7249" s="166"/>
      <c r="E7249" s="136"/>
      <c r="F7249" s="317"/>
      <c r="G7249" s="332"/>
      <c r="H7249" s="3"/>
    </row>
    <row r="7250" ht="13.65" customHeight="1">
      <c r="A7250" t="s" s="22">
        <v>969</v>
      </c>
      <c r="B7250" t="s" s="132">
        <v>1016</v>
      </c>
      <c r="C7250" s="131"/>
      <c r="D7250" t="s" s="165">
        <v>918</v>
      </c>
      <c r="E7250" s="15"/>
      <c r="F7250" s="317"/>
      <c r="G7250" s="332"/>
      <c r="H7250" s="3"/>
    </row>
    <row r="7251" ht="13.65" customHeight="1">
      <c r="A7251" t="s" s="22">
        <v>969</v>
      </c>
      <c r="B7251" t="s" s="132">
        <v>970</v>
      </c>
      <c r="C7251" s="131"/>
      <c r="D7251" t="s" s="165">
        <v>918</v>
      </c>
      <c r="E7251" s="15"/>
      <c r="F7251" s="317"/>
      <c r="G7251" s="332"/>
      <c r="H7251" s="3"/>
    </row>
    <row r="7252" ht="13.65" customHeight="1">
      <c r="A7252" s="28"/>
      <c r="B7252" s="164"/>
      <c r="C7252" t="s" s="334">
        <v>924</v>
      </c>
      <c r="D7252" t="s" s="335">
        <v>102</v>
      </c>
      <c r="E7252" s="15"/>
      <c r="F7252" s="317"/>
      <c r="G7252" s="332"/>
      <c r="H7252" s="3"/>
    </row>
    <row r="7253" ht="13.65" customHeight="1">
      <c r="A7253" s="31"/>
      <c r="B7253" s="31"/>
      <c r="C7253" s="31"/>
      <c r="D7253" s="32"/>
      <c r="E7253" s="3"/>
      <c r="F7253" s="317"/>
      <c r="G7253" s="332"/>
      <c r="H7253" s="3"/>
    </row>
    <row r="7254" ht="13.65" customHeight="1">
      <c r="A7254" s="203"/>
      <c r="B7254" s="203"/>
      <c r="C7254" s="203"/>
      <c r="D7254" s="349"/>
      <c r="E7254" s="203"/>
      <c r="F7254" s="340"/>
      <c r="G7254" s="341"/>
      <c r="H7254" s="203"/>
    </row>
    <row r="7255" ht="13.65" customHeight="1">
      <c r="A7255" t="s" s="274">
        <v>853</v>
      </c>
      <c r="B7255" s="275"/>
      <c r="C7255" s="275"/>
      <c r="D7255" s="342"/>
      <c r="E7255" s="275"/>
      <c r="F7255" s="311"/>
      <c r="G7255" s="343"/>
      <c r="H7255" s="277"/>
    </row>
    <row r="7256" ht="13.65" customHeight="1">
      <c r="A7256" s="278"/>
      <c r="B7256" s="278"/>
      <c r="C7256" s="278"/>
      <c r="D7256" s="344"/>
      <c r="E7256" s="278"/>
      <c r="F7256" s="314"/>
      <c r="G7256" s="345"/>
      <c r="H7256" s="278"/>
    </row>
    <row r="7257" ht="13.65" customHeight="1">
      <c r="A7257" s="3"/>
      <c r="B7257" s="3"/>
      <c r="C7257" s="3"/>
      <c r="D7257" s="316"/>
      <c r="E7257" s="3"/>
      <c r="F7257" s="317"/>
      <c r="G7257" s="332"/>
      <c r="H7257" s="3"/>
    </row>
    <row r="7258" ht="13.65" customHeight="1">
      <c r="A7258" t="s" s="5">
        <v>1035</v>
      </c>
      <c r="B7258" s="3"/>
      <c r="C7258" s="3"/>
      <c r="D7258" s="316"/>
      <c r="E7258" s="3"/>
      <c r="F7258" s="317"/>
      <c r="G7258" s="332"/>
      <c r="H7258" s="3"/>
    </row>
    <row r="7259" ht="13.65" customHeight="1">
      <c r="A7259" s="11"/>
      <c r="B7259" s="11"/>
      <c r="C7259" s="11"/>
      <c r="D7259" s="319"/>
      <c r="E7259" s="11"/>
      <c r="F7259" s="320"/>
      <c r="G7259" s="346"/>
      <c r="H7259" s="3"/>
    </row>
    <row r="7260" ht="13.65" customHeight="1">
      <c r="A7260" s="13"/>
      <c r="B7260" s="13"/>
      <c r="C7260" s="13"/>
      <c r="D7260" s="14"/>
      <c r="E7260" s="13"/>
      <c r="F7260" s="13"/>
      <c r="G7260" t="s" s="14">
        <v>92</v>
      </c>
      <c r="H7260" s="15"/>
    </row>
    <row r="7261" ht="13.65" customHeight="1">
      <c r="A7261" t="s" s="16">
        <v>93</v>
      </c>
      <c r="B7261" t="s" s="16">
        <v>94</v>
      </c>
      <c r="C7261" t="s" s="16">
        <v>95</v>
      </c>
      <c r="D7261" t="s" s="16">
        <v>96</v>
      </c>
      <c r="E7261" t="s" s="16">
        <v>97</v>
      </c>
      <c r="F7261" t="s" s="16">
        <v>98</v>
      </c>
      <c r="G7261" t="s" s="16">
        <v>99</v>
      </c>
      <c r="H7261" s="15"/>
    </row>
    <row r="7262" ht="13.65" customHeight="1">
      <c r="A7262" s="19"/>
      <c r="B7262" s="19"/>
      <c r="C7262" s="19"/>
      <c r="D7262" s="20"/>
      <c r="E7262" s="19"/>
      <c r="F7262" s="19"/>
      <c r="G7262" t="s" s="20">
        <v>100</v>
      </c>
      <c r="H7262" s="15"/>
    </row>
    <row r="7263" ht="13.65" customHeight="1">
      <c r="A7263" s="21">
        <v>166</v>
      </c>
      <c r="B7263" t="s" s="22">
        <v>477</v>
      </c>
      <c r="C7263" s="323">
        <v>500</v>
      </c>
      <c r="D7263" t="s" s="165">
        <v>663</v>
      </c>
      <c r="E7263" s="179">
        <v>29.73</v>
      </c>
      <c r="F7263" s="23">
        <v>12.5</v>
      </c>
      <c r="G7263" s="322" cm="1">
        <f t="array" ref="G7263">E7263/F7263</f>
        <v>2.3784</v>
      </c>
      <c r="H7263" s="15"/>
    </row>
    <row r="7264" ht="13.65" customHeight="1">
      <c r="A7264" s="21">
        <v>161</v>
      </c>
      <c r="B7264" t="s" s="22">
        <v>1014</v>
      </c>
      <c r="C7264" s="323">
        <v>10</v>
      </c>
      <c r="D7264" t="s" s="165">
        <v>104</v>
      </c>
      <c r="E7264" s="179">
        <v>24.8</v>
      </c>
      <c r="F7264" s="23">
        <v>10</v>
      </c>
      <c r="G7264" s="322" cm="1">
        <f t="array" ref="G7264">E7264/F7264</f>
        <v>2.48</v>
      </c>
      <c r="H7264" s="15"/>
    </row>
    <row r="7265" ht="13.65" customHeight="1">
      <c r="A7265" s="21">
        <v>144</v>
      </c>
      <c r="B7265" t="s" s="22">
        <v>896</v>
      </c>
      <c r="C7265" s="323">
        <v>280</v>
      </c>
      <c r="D7265" t="s" s="165">
        <v>104</v>
      </c>
      <c r="E7265" s="179">
        <v>137.5</v>
      </c>
      <c r="F7265" s="23">
        <v>280</v>
      </c>
      <c r="G7265" s="322" cm="1">
        <f t="array" ref="G7265">E7265/F7265</f>
        <v>0.491071428571429</v>
      </c>
      <c r="H7265" s="15"/>
    </row>
    <row r="7266" ht="13.65" customHeight="1">
      <c r="A7266" s="21">
        <v>27</v>
      </c>
      <c r="B7266" t="s" s="22">
        <v>474</v>
      </c>
      <c r="C7266" s="323">
        <v>18</v>
      </c>
      <c r="D7266" t="s" s="165">
        <v>104</v>
      </c>
      <c r="E7266" s="179">
        <v>6.5</v>
      </c>
      <c r="F7266" s="23">
        <v>18</v>
      </c>
      <c r="G7266" s="322" cm="1">
        <f t="array" ref="G7266">E7266/F7266</f>
        <v>0.361111111111111</v>
      </c>
      <c r="H7266" s="15"/>
    </row>
    <row r="7267" ht="13.65" customHeight="1">
      <c r="A7267" s="21">
        <v>55</v>
      </c>
      <c r="B7267" t="s" s="22">
        <v>111</v>
      </c>
      <c r="C7267" t="s" s="165">
        <v>112</v>
      </c>
      <c r="D7267" t="s" s="165">
        <v>651</v>
      </c>
      <c r="E7267" s="179">
        <v>2.71</v>
      </c>
      <c r="F7267" s="23">
        <v>18.75</v>
      </c>
      <c r="G7267" s="322" cm="1">
        <f t="array" ref="G7267">E7267/F7267</f>
        <v>0.144533333333333</v>
      </c>
      <c r="H7267" s="15"/>
    </row>
    <row r="7268" ht="13.65" customHeight="1">
      <c r="A7268" s="21">
        <v>57</v>
      </c>
      <c r="B7268" t="s" s="22">
        <v>253</v>
      </c>
      <c r="C7268" t="s" s="165">
        <v>254</v>
      </c>
      <c r="D7268" t="s" s="165">
        <v>255</v>
      </c>
      <c r="E7268" s="179">
        <v>4.5</v>
      </c>
      <c r="F7268" s="23">
        <v>200</v>
      </c>
      <c r="G7268" s="322" cm="1">
        <f t="array" ref="G7268">E7268/F7268</f>
        <v>0.0225</v>
      </c>
      <c r="H7268" s="15"/>
    </row>
    <row r="7269" ht="13.65" customHeight="1">
      <c r="A7269" s="21">
        <v>168</v>
      </c>
      <c r="B7269" t="s" s="22">
        <v>992</v>
      </c>
      <c r="C7269" s="323">
        <v>1</v>
      </c>
      <c r="D7269" t="s" s="165">
        <v>985</v>
      </c>
      <c r="E7269" s="179">
        <v>90</v>
      </c>
      <c r="F7269" s="23">
        <v>50</v>
      </c>
      <c r="G7269" s="322" cm="1">
        <f t="array" ref="G7269">E7269/F7269</f>
        <v>1.8</v>
      </c>
      <c r="H7269" s="15"/>
    </row>
    <row r="7270" ht="13.65" customHeight="1">
      <c r="A7270" s="21">
        <v>68</v>
      </c>
      <c r="B7270" t="s" s="22">
        <v>480</v>
      </c>
      <c r="C7270" t="s" s="165">
        <v>481</v>
      </c>
      <c r="D7270" t="s" s="165">
        <v>380</v>
      </c>
      <c r="E7270" s="179">
        <v>16</v>
      </c>
      <c r="F7270" s="23">
        <v>10</v>
      </c>
      <c r="G7270" s="322" cm="1">
        <f t="array" ref="G7270">E7270/F7270</f>
        <v>1.6</v>
      </c>
      <c r="H7270" s="15"/>
    </row>
    <row r="7271" ht="13.65" customHeight="1">
      <c r="A7271" s="21">
        <v>71</v>
      </c>
      <c r="B7271" t="s" s="22">
        <v>109</v>
      </c>
      <c r="C7271" s="323">
        <v>10</v>
      </c>
      <c r="D7271" t="s" s="165">
        <v>274</v>
      </c>
      <c r="E7271" s="179">
        <v>5.92</v>
      </c>
      <c r="F7271" s="362">
        <v>2.5</v>
      </c>
      <c r="G7271" s="322" cm="1">
        <f t="array" ref="G7271">E7271/F7271</f>
        <v>2.368</v>
      </c>
      <c r="H7271" s="15"/>
    </row>
    <row r="7272" ht="13.65" customHeight="1">
      <c r="A7272" s="21">
        <v>72</v>
      </c>
      <c r="B7272" t="s" s="22">
        <v>101</v>
      </c>
      <c r="C7272" s="323">
        <v>50</v>
      </c>
      <c r="D7272" t="s" s="165">
        <v>274</v>
      </c>
      <c r="E7272" s="179">
        <v>1.93</v>
      </c>
      <c r="F7272" s="23">
        <v>12.5</v>
      </c>
      <c r="G7272" s="322" cm="1">
        <f t="array" ref="G7272">E7272/F7272</f>
        <v>0.1544</v>
      </c>
      <c r="H7272" s="15"/>
    </row>
    <row r="7273" ht="13.65" customHeight="1">
      <c r="A7273" s="21">
        <v>86</v>
      </c>
      <c r="B7273" t="s" s="22">
        <v>107</v>
      </c>
      <c r="C7273" t="s" s="165">
        <v>108</v>
      </c>
      <c r="D7273" t="s" s="165">
        <v>274</v>
      </c>
      <c r="E7273" s="179">
        <v>0.32</v>
      </c>
      <c r="F7273" t="s" s="24">
        <v>301</v>
      </c>
      <c r="G7273" s="322" cm="1">
        <f t="array" ref="G7273">E7273*4</f>
        <v>1.28</v>
      </c>
      <c r="H7273" s="15"/>
    </row>
    <row r="7274" ht="13.65" customHeight="1">
      <c r="A7274" s="21">
        <v>149</v>
      </c>
      <c r="B7274" t="s" s="22">
        <v>906</v>
      </c>
      <c r="C7274" s="323">
        <v>100</v>
      </c>
      <c r="D7274" t="s" s="165">
        <v>104</v>
      </c>
      <c r="E7274" s="179">
        <v>9.6</v>
      </c>
      <c r="F7274" s="23">
        <v>100</v>
      </c>
      <c r="G7274" s="322" cm="1">
        <f t="array" ref="G7274">E7274/F7274</f>
        <v>0.096</v>
      </c>
      <c r="H7274" s="15"/>
    </row>
    <row r="7275" ht="13.65" customHeight="1">
      <c r="A7275" s="21">
        <v>87</v>
      </c>
      <c r="B7275" t="s" s="22">
        <v>110</v>
      </c>
      <c r="C7275" s="323">
        <v>50</v>
      </c>
      <c r="D7275" t="s" s="165">
        <v>274</v>
      </c>
      <c r="E7275" s="179">
        <v>9</v>
      </c>
      <c r="F7275" s="23">
        <v>12.5</v>
      </c>
      <c r="G7275" s="322" cm="1">
        <f t="array" ref="G7275">E7275/F7275</f>
        <v>0.72</v>
      </c>
      <c r="H7275" s="15"/>
    </row>
    <row r="7276" ht="13.65" customHeight="1">
      <c r="A7276" s="21">
        <v>123</v>
      </c>
      <c r="B7276" t="s" s="22">
        <v>103</v>
      </c>
      <c r="C7276" s="323">
        <v>40</v>
      </c>
      <c r="D7276" t="s" s="165">
        <v>104</v>
      </c>
      <c r="E7276" s="179">
        <v>3.2</v>
      </c>
      <c r="F7276" s="23">
        <v>40</v>
      </c>
      <c r="G7276" s="322" cm="1">
        <f t="array" ref="G7276">E7276/F7276</f>
        <v>0.08</v>
      </c>
      <c r="H7276" s="15"/>
    </row>
    <row r="7277" ht="13.65" customHeight="1">
      <c r="A7277" s="28"/>
      <c r="B7277" t="s" s="22">
        <v>482</v>
      </c>
      <c r="C7277" s="323">
        <v>1</v>
      </c>
      <c r="D7277" t="s" s="165">
        <v>104</v>
      </c>
      <c r="E7277" s="179">
        <v>40</v>
      </c>
      <c r="F7277" s="23">
        <v>1</v>
      </c>
      <c r="G7277" s="322" cm="1">
        <f t="array" ref="G7277">E7277/F7277</f>
        <v>40</v>
      </c>
      <c r="H7277" s="15"/>
    </row>
    <row r="7278" ht="13.65" customHeight="1">
      <c r="A7278" s="28"/>
      <c r="B7278" s="28"/>
      <c r="C7278" s="141"/>
      <c r="D7278" s="165"/>
      <c r="E7278" s="28"/>
      <c r="F7278" t="s" s="24">
        <v>118</v>
      </c>
      <c r="G7278" s="322" cm="1">
        <f t="array" ref="G7278">SUM(G7263:G7277)</f>
        <v>53.9760158730159</v>
      </c>
      <c r="H7278" s="15"/>
    </row>
    <row r="7279" ht="13.65" customHeight="1">
      <c r="A7279" s="129"/>
      <c r="B7279" s="129"/>
      <c r="C7279" s="129"/>
      <c r="D7279" s="166"/>
      <c r="E7279" s="129"/>
      <c r="F7279" s="176"/>
      <c r="G7279" s="327"/>
      <c r="H7279" s="3"/>
    </row>
    <row r="7280" ht="11.7" customHeight="1">
      <c r="A7280" t="s" s="328">
        <v>136</v>
      </c>
      <c r="B7280" t="s" s="167">
        <v>913</v>
      </c>
      <c r="C7280" t="s" s="167">
        <v>914</v>
      </c>
      <c r="D7280" t="s" s="329">
        <v>1034</v>
      </c>
      <c r="E7280" s="359"/>
      <c r="F7280" s="170"/>
      <c r="G7280" s="355"/>
      <c r="H7280" s="356"/>
    </row>
    <row r="7281" ht="13.65" customHeight="1">
      <c r="A7281" s="21">
        <v>60</v>
      </c>
      <c r="B7281" s="172" cm="1">
        <f t="array" ref="B7281">SUM(H256)</f>
        <v>2.47496540404041</v>
      </c>
      <c r="C7281" s="172" cm="1">
        <f t="array" ref="C7281">SUM(G7278)</f>
        <v>53.9760158730159</v>
      </c>
      <c r="D7281" s="201" cm="1">
        <f t="array" ref="D7281">SUM(A7281*B7281)+(C7281)</f>
        <v>202.473940115441</v>
      </c>
      <c r="E7281" s="202"/>
      <c r="F7281" s="331"/>
      <c r="G7281" s="332"/>
      <c r="H7281" s="3"/>
    </row>
    <row r="7282" ht="13.65" customHeight="1">
      <c r="A7282" s="129"/>
      <c r="B7282" s="129"/>
      <c r="C7282" s="333"/>
      <c r="D7282" s="166"/>
      <c r="E7282" s="136"/>
      <c r="F7282" s="317"/>
      <c r="G7282" s="332"/>
      <c r="H7282" s="3"/>
    </row>
    <row r="7283" ht="13.65" customHeight="1">
      <c r="A7283" t="s" s="22">
        <v>969</v>
      </c>
      <c r="B7283" t="s" s="132">
        <v>1016</v>
      </c>
      <c r="C7283" s="131"/>
      <c r="D7283" t="s" s="165">
        <v>918</v>
      </c>
      <c r="E7283" s="15"/>
      <c r="F7283" s="317"/>
      <c r="G7283" s="332"/>
      <c r="H7283" s="3"/>
    </row>
    <row r="7284" ht="13.65" customHeight="1">
      <c r="A7284" t="s" s="22">
        <v>969</v>
      </c>
      <c r="B7284" t="s" s="132">
        <v>970</v>
      </c>
      <c r="C7284" s="131"/>
      <c r="D7284" t="s" s="165">
        <v>918</v>
      </c>
      <c r="E7284" s="15"/>
      <c r="F7284" s="317"/>
      <c r="G7284" s="332"/>
      <c r="H7284" s="3"/>
    </row>
    <row r="7285" ht="13.65" customHeight="1">
      <c r="A7285" s="28"/>
      <c r="B7285" s="164"/>
      <c r="C7285" t="s" s="334">
        <v>924</v>
      </c>
      <c r="D7285" t="s" s="335">
        <v>102</v>
      </c>
      <c r="E7285" s="15"/>
      <c r="F7285" s="317"/>
      <c r="G7285" s="332"/>
      <c r="H7285" s="3"/>
    </row>
    <row r="7286" ht="13.65" customHeight="1">
      <c r="A7286" s="31"/>
      <c r="B7286" s="31"/>
      <c r="C7286" s="31"/>
      <c r="D7286" s="32"/>
      <c r="E7286" s="3"/>
      <c r="F7286" s="317"/>
      <c r="G7286" s="332"/>
      <c r="H7286" s="3"/>
    </row>
    <row r="7287" ht="13.65" customHeight="1">
      <c r="A7287" s="203"/>
      <c r="B7287" s="203"/>
      <c r="C7287" s="203"/>
      <c r="D7287" s="349"/>
      <c r="E7287" s="203"/>
      <c r="F7287" s="340"/>
      <c r="G7287" s="341"/>
      <c r="H7287" s="203"/>
    </row>
    <row r="7288" ht="13.65" customHeight="1">
      <c r="A7288" t="s" s="274">
        <v>853</v>
      </c>
      <c r="B7288" s="275"/>
      <c r="C7288" s="275"/>
      <c r="D7288" s="342"/>
      <c r="E7288" s="275"/>
      <c r="F7288" s="311"/>
      <c r="G7288" s="343"/>
      <c r="H7288" s="277"/>
    </row>
    <row r="7289" ht="13.65" customHeight="1">
      <c r="A7289" s="278"/>
      <c r="B7289" s="278"/>
      <c r="C7289" s="278"/>
      <c r="D7289" s="344"/>
      <c r="E7289" s="278"/>
      <c r="F7289" s="314"/>
      <c r="G7289" s="345"/>
      <c r="H7289" s="278"/>
    </row>
    <row r="7290" ht="13.65" customHeight="1">
      <c r="A7290" s="3"/>
      <c r="B7290" s="3"/>
      <c r="C7290" s="3"/>
      <c r="D7290" s="316"/>
      <c r="E7290" s="3"/>
      <c r="F7290" s="317"/>
      <c r="G7290" s="332"/>
      <c r="H7290" s="3"/>
    </row>
    <row r="7291" ht="13.65" customHeight="1">
      <c r="A7291" t="s" s="5">
        <v>1036</v>
      </c>
      <c r="B7291" s="3"/>
      <c r="C7291" s="3"/>
      <c r="D7291" s="316"/>
      <c r="E7291" s="3"/>
      <c r="F7291" s="317"/>
      <c r="G7291" s="332"/>
      <c r="H7291" s="3"/>
    </row>
    <row r="7292" ht="13.65" customHeight="1">
      <c r="A7292" s="11"/>
      <c r="B7292" s="11"/>
      <c r="C7292" s="11"/>
      <c r="D7292" s="319"/>
      <c r="E7292" s="11"/>
      <c r="F7292" s="320"/>
      <c r="G7292" s="346"/>
      <c r="H7292" s="3"/>
    </row>
    <row r="7293" ht="13.65" customHeight="1">
      <c r="A7293" s="13"/>
      <c r="B7293" s="13"/>
      <c r="C7293" s="13"/>
      <c r="D7293" s="14"/>
      <c r="E7293" s="13"/>
      <c r="F7293" s="13"/>
      <c r="G7293" t="s" s="14">
        <v>92</v>
      </c>
      <c r="H7293" s="15"/>
    </row>
    <row r="7294" ht="13.65" customHeight="1">
      <c r="A7294" t="s" s="16">
        <v>93</v>
      </c>
      <c r="B7294" t="s" s="16">
        <v>94</v>
      </c>
      <c r="C7294" t="s" s="16">
        <v>95</v>
      </c>
      <c r="D7294" t="s" s="16">
        <v>96</v>
      </c>
      <c r="E7294" t="s" s="16">
        <v>97</v>
      </c>
      <c r="F7294" t="s" s="16">
        <v>98</v>
      </c>
      <c r="G7294" t="s" s="16">
        <v>99</v>
      </c>
      <c r="H7294" s="15"/>
    </row>
    <row r="7295" ht="13.65" customHeight="1">
      <c r="A7295" s="19"/>
      <c r="B7295" s="19"/>
      <c r="C7295" s="19"/>
      <c r="D7295" s="20"/>
      <c r="E7295" s="19"/>
      <c r="F7295" s="19"/>
      <c r="G7295" t="s" s="20">
        <v>100</v>
      </c>
      <c r="H7295" s="15"/>
    </row>
    <row r="7296" ht="13.65" customHeight="1">
      <c r="A7296" s="21">
        <v>166</v>
      </c>
      <c r="B7296" t="s" s="22">
        <v>477</v>
      </c>
      <c r="C7296" s="323">
        <v>500</v>
      </c>
      <c r="D7296" t="s" s="165">
        <v>663</v>
      </c>
      <c r="E7296" s="179">
        <v>29.73</v>
      </c>
      <c r="F7296" s="23">
        <v>12.5</v>
      </c>
      <c r="G7296" s="322" cm="1">
        <f t="array" ref="G7296">E7296/F7296</f>
        <v>2.3784</v>
      </c>
      <c r="H7296" s="15"/>
    </row>
    <row r="7297" ht="13.65" customHeight="1">
      <c r="A7297" s="21">
        <v>161</v>
      </c>
      <c r="B7297" t="s" s="22">
        <v>1014</v>
      </c>
      <c r="C7297" s="323">
        <v>10</v>
      </c>
      <c r="D7297" t="s" s="165">
        <v>104</v>
      </c>
      <c r="E7297" s="179">
        <v>24.8</v>
      </c>
      <c r="F7297" s="23">
        <v>10</v>
      </c>
      <c r="G7297" s="322" cm="1">
        <f t="array" ref="G7297">E7297/F7297</f>
        <v>2.48</v>
      </c>
      <c r="H7297" s="15"/>
    </row>
    <row r="7298" ht="13.65" customHeight="1">
      <c r="A7298" s="21">
        <v>144</v>
      </c>
      <c r="B7298" t="s" s="22">
        <v>896</v>
      </c>
      <c r="C7298" s="323">
        <v>280</v>
      </c>
      <c r="D7298" t="s" s="165">
        <v>104</v>
      </c>
      <c r="E7298" s="179">
        <v>137.5</v>
      </c>
      <c r="F7298" s="23">
        <v>280</v>
      </c>
      <c r="G7298" s="322" cm="1">
        <f t="array" ref="G7298">E7298/F7298</f>
        <v>0.491071428571429</v>
      </c>
      <c r="H7298" s="15"/>
    </row>
    <row r="7299" ht="13.65" customHeight="1">
      <c r="A7299" s="21">
        <v>27</v>
      </c>
      <c r="B7299" t="s" s="22">
        <v>474</v>
      </c>
      <c r="C7299" s="323">
        <v>18</v>
      </c>
      <c r="D7299" t="s" s="165">
        <v>104</v>
      </c>
      <c r="E7299" s="179">
        <v>6.5</v>
      </c>
      <c r="F7299" s="23">
        <v>18</v>
      </c>
      <c r="G7299" s="322" cm="1">
        <f t="array" ref="G7299">E7299/F7299</f>
        <v>0.361111111111111</v>
      </c>
      <c r="H7299" s="15"/>
    </row>
    <row r="7300" ht="13.65" customHeight="1">
      <c r="A7300" s="21">
        <v>55</v>
      </c>
      <c r="B7300" t="s" s="22">
        <v>111</v>
      </c>
      <c r="C7300" t="s" s="165">
        <v>112</v>
      </c>
      <c r="D7300" t="s" s="165">
        <v>651</v>
      </c>
      <c r="E7300" s="179">
        <v>2.71</v>
      </c>
      <c r="F7300" s="23">
        <v>18.75</v>
      </c>
      <c r="G7300" s="322" cm="1">
        <f t="array" ref="G7300">E7300/F7300</f>
        <v>0.144533333333333</v>
      </c>
      <c r="H7300" s="15"/>
    </row>
    <row r="7301" ht="13.65" customHeight="1">
      <c r="A7301" s="21">
        <v>57</v>
      </c>
      <c r="B7301" t="s" s="22">
        <v>253</v>
      </c>
      <c r="C7301" t="s" s="165">
        <v>254</v>
      </c>
      <c r="D7301" t="s" s="165">
        <v>255</v>
      </c>
      <c r="E7301" s="179">
        <v>4.5</v>
      </c>
      <c r="F7301" s="23">
        <v>200</v>
      </c>
      <c r="G7301" s="322" cm="1">
        <f t="array" ref="G7301">E7301/F7301</f>
        <v>0.0225</v>
      </c>
      <c r="H7301" s="15"/>
    </row>
    <row r="7302" ht="13.65" customHeight="1">
      <c r="A7302" s="21">
        <v>168</v>
      </c>
      <c r="B7302" t="s" s="22">
        <v>992</v>
      </c>
      <c r="C7302" s="323">
        <v>1</v>
      </c>
      <c r="D7302" t="s" s="165">
        <v>985</v>
      </c>
      <c r="E7302" s="179">
        <v>90</v>
      </c>
      <c r="F7302" s="23">
        <v>50</v>
      </c>
      <c r="G7302" s="322" cm="1">
        <f t="array" ref="G7302">E7302/F7302</f>
        <v>1.8</v>
      </c>
      <c r="H7302" s="15"/>
    </row>
    <row r="7303" ht="13.65" customHeight="1">
      <c r="A7303" s="21">
        <v>68</v>
      </c>
      <c r="B7303" t="s" s="22">
        <v>480</v>
      </c>
      <c r="C7303" t="s" s="165">
        <v>481</v>
      </c>
      <c r="D7303" t="s" s="165">
        <v>380</v>
      </c>
      <c r="E7303" s="179">
        <v>16</v>
      </c>
      <c r="F7303" s="23">
        <v>10</v>
      </c>
      <c r="G7303" s="322" cm="1">
        <f t="array" ref="G7303">E7303/F7303</f>
        <v>1.6</v>
      </c>
      <c r="H7303" s="15"/>
    </row>
    <row r="7304" ht="13.65" customHeight="1">
      <c r="A7304" s="21">
        <v>71</v>
      </c>
      <c r="B7304" t="s" s="22">
        <v>109</v>
      </c>
      <c r="C7304" s="323">
        <v>10</v>
      </c>
      <c r="D7304" t="s" s="165">
        <v>274</v>
      </c>
      <c r="E7304" s="179">
        <v>5.92</v>
      </c>
      <c r="F7304" s="362">
        <v>2.5</v>
      </c>
      <c r="G7304" s="322" cm="1">
        <f t="array" ref="G7304">E7304/F7304</f>
        <v>2.368</v>
      </c>
      <c r="H7304" s="15"/>
    </row>
    <row r="7305" ht="13.65" customHeight="1">
      <c r="A7305" s="21">
        <v>72</v>
      </c>
      <c r="B7305" t="s" s="22">
        <v>101</v>
      </c>
      <c r="C7305" s="323">
        <v>50</v>
      </c>
      <c r="D7305" t="s" s="165">
        <v>274</v>
      </c>
      <c r="E7305" s="179">
        <v>1.93</v>
      </c>
      <c r="F7305" s="23">
        <v>12.5</v>
      </c>
      <c r="G7305" s="322" cm="1">
        <f t="array" ref="G7305">E7305/F7305</f>
        <v>0.1544</v>
      </c>
      <c r="H7305" s="15"/>
    </row>
    <row r="7306" ht="13.65" customHeight="1">
      <c r="A7306" s="21">
        <v>86</v>
      </c>
      <c r="B7306" t="s" s="22">
        <v>107</v>
      </c>
      <c r="C7306" t="s" s="165">
        <v>108</v>
      </c>
      <c r="D7306" t="s" s="165">
        <v>274</v>
      </c>
      <c r="E7306" s="179">
        <v>0.32</v>
      </c>
      <c r="F7306" t="s" s="24">
        <v>301</v>
      </c>
      <c r="G7306" s="322" cm="1">
        <f t="array" ref="G7306">E7306*4</f>
        <v>1.28</v>
      </c>
      <c r="H7306" s="15"/>
    </row>
    <row r="7307" ht="13.65" customHeight="1">
      <c r="A7307" s="21">
        <v>149</v>
      </c>
      <c r="B7307" t="s" s="22">
        <v>906</v>
      </c>
      <c r="C7307" s="323">
        <v>100</v>
      </c>
      <c r="D7307" t="s" s="165">
        <v>104</v>
      </c>
      <c r="E7307" s="179">
        <v>9.6</v>
      </c>
      <c r="F7307" s="23">
        <v>100</v>
      </c>
      <c r="G7307" s="322" cm="1">
        <f t="array" ref="G7307">E7307/F7307</f>
        <v>0.096</v>
      </c>
      <c r="H7307" s="15"/>
    </row>
    <row r="7308" ht="13.65" customHeight="1">
      <c r="A7308" s="21">
        <v>87</v>
      </c>
      <c r="B7308" t="s" s="22">
        <v>110</v>
      </c>
      <c r="C7308" s="323">
        <v>50</v>
      </c>
      <c r="D7308" t="s" s="165">
        <v>274</v>
      </c>
      <c r="E7308" s="179">
        <v>9</v>
      </c>
      <c r="F7308" s="23">
        <v>12.5</v>
      </c>
      <c r="G7308" s="322" cm="1">
        <f t="array" ref="G7308">E7308/F7308</f>
        <v>0.72</v>
      </c>
      <c r="H7308" s="15"/>
    </row>
    <row r="7309" ht="13.65" customHeight="1">
      <c r="A7309" s="21">
        <v>123</v>
      </c>
      <c r="B7309" t="s" s="22">
        <v>103</v>
      </c>
      <c r="C7309" s="323">
        <v>40</v>
      </c>
      <c r="D7309" t="s" s="165">
        <v>104</v>
      </c>
      <c r="E7309" s="179">
        <v>3.2</v>
      </c>
      <c r="F7309" s="23">
        <v>40</v>
      </c>
      <c r="G7309" s="322" cm="1">
        <f t="array" ref="G7309">E7309/F7309</f>
        <v>0.08</v>
      </c>
      <c r="H7309" s="15"/>
    </row>
    <row r="7310" ht="13.65" customHeight="1">
      <c r="A7310" s="28"/>
      <c r="B7310" t="s" s="22">
        <v>482</v>
      </c>
      <c r="C7310" s="323">
        <v>1</v>
      </c>
      <c r="D7310" t="s" s="165">
        <v>104</v>
      </c>
      <c r="E7310" s="179">
        <v>45</v>
      </c>
      <c r="F7310" s="23">
        <v>1</v>
      </c>
      <c r="G7310" s="322">
        <v>45</v>
      </c>
      <c r="H7310" s="15"/>
    </row>
    <row r="7311" ht="13.65" customHeight="1">
      <c r="A7311" s="28"/>
      <c r="B7311" s="28"/>
      <c r="C7311" s="141"/>
      <c r="D7311" s="165"/>
      <c r="E7311" s="28"/>
      <c r="F7311" t="s" s="24">
        <v>118</v>
      </c>
      <c r="G7311" s="322" cm="1">
        <f t="array" ref="G7311">SUM(G7296:G7310)</f>
        <v>58.9760158730159</v>
      </c>
      <c r="H7311" s="15"/>
    </row>
    <row r="7312" ht="13.65" customHeight="1">
      <c r="A7312" s="129"/>
      <c r="B7312" s="129"/>
      <c r="C7312" s="129"/>
      <c r="D7312" s="166"/>
      <c r="E7312" s="129"/>
      <c r="F7312" s="176"/>
      <c r="G7312" s="327"/>
      <c r="H7312" s="3"/>
    </row>
    <row r="7313" ht="11.7" customHeight="1">
      <c r="A7313" t="s" s="328">
        <v>136</v>
      </c>
      <c r="B7313" t="s" s="167">
        <v>913</v>
      </c>
      <c r="C7313" t="s" s="167">
        <v>914</v>
      </c>
      <c r="D7313" t="s" s="329">
        <v>1034</v>
      </c>
      <c r="E7313" s="359"/>
      <c r="F7313" s="170"/>
      <c r="G7313" s="355"/>
      <c r="H7313" s="356"/>
    </row>
    <row r="7314" ht="13.65" customHeight="1">
      <c r="A7314" s="23">
        <v>60</v>
      </c>
      <c r="B7314" s="172" cm="1">
        <f t="array" ref="B7314">SUM(H256)</f>
        <v>2.47496540404041</v>
      </c>
      <c r="C7314" s="172" cm="1">
        <f t="array" ref="C7314">SUM(G7311)</f>
        <v>58.9760158730159</v>
      </c>
      <c r="D7314" s="201" cm="1">
        <f t="array" ref="D7314">SUM(A7314*B7314)+(C7314)</f>
        <v>207.473940115441</v>
      </c>
      <c r="E7314" s="202"/>
      <c r="F7314" s="331"/>
      <c r="G7314" s="332"/>
      <c r="H7314" s="3"/>
    </row>
    <row r="7315" ht="13.65" customHeight="1">
      <c r="A7315" s="129"/>
      <c r="B7315" s="129"/>
      <c r="C7315" s="333"/>
      <c r="D7315" s="166"/>
      <c r="E7315" s="136"/>
      <c r="F7315" s="317"/>
      <c r="G7315" s="332"/>
      <c r="H7315" s="3"/>
    </row>
    <row r="7316" ht="13.65" customHeight="1">
      <c r="A7316" t="s" s="22">
        <v>969</v>
      </c>
      <c r="B7316" t="s" s="132">
        <v>1016</v>
      </c>
      <c r="C7316" s="131"/>
      <c r="D7316" t="s" s="165">
        <v>918</v>
      </c>
      <c r="E7316" s="15"/>
      <c r="F7316" s="317"/>
      <c r="G7316" s="332"/>
      <c r="H7316" s="3"/>
    </row>
    <row r="7317" ht="13.65" customHeight="1">
      <c r="A7317" t="s" s="22">
        <v>969</v>
      </c>
      <c r="B7317" t="s" s="132">
        <v>970</v>
      </c>
      <c r="C7317" s="131"/>
      <c r="D7317" t="s" s="165">
        <v>918</v>
      </c>
      <c r="E7317" s="15"/>
      <c r="F7317" s="317"/>
      <c r="G7317" s="332"/>
      <c r="H7317" s="3"/>
    </row>
    <row r="7318" ht="13.65" customHeight="1">
      <c r="A7318" s="28"/>
      <c r="B7318" s="164"/>
      <c r="C7318" t="s" s="334">
        <v>924</v>
      </c>
      <c r="D7318" t="s" s="335">
        <v>102</v>
      </c>
      <c r="E7318" s="15"/>
      <c r="F7318" s="317"/>
      <c r="G7318" s="332"/>
      <c r="H7318" s="3"/>
    </row>
    <row r="7319" ht="13.65" customHeight="1">
      <c r="A7319" s="31"/>
      <c r="B7319" s="31"/>
      <c r="C7319" s="31"/>
      <c r="D7319" s="32"/>
      <c r="E7319" s="3"/>
      <c r="F7319" s="317"/>
      <c r="G7319" s="332"/>
      <c r="H7319" s="3"/>
    </row>
    <row r="7320" ht="13.65" customHeight="1">
      <c r="A7320" s="203"/>
      <c r="B7320" s="203"/>
      <c r="C7320" s="203"/>
      <c r="D7320" s="349"/>
      <c r="E7320" s="203"/>
      <c r="F7320" s="340"/>
      <c r="G7320" s="341"/>
      <c r="H7320" s="203"/>
    </row>
    <row r="7321" ht="13.65" customHeight="1">
      <c r="A7321" t="s" s="274">
        <v>853</v>
      </c>
      <c r="B7321" s="275"/>
      <c r="C7321" s="275"/>
      <c r="D7321" s="342"/>
      <c r="E7321" s="275"/>
      <c r="F7321" s="311"/>
      <c r="G7321" s="343"/>
      <c r="H7321" s="277"/>
    </row>
    <row r="7322" ht="13.65" customHeight="1">
      <c r="A7322" s="278"/>
      <c r="B7322" s="278"/>
      <c r="C7322" s="278"/>
      <c r="D7322" s="344"/>
      <c r="E7322" s="278"/>
      <c r="F7322" s="314"/>
      <c r="G7322" s="345"/>
      <c r="H7322" s="278"/>
    </row>
    <row r="7323" ht="13.65" customHeight="1">
      <c r="A7323" s="3"/>
      <c r="B7323" s="3"/>
      <c r="C7323" s="3"/>
      <c r="D7323" s="316"/>
      <c r="E7323" s="3"/>
      <c r="F7323" s="317"/>
      <c r="G7323" s="332"/>
      <c r="H7323" s="3"/>
    </row>
    <row r="7324" ht="13.65" customHeight="1">
      <c r="A7324" t="s" s="5">
        <v>1037</v>
      </c>
      <c r="B7324" s="3"/>
      <c r="C7324" s="3"/>
      <c r="D7324" s="316"/>
      <c r="E7324" s="3"/>
      <c r="F7324" s="317"/>
      <c r="G7324" s="332"/>
      <c r="H7324" s="3"/>
    </row>
    <row r="7325" ht="13.65" customHeight="1">
      <c r="A7325" s="11"/>
      <c r="B7325" s="11"/>
      <c r="C7325" s="11"/>
      <c r="D7325" s="319"/>
      <c r="E7325" s="11"/>
      <c r="F7325" s="320"/>
      <c r="G7325" s="346"/>
      <c r="H7325" s="3"/>
    </row>
    <row r="7326" ht="13.65" customHeight="1">
      <c r="A7326" s="13"/>
      <c r="B7326" s="13"/>
      <c r="C7326" s="13"/>
      <c r="D7326" s="14"/>
      <c r="E7326" s="13"/>
      <c r="F7326" s="13"/>
      <c r="G7326" t="s" s="14">
        <v>92</v>
      </c>
      <c r="H7326" s="15"/>
    </row>
    <row r="7327" ht="13.65" customHeight="1">
      <c r="A7327" t="s" s="16">
        <v>93</v>
      </c>
      <c r="B7327" t="s" s="16">
        <v>94</v>
      </c>
      <c r="C7327" t="s" s="16">
        <v>95</v>
      </c>
      <c r="D7327" t="s" s="16">
        <v>96</v>
      </c>
      <c r="E7327" t="s" s="16">
        <v>97</v>
      </c>
      <c r="F7327" t="s" s="16">
        <v>98</v>
      </c>
      <c r="G7327" t="s" s="16">
        <v>99</v>
      </c>
      <c r="H7327" s="15"/>
    </row>
    <row r="7328" ht="13.65" customHeight="1">
      <c r="A7328" s="19"/>
      <c r="B7328" s="19"/>
      <c r="C7328" s="19"/>
      <c r="D7328" s="20"/>
      <c r="E7328" s="19"/>
      <c r="F7328" s="19"/>
      <c r="G7328" t="s" s="20">
        <v>100</v>
      </c>
      <c r="H7328" s="15"/>
    </row>
    <row r="7329" ht="13.65" customHeight="1">
      <c r="A7329" s="21">
        <v>166</v>
      </c>
      <c r="B7329" t="s" s="22">
        <v>477</v>
      </c>
      <c r="C7329" s="323">
        <v>500</v>
      </c>
      <c r="D7329" t="s" s="165">
        <v>663</v>
      </c>
      <c r="E7329" s="179">
        <v>29.73</v>
      </c>
      <c r="F7329" s="23">
        <v>12.5</v>
      </c>
      <c r="G7329" s="322" cm="1">
        <f t="array" ref="G7329">E7329/F7329</f>
        <v>2.3784</v>
      </c>
      <c r="H7329" s="15"/>
    </row>
    <row r="7330" ht="13.65" customHeight="1">
      <c r="A7330" s="21">
        <v>161</v>
      </c>
      <c r="B7330" t="s" s="22">
        <v>1038</v>
      </c>
      <c r="C7330" s="323">
        <v>10</v>
      </c>
      <c r="D7330" t="s" s="165">
        <v>104</v>
      </c>
      <c r="E7330" s="179">
        <v>24.8</v>
      </c>
      <c r="F7330" s="23">
        <v>10</v>
      </c>
      <c r="G7330" s="322" cm="1">
        <f t="array" ref="G7330">E7330/F7330</f>
        <v>2.48</v>
      </c>
      <c r="H7330" s="15"/>
    </row>
    <row r="7331" ht="13.65" customHeight="1">
      <c r="A7331" s="21">
        <v>144</v>
      </c>
      <c r="B7331" t="s" s="22">
        <v>896</v>
      </c>
      <c r="C7331" s="323">
        <v>280</v>
      </c>
      <c r="D7331" t="s" s="165">
        <v>104</v>
      </c>
      <c r="E7331" s="179">
        <v>137.5</v>
      </c>
      <c r="F7331" s="23">
        <v>280</v>
      </c>
      <c r="G7331" s="322" cm="1">
        <f t="array" ref="G7331">E7331/F7331</f>
        <v>0.491071428571429</v>
      </c>
      <c r="H7331" s="15"/>
    </row>
    <row r="7332" ht="13.65" customHeight="1">
      <c r="A7332" s="21">
        <v>27</v>
      </c>
      <c r="B7332" t="s" s="22">
        <v>474</v>
      </c>
      <c r="C7332" s="323">
        <v>18</v>
      </c>
      <c r="D7332" t="s" s="165">
        <v>104</v>
      </c>
      <c r="E7332" s="179">
        <v>6.5</v>
      </c>
      <c r="F7332" s="23">
        <v>18</v>
      </c>
      <c r="G7332" s="322" cm="1">
        <f t="array" ref="G7332">E7332/F7332</f>
        <v>0.361111111111111</v>
      </c>
      <c r="H7332" s="15"/>
    </row>
    <row r="7333" ht="13.65" customHeight="1">
      <c r="A7333" s="21">
        <v>55</v>
      </c>
      <c r="B7333" t="s" s="22">
        <v>111</v>
      </c>
      <c r="C7333" t="s" s="165">
        <v>112</v>
      </c>
      <c r="D7333" t="s" s="165">
        <v>651</v>
      </c>
      <c r="E7333" s="179">
        <v>2.71</v>
      </c>
      <c r="F7333" s="23">
        <v>18.75</v>
      </c>
      <c r="G7333" s="322" cm="1">
        <f t="array" ref="G7333">E7333/F7333</f>
        <v>0.144533333333333</v>
      </c>
      <c r="H7333" s="15"/>
    </row>
    <row r="7334" ht="13.65" customHeight="1">
      <c r="A7334" s="21">
        <v>57</v>
      </c>
      <c r="B7334" t="s" s="22">
        <v>253</v>
      </c>
      <c r="C7334" t="s" s="165">
        <v>254</v>
      </c>
      <c r="D7334" t="s" s="165">
        <v>255</v>
      </c>
      <c r="E7334" s="179">
        <v>4.5</v>
      </c>
      <c r="F7334" s="23">
        <v>200</v>
      </c>
      <c r="G7334" s="322" cm="1">
        <f t="array" ref="G7334">E7334/F7334</f>
        <v>0.0225</v>
      </c>
      <c r="H7334" s="15"/>
    </row>
    <row r="7335" ht="13.65" customHeight="1">
      <c r="A7335" s="21">
        <v>168</v>
      </c>
      <c r="B7335" t="s" s="22">
        <v>992</v>
      </c>
      <c r="C7335" s="323">
        <v>1</v>
      </c>
      <c r="D7335" t="s" s="165">
        <v>985</v>
      </c>
      <c r="E7335" s="179">
        <v>90</v>
      </c>
      <c r="F7335" s="23">
        <v>50</v>
      </c>
      <c r="G7335" s="322" cm="1">
        <f t="array" ref="G7335">E7335/F7335</f>
        <v>1.8</v>
      </c>
      <c r="H7335" s="15"/>
    </row>
    <row r="7336" ht="13.65" customHeight="1">
      <c r="A7336" s="21">
        <v>68</v>
      </c>
      <c r="B7336" t="s" s="22">
        <v>480</v>
      </c>
      <c r="C7336" t="s" s="165">
        <v>481</v>
      </c>
      <c r="D7336" t="s" s="165">
        <v>380</v>
      </c>
      <c r="E7336" s="179">
        <v>16</v>
      </c>
      <c r="F7336" s="23">
        <v>10</v>
      </c>
      <c r="G7336" s="322" cm="1">
        <f t="array" ref="G7336">E7336/F7336</f>
        <v>1.6</v>
      </c>
      <c r="H7336" s="15"/>
    </row>
    <row r="7337" ht="13.65" customHeight="1">
      <c r="A7337" s="21">
        <v>71</v>
      </c>
      <c r="B7337" t="s" s="22">
        <v>109</v>
      </c>
      <c r="C7337" s="323">
        <v>10</v>
      </c>
      <c r="D7337" t="s" s="165">
        <v>274</v>
      </c>
      <c r="E7337" s="179">
        <v>5.92</v>
      </c>
      <c r="F7337" s="362">
        <v>2.5</v>
      </c>
      <c r="G7337" s="322" cm="1">
        <f t="array" ref="G7337">E7337/F7337</f>
        <v>2.368</v>
      </c>
      <c r="H7337" s="15"/>
    </row>
    <row r="7338" ht="13.65" customHeight="1">
      <c r="A7338" s="21">
        <v>72</v>
      </c>
      <c r="B7338" t="s" s="22">
        <v>101</v>
      </c>
      <c r="C7338" s="323">
        <v>50</v>
      </c>
      <c r="D7338" t="s" s="165">
        <v>274</v>
      </c>
      <c r="E7338" s="179">
        <v>1.93</v>
      </c>
      <c r="F7338" s="23">
        <v>12.5</v>
      </c>
      <c r="G7338" s="322" cm="1">
        <f t="array" ref="G7338">E7338/F7338</f>
        <v>0.1544</v>
      </c>
      <c r="H7338" s="15"/>
    </row>
    <row r="7339" ht="13.65" customHeight="1">
      <c r="A7339" s="21">
        <v>86</v>
      </c>
      <c r="B7339" t="s" s="22">
        <v>1027</v>
      </c>
      <c r="C7339" t="s" s="165">
        <v>108</v>
      </c>
      <c r="D7339" t="s" s="165">
        <v>274</v>
      </c>
      <c r="E7339" s="179">
        <v>0.32</v>
      </c>
      <c r="F7339" t="s" s="24">
        <v>301</v>
      </c>
      <c r="G7339" s="322" cm="1">
        <f t="array" ref="G7339">E7339*4</f>
        <v>1.28</v>
      </c>
      <c r="H7339" s="15"/>
    </row>
    <row r="7340" ht="13.65" customHeight="1">
      <c r="A7340" s="21">
        <v>149</v>
      </c>
      <c r="B7340" t="s" s="22">
        <v>906</v>
      </c>
      <c r="C7340" s="323">
        <v>100</v>
      </c>
      <c r="D7340" t="s" s="165">
        <v>104</v>
      </c>
      <c r="E7340" s="179">
        <v>9.6</v>
      </c>
      <c r="F7340" s="23">
        <v>100</v>
      </c>
      <c r="G7340" s="322" cm="1">
        <f t="array" ref="G7340">E7340/F7340</f>
        <v>0.096</v>
      </c>
      <c r="H7340" s="15"/>
    </row>
    <row r="7341" ht="13.65" customHeight="1">
      <c r="A7341" s="21">
        <v>87</v>
      </c>
      <c r="B7341" t="s" s="22">
        <v>110</v>
      </c>
      <c r="C7341" s="323">
        <v>50</v>
      </c>
      <c r="D7341" t="s" s="165">
        <v>274</v>
      </c>
      <c r="E7341" s="179">
        <v>9</v>
      </c>
      <c r="F7341" s="23">
        <v>12.5</v>
      </c>
      <c r="G7341" s="322" cm="1">
        <f t="array" ref="G7341">E7341/F7341</f>
        <v>0.72</v>
      </c>
      <c r="H7341" s="15"/>
    </row>
    <row r="7342" ht="13.65" customHeight="1">
      <c r="A7342" s="21">
        <v>123</v>
      </c>
      <c r="B7342" t="s" s="22">
        <v>103</v>
      </c>
      <c r="C7342" s="323">
        <v>40</v>
      </c>
      <c r="D7342" t="s" s="165">
        <v>104</v>
      </c>
      <c r="E7342" s="179">
        <v>3.2</v>
      </c>
      <c r="F7342" s="23">
        <v>40</v>
      </c>
      <c r="G7342" s="322" cm="1">
        <f t="array" ref="G7342">E7342/F7342</f>
        <v>0.08</v>
      </c>
      <c r="H7342" s="15"/>
    </row>
    <row r="7343" ht="13.65" customHeight="1">
      <c r="A7343" s="28"/>
      <c r="B7343" t="s" s="22">
        <v>482</v>
      </c>
      <c r="C7343" s="323">
        <v>1</v>
      </c>
      <c r="D7343" t="s" s="165">
        <v>104</v>
      </c>
      <c r="E7343" s="179">
        <v>40</v>
      </c>
      <c r="F7343" s="23">
        <v>1</v>
      </c>
      <c r="G7343" s="322">
        <v>40</v>
      </c>
      <c r="H7343" s="15"/>
    </row>
    <row r="7344" ht="13.65" customHeight="1">
      <c r="A7344" s="28"/>
      <c r="B7344" s="28"/>
      <c r="C7344" s="141"/>
      <c r="D7344" s="165"/>
      <c r="E7344" s="28"/>
      <c r="F7344" t="s" s="24">
        <v>118</v>
      </c>
      <c r="G7344" s="322" cm="1">
        <f t="array" ref="G7344">SUM(G7329:G7343)</f>
        <v>53.9760158730159</v>
      </c>
      <c r="H7344" s="15"/>
    </row>
    <row r="7345" ht="13.65" customHeight="1">
      <c r="A7345" s="129"/>
      <c r="B7345" s="129"/>
      <c r="C7345" s="129"/>
      <c r="D7345" s="166"/>
      <c r="E7345" s="129"/>
      <c r="F7345" s="176"/>
      <c r="G7345" s="327"/>
      <c r="H7345" s="3"/>
    </row>
    <row r="7346" ht="11.7" customHeight="1">
      <c r="A7346" t="s" s="328">
        <v>136</v>
      </c>
      <c r="B7346" t="s" s="167">
        <v>913</v>
      </c>
      <c r="C7346" t="s" s="167">
        <v>914</v>
      </c>
      <c r="D7346" t="s" s="329">
        <v>1034</v>
      </c>
      <c r="E7346" s="359"/>
      <c r="F7346" s="170"/>
      <c r="G7346" s="355"/>
      <c r="H7346" s="356"/>
    </row>
    <row r="7347" ht="13.65" customHeight="1">
      <c r="A7347" s="23">
        <v>60</v>
      </c>
      <c r="B7347" s="172" cm="1">
        <f t="array" ref="B7347">SUM(H256)</f>
        <v>2.47496540404041</v>
      </c>
      <c r="C7347" s="172" cm="1">
        <f t="array" ref="C7347">SUM(G7344)</f>
        <v>53.9760158730159</v>
      </c>
      <c r="D7347" s="201" cm="1">
        <f t="array" ref="D7347">SUM(A7347*B7347)+(C7347)</f>
        <v>202.473940115441</v>
      </c>
      <c r="E7347" s="202"/>
      <c r="F7347" s="331"/>
      <c r="G7347" s="332"/>
      <c r="H7347" s="3"/>
    </row>
    <row r="7348" ht="13.65" customHeight="1">
      <c r="A7348" s="129"/>
      <c r="B7348" s="129"/>
      <c r="C7348" s="333"/>
      <c r="D7348" s="166"/>
      <c r="E7348" s="136"/>
      <c r="F7348" s="317"/>
      <c r="G7348" s="332"/>
      <c r="H7348" s="3"/>
    </row>
    <row r="7349" ht="13.65" customHeight="1">
      <c r="A7349" t="s" s="22">
        <v>969</v>
      </c>
      <c r="B7349" t="s" s="132">
        <v>1016</v>
      </c>
      <c r="C7349" s="131"/>
      <c r="D7349" t="s" s="165">
        <v>918</v>
      </c>
      <c r="E7349" s="15"/>
      <c r="F7349" s="317"/>
      <c r="G7349" s="332"/>
      <c r="H7349" s="3"/>
    </row>
    <row r="7350" ht="13.65" customHeight="1">
      <c r="A7350" t="s" s="22">
        <v>969</v>
      </c>
      <c r="B7350" t="s" s="132">
        <v>970</v>
      </c>
      <c r="C7350" s="131"/>
      <c r="D7350" t="s" s="165">
        <v>918</v>
      </c>
      <c r="E7350" s="15"/>
      <c r="F7350" s="317"/>
      <c r="G7350" s="332"/>
      <c r="H7350" s="3"/>
    </row>
    <row r="7351" ht="13.65" customHeight="1">
      <c r="A7351" s="28"/>
      <c r="B7351" s="164"/>
      <c r="C7351" t="s" s="334">
        <v>924</v>
      </c>
      <c r="D7351" t="s" s="335">
        <v>102</v>
      </c>
      <c r="E7351" s="15"/>
      <c r="F7351" s="317"/>
      <c r="G7351" s="332"/>
      <c r="H7351" s="3"/>
    </row>
    <row r="7352" ht="13.65" customHeight="1">
      <c r="A7352" s="31"/>
      <c r="B7352" s="31"/>
      <c r="C7352" s="336"/>
      <c r="D7352" s="337"/>
      <c r="E7352" s="3"/>
      <c r="F7352" s="317"/>
      <c r="G7352" s="332"/>
      <c r="H7352" s="3"/>
    </row>
    <row r="7353" ht="13.65" customHeight="1">
      <c r="A7353" s="3"/>
      <c r="B7353" s="3"/>
      <c r="C7353" s="35"/>
      <c r="D7353" s="365"/>
      <c r="E7353" s="3"/>
      <c r="F7353" s="317"/>
      <c r="G7353" s="332"/>
      <c r="H7353" s="3"/>
    </row>
    <row r="7354" ht="28.5" customHeight="1">
      <c r="A7354" t="s" s="366">
        <v>1039</v>
      </c>
      <c r="B7354" s="367"/>
      <c r="C7354" s="367"/>
      <c r="D7354" s="367"/>
      <c r="E7354" s="367"/>
      <c r="F7354" s="367"/>
      <c r="G7354" s="367"/>
      <c r="H7354" s="367"/>
    </row>
    <row r="7355" ht="15" customHeight="1">
      <c r="A7355" t="s" s="368">
        <v>1040</v>
      </c>
      <c r="B7355" s="369"/>
      <c r="C7355" s="369"/>
      <c r="D7355" t="s" s="370">
        <v>1041</v>
      </c>
      <c r="E7355" t="s" s="368">
        <v>1042</v>
      </c>
      <c r="F7355" s="371"/>
      <c r="G7355" s="371"/>
      <c r="H7355" t="s" s="370">
        <v>156</v>
      </c>
    </row>
    <row r="7356" ht="8.25" customHeight="1">
      <c r="A7356" t="s" s="372">
        <v>1043</v>
      </c>
      <c r="B7356" s="373"/>
      <c r="C7356" s="373"/>
      <c r="D7356" t="s" s="374">
        <v>1044</v>
      </c>
      <c r="E7356" t="s" s="375">
        <v>1045</v>
      </c>
      <c r="F7356" s="376"/>
      <c r="G7356" s="376"/>
      <c r="H7356" s="377" cm="1">
        <f t="array" ref="H7356">SUM(D1975)</f>
        <v>343.539597197848</v>
      </c>
    </row>
    <row r="7357" ht="8.25" customHeight="1">
      <c r="A7357" t="s" s="378">
        <v>1046</v>
      </c>
      <c r="B7357" s="379"/>
      <c r="C7357" s="379"/>
      <c r="D7357" t="s" s="380">
        <v>1047</v>
      </c>
      <c r="E7357" t="s" s="381">
        <v>1048</v>
      </c>
      <c r="F7357" s="382"/>
      <c r="G7357" s="382"/>
      <c r="H7357" s="383" cm="1">
        <f t="array" ref="H7357">SUM(D2021)</f>
        <v>403.997323893375</v>
      </c>
    </row>
    <row r="7358" ht="8.25" customHeight="1">
      <c r="A7358" t="s" s="372">
        <v>1049</v>
      </c>
      <c r="B7358" s="373"/>
      <c r="C7358" s="373"/>
      <c r="D7358" t="s" s="374">
        <v>1050</v>
      </c>
      <c r="E7358" t="s" s="375">
        <v>1051</v>
      </c>
      <c r="F7358" s="376"/>
      <c r="G7358" s="376"/>
      <c r="H7358" s="377" cm="1">
        <f t="array" ref="H7358">SUM(D2067)</f>
        <v>675.351328149654</v>
      </c>
    </row>
    <row r="7359" ht="8.25" customHeight="1">
      <c r="A7359" t="s" s="378">
        <v>1052</v>
      </c>
      <c r="B7359" s="379"/>
      <c r="C7359" s="379"/>
      <c r="D7359" t="s" s="380">
        <v>1053</v>
      </c>
      <c r="E7359" t="s" s="381">
        <v>1054</v>
      </c>
      <c r="F7359" s="382"/>
      <c r="G7359" s="382"/>
      <c r="H7359" s="383" cm="1">
        <f t="array" ref="H7359">SUM(D2114)</f>
        <v>371.467228715730</v>
      </c>
    </row>
    <row r="7360" ht="8.25" customHeight="1">
      <c r="A7360" t="s" s="372">
        <v>1055</v>
      </c>
      <c r="B7360" s="373"/>
      <c r="C7360" s="373"/>
      <c r="D7360" t="s" s="374">
        <v>1056</v>
      </c>
      <c r="E7360" t="s" s="375">
        <v>1057</v>
      </c>
      <c r="F7360" s="376"/>
      <c r="G7360" s="376"/>
      <c r="H7360" s="377" cm="1">
        <f t="array" ref="H7360">SUM(D2162)</f>
        <v>512.5364342420201</v>
      </c>
    </row>
    <row r="7361" ht="8.25" customHeight="1">
      <c r="A7361" t="s" s="378">
        <v>1058</v>
      </c>
      <c r="B7361" s="379"/>
      <c r="C7361" s="379"/>
      <c r="D7361" t="s" s="380">
        <v>1059</v>
      </c>
      <c r="E7361" t="s" s="381">
        <v>1060</v>
      </c>
      <c r="F7361" s="382"/>
      <c r="G7361" s="382"/>
      <c r="H7361" s="383" cm="1">
        <f t="array" ref="H7361">SUM(D2210)</f>
        <v>876.616815491430</v>
      </c>
    </row>
    <row r="7362" ht="8.25" customHeight="1">
      <c r="A7362" t="s" s="372">
        <v>1061</v>
      </c>
      <c r="B7362" s="373"/>
      <c r="C7362" s="373"/>
      <c r="D7362" t="s" s="374">
        <v>1062</v>
      </c>
      <c r="E7362" t="s" s="375">
        <v>1063</v>
      </c>
      <c r="F7362" s="376"/>
      <c r="G7362" s="376"/>
      <c r="H7362" s="377" cm="1">
        <f t="array" ref="H7362">SUM(D2245)</f>
        <v>208.945394119770</v>
      </c>
    </row>
    <row r="7363" ht="8.25" customHeight="1">
      <c r="A7363" t="s" s="378">
        <v>1064</v>
      </c>
      <c r="B7363" s="379"/>
      <c r="C7363" s="379"/>
      <c r="D7363" t="s" s="380">
        <v>1065</v>
      </c>
      <c r="E7363" t="s" s="381">
        <v>1066</v>
      </c>
      <c r="F7363" s="382"/>
      <c r="G7363" s="382"/>
      <c r="H7363" s="383" cm="1">
        <f t="array" ref="H7363">SUM(D2264)</f>
        <v>188.171390909091</v>
      </c>
    </row>
    <row r="7364" ht="8.25" customHeight="1">
      <c r="A7364" t="s" s="372">
        <v>1067</v>
      </c>
      <c r="B7364" s="373"/>
      <c r="C7364" s="373"/>
      <c r="D7364" t="s" s="374">
        <v>1068</v>
      </c>
      <c r="E7364" t="s" s="375">
        <v>1069</v>
      </c>
      <c r="F7364" s="376"/>
      <c r="G7364" s="376"/>
      <c r="H7364" s="377" cm="1">
        <f t="array" ref="H7364">SUM(D2293)</f>
        <v>142.928194191920</v>
      </c>
    </row>
    <row r="7365" ht="8.25" customHeight="1">
      <c r="A7365" t="s" s="378">
        <v>1070</v>
      </c>
      <c r="B7365" s="379"/>
      <c r="C7365" s="379"/>
      <c r="D7365" t="s" s="380">
        <v>1071</v>
      </c>
      <c r="E7365" t="s" s="381">
        <v>1072</v>
      </c>
      <c r="F7365" s="382"/>
      <c r="G7365" s="382"/>
      <c r="H7365" s="383" cm="1">
        <f t="array" ref="H7365">SUM(D2324)</f>
        <v>159.474407885170</v>
      </c>
    </row>
    <row r="7366" ht="8.25" customHeight="1">
      <c r="A7366" s="384"/>
      <c r="B7366" s="385"/>
      <c r="C7366" s="385"/>
      <c r="D7366" s="386"/>
      <c r="E7366" t="s" s="375">
        <v>1073</v>
      </c>
      <c r="F7366" s="376"/>
      <c r="G7366" s="376"/>
      <c r="H7366" s="377" cm="1">
        <f t="array" ref="H7366">SUM(D2355)</f>
        <v>239.041121000486</v>
      </c>
    </row>
    <row r="7367" ht="8.25" customHeight="1">
      <c r="A7367" t="s" s="387">
        <v>1074</v>
      </c>
      <c r="B7367" s="388"/>
      <c r="C7367" s="388"/>
      <c r="D7367" t="s" s="389">
        <v>156</v>
      </c>
      <c r="E7367" t="s" s="381">
        <v>1075</v>
      </c>
      <c r="F7367" s="382"/>
      <c r="G7367" s="382"/>
      <c r="H7367" s="383" cm="1">
        <f t="array" ref="H7367">SUM(D2379)</f>
        <v>89.90435259740281</v>
      </c>
    </row>
    <row r="7368" ht="8.25" customHeight="1">
      <c r="A7368" t="s" s="390">
        <v>1076</v>
      </c>
      <c r="B7368" s="391"/>
      <c r="C7368" s="391"/>
      <c r="D7368" s="392"/>
      <c r="E7368" t="s" s="375">
        <v>1077</v>
      </c>
      <c r="F7368" s="376"/>
      <c r="G7368" s="376"/>
      <c r="H7368" s="377" cm="1">
        <f t="array" ref="H7368">SUM(D2416)</f>
        <v>111.174612777798</v>
      </c>
    </row>
    <row r="7369" ht="8.25" customHeight="1">
      <c r="A7369" t="s" s="393">
        <v>1078</v>
      </c>
      <c r="B7369" s="394"/>
      <c r="C7369" s="394"/>
      <c r="D7369" s="395" cm="1">
        <f t="array" ref="D7369">SUM(D364)</f>
        <v>106.069760101010</v>
      </c>
      <c r="E7369" t="s" s="381">
        <v>1079</v>
      </c>
      <c r="F7369" s="382"/>
      <c r="G7369" s="382"/>
      <c r="H7369" s="383" cm="1">
        <f t="array" ref="H7369">SUM(D2447)</f>
        <v>162.492051515152</v>
      </c>
    </row>
    <row r="7370" ht="8.25" customHeight="1">
      <c r="A7370" t="s" s="390">
        <v>1080</v>
      </c>
      <c r="B7370" s="391"/>
      <c r="C7370" s="391"/>
      <c r="D7370" s="392" cm="1">
        <f t="array" ref="D7370">(D388)</f>
        <v>118.932</v>
      </c>
      <c r="E7370" t="s" s="375">
        <v>1081</v>
      </c>
      <c r="F7370" s="376"/>
      <c r="G7370" s="376"/>
      <c r="H7370" s="377" cm="1">
        <f t="array" ref="H7370">SUM(D2475)</f>
        <v>349.839584252161</v>
      </c>
    </row>
    <row r="7371" ht="8.25" customHeight="1">
      <c r="A7371" t="s" s="393">
        <v>1082</v>
      </c>
      <c r="B7371" s="394"/>
      <c r="C7371" s="394"/>
      <c r="D7371" s="395" cm="1">
        <f t="array" ref="D7371">SUM(D407)</f>
        <v>92.3701224747477</v>
      </c>
      <c r="E7371" t="s" s="381">
        <v>1083</v>
      </c>
      <c r="F7371" s="382"/>
      <c r="G7371" s="382"/>
      <c r="H7371" s="383" cm="1">
        <f t="array" ref="H7371">SUM(D2507)</f>
        <v>386.739238292565</v>
      </c>
    </row>
    <row r="7372" ht="8.25" customHeight="1">
      <c r="A7372" t="s" s="390">
        <v>1084</v>
      </c>
      <c r="B7372" s="391"/>
      <c r="C7372" s="391"/>
      <c r="D7372" s="392" cm="1">
        <f t="array" ref="D7372">SUM(C413)</f>
        <v>111.373443181818</v>
      </c>
      <c r="E7372" t="s" s="375">
        <v>1085</v>
      </c>
      <c r="F7372" s="376"/>
      <c r="G7372" s="376"/>
      <c r="H7372" s="377" cm="1">
        <f t="array" ref="H7372">SUM(D2535)</f>
        <v>424.016296373373</v>
      </c>
    </row>
    <row r="7373" ht="8.25" customHeight="1">
      <c r="A7373" t="s" s="396">
        <v>1086</v>
      </c>
      <c r="B7373" s="397"/>
      <c r="C7373" s="397"/>
      <c r="D7373" s="398"/>
      <c r="E7373" t="s" s="381">
        <v>1087</v>
      </c>
      <c r="F7373" s="382"/>
      <c r="G7373" s="382"/>
      <c r="H7373" s="383" cm="1">
        <f t="array" ref="H7373">SUM(D2567)</f>
        <v>461.800700413777</v>
      </c>
    </row>
    <row r="7374" ht="8.25" customHeight="1">
      <c r="A7374" s="384"/>
      <c r="B7374" s="385"/>
      <c r="C7374" s="385"/>
      <c r="D7374" s="392"/>
      <c r="E7374" t="s" s="375">
        <v>1088</v>
      </c>
      <c r="F7374" s="376"/>
      <c r="G7374" s="376"/>
      <c r="H7374" s="377" cm="1">
        <f t="array" ref="H7374">SUM(D2596)</f>
        <v>498.265258494586</v>
      </c>
    </row>
    <row r="7375" ht="8.25" customHeight="1">
      <c r="A7375" t="s" s="399">
        <v>1089</v>
      </c>
      <c r="B7375" s="400"/>
      <c r="C7375" s="400"/>
      <c r="D7375" t="s" s="389">
        <v>156</v>
      </c>
      <c r="E7375" t="s" s="381">
        <v>1090</v>
      </c>
      <c r="F7375" s="382"/>
      <c r="G7375" s="382"/>
      <c r="H7375" s="383" cm="1">
        <f t="array" ref="H7375">SUM(D2628)</f>
        <v>536.049662534990</v>
      </c>
    </row>
    <row r="7376" ht="8.25" customHeight="1">
      <c r="A7376" t="s" s="390">
        <v>1091</v>
      </c>
      <c r="B7376" s="391"/>
      <c r="C7376" s="391"/>
      <c r="D7376" s="392" cm="1">
        <f t="array" ref="D7376">SUM(D485)</f>
        <v>7.19001593013468</v>
      </c>
      <c r="E7376" t="s" s="375">
        <v>1092</v>
      </c>
      <c r="F7376" s="376"/>
      <c r="G7376" s="376"/>
      <c r="H7376" s="377" cm="1">
        <f t="array" ref="H7376">SUM(D2668)</f>
        <v>144.248522835498</v>
      </c>
    </row>
    <row r="7377" ht="8.25" customHeight="1">
      <c r="A7377" t="s" s="393">
        <v>1093</v>
      </c>
      <c r="B7377" s="394"/>
      <c r="C7377" s="394"/>
      <c r="D7377" s="395" cm="1">
        <f t="array" ref="D7377">SUM(D498)</f>
        <v>7.19001593013468</v>
      </c>
      <c r="E7377" t="s" s="381">
        <v>1094</v>
      </c>
      <c r="F7377" s="382"/>
      <c r="G7377" s="382"/>
      <c r="H7377" s="383" cm="1">
        <f t="array" ref="H7377">SUM(D2703)</f>
        <v>147.071259018759</v>
      </c>
    </row>
    <row r="7378" ht="8.25" customHeight="1">
      <c r="A7378" t="s" s="390">
        <v>1095</v>
      </c>
      <c r="B7378" s="391"/>
      <c r="C7378" s="391"/>
      <c r="D7378" s="392" cm="1">
        <f t="array" ref="D7378">SUM(D511)</f>
        <v>16.4500318602694</v>
      </c>
      <c r="E7378" t="s" s="375">
        <v>1096</v>
      </c>
      <c r="F7378" s="376"/>
      <c r="G7378" s="376"/>
      <c r="H7378" s="377" cm="1">
        <f t="array" ref="H7378">SUM(D2735)</f>
        <v>60.0530353535355</v>
      </c>
    </row>
    <row r="7379" ht="8.25" customHeight="1">
      <c r="A7379" t="s" s="393">
        <v>1097</v>
      </c>
      <c r="B7379" s="394"/>
      <c r="C7379" s="394"/>
      <c r="D7379" s="395" cm="1">
        <f t="array" ref="D7379">SUM(D524)</f>
        <v>34.0100955808081</v>
      </c>
      <c r="E7379" t="s" s="381">
        <v>1098</v>
      </c>
      <c r="F7379" s="382"/>
      <c r="G7379" s="382"/>
      <c r="H7379" s="383" cm="1">
        <f t="array" ref="H7379">SUM(D2761)</f>
        <v>82.26566515151529</v>
      </c>
    </row>
    <row r="7380" ht="8.25" customHeight="1">
      <c r="A7380" t="s" s="390">
        <v>1099</v>
      </c>
      <c r="B7380" s="391"/>
      <c r="C7380" s="391"/>
      <c r="D7380" s="392" cm="1">
        <f t="array" ref="D7380">SUM(D541)</f>
        <v>64.8821847895622</v>
      </c>
      <c r="E7380" s="401"/>
      <c r="F7380" s="402"/>
      <c r="G7380" s="402"/>
      <c r="H7380" s="403"/>
    </row>
    <row r="7381" ht="8.25" customHeight="1">
      <c r="A7381" t="s" s="393">
        <v>1100</v>
      </c>
      <c r="B7381" s="394"/>
      <c r="C7381" s="394"/>
      <c r="D7381" s="395" cm="1">
        <f t="array" ref="D7381">SUM(D555)</f>
        <v>30.9480860227272</v>
      </c>
      <c r="E7381" t="s" s="399">
        <v>1101</v>
      </c>
      <c r="F7381" s="404"/>
      <c r="G7381" s="404"/>
      <c r="H7381" t="s" s="389">
        <v>156</v>
      </c>
    </row>
    <row r="7382" ht="8.25" customHeight="1">
      <c r="A7382" t="s" s="390">
        <v>1102</v>
      </c>
      <c r="B7382" s="391"/>
      <c r="C7382" s="391"/>
      <c r="D7382" s="392" cm="1">
        <f t="array" ref="D7382">SUM(D569)</f>
        <v>41.4341146969697</v>
      </c>
      <c r="E7382" t="s" s="390">
        <v>1103</v>
      </c>
      <c r="F7382" s="405"/>
      <c r="G7382" s="405"/>
      <c r="H7382" s="377" cm="1">
        <f t="array" ref="H7382">SUM(D2793)</f>
        <v>167.574187878788</v>
      </c>
    </row>
    <row r="7383" ht="8.25" customHeight="1">
      <c r="A7383" t="s" s="393">
        <v>1104</v>
      </c>
      <c r="B7383" s="394"/>
      <c r="C7383" s="394"/>
      <c r="D7383" s="395" cm="1">
        <f t="array" ref="D7383">SUM(D582)</f>
        <v>33.9900955808081</v>
      </c>
      <c r="E7383" t="s" s="393">
        <v>1105</v>
      </c>
      <c r="F7383" s="406"/>
      <c r="G7383" s="406"/>
      <c r="H7383" s="383" cm="1">
        <f t="array" ref="H7383">SUM(D2822)</f>
        <v>142.824533838384</v>
      </c>
    </row>
    <row r="7384" ht="8.25" customHeight="1">
      <c r="A7384" t="s" s="390">
        <v>1106</v>
      </c>
      <c r="B7384" s="391"/>
      <c r="C7384" s="391"/>
      <c r="D7384" s="392" cm="1">
        <f t="array" ref="D7384">SUM(D599)</f>
        <v>37.1381019528619</v>
      </c>
      <c r="E7384" t="s" s="390">
        <v>1107</v>
      </c>
      <c r="F7384" s="405"/>
      <c r="G7384" s="405"/>
      <c r="H7384" s="377" cm="1">
        <f t="array" ref="H7384">SUM(D2851)</f>
        <v>168.906687878788</v>
      </c>
    </row>
    <row r="7385" ht="8.25" customHeight="1">
      <c r="A7385" t="s" s="393">
        <v>1108</v>
      </c>
      <c r="B7385" s="394"/>
      <c r="C7385" s="394"/>
      <c r="D7385" s="395" cm="1">
        <f t="array" ref="D7385">SUM(D612)</f>
        <v>36.7460923947811</v>
      </c>
      <c r="E7385" t="s" s="393">
        <v>1109</v>
      </c>
      <c r="F7385" s="406"/>
      <c r="G7385" s="406"/>
      <c r="H7385" s="383" cm="1">
        <f t="array" ref="H7385">SUM(D2881)</f>
        <v>136.639543181818</v>
      </c>
    </row>
    <row r="7386" ht="8.25" customHeight="1">
      <c r="A7386" t="s" s="390">
        <v>1110</v>
      </c>
      <c r="B7386" s="391"/>
      <c r="C7386" s="391"/>
      <c r="D7386" s="392" cm="1">
        <f t="array" ref="D7386">SUM(D625)</f>
        <v>6.73001593013468</v>
      </c>
      <c r="E7386" t="s" s="390">
        <v>1111</v>
      </c>
      <c r="F7386" s="405"/>
      <c r="G7386" s="405"/>
      <c r="H7386" s="377" cm="1">
        <f t="array" ref="H7386">SUM(D2906)</f>
        <v>65.78133207070719</v>
      </c>
    </row>
    <row r="7387" ht="8.25" customHeight="1">
      <c r="A7387" t="s" s="393">
        <v>1112</v>
      </c>
      <c r="B7387" s="394"/>
      <c r="C7387" s="394"/>
      <c r="D7387" s="395" cm="1">
        <f t="array" ref="D7387">SUM(D637)</f>
        <v>6.55001593013468</v>
      </c>
      <c r="E7387" t="s" s="393">
        <v>1113</v>
      </c>
      <c r="F7387" s="406"/>
      <c r="G7387" s="406"/>
      <c r="H7387" s="383" cm="1">
        <f t="array" ref="H7387">SUM(D2931)</f>
        <v>80.7408924242426</v>
      </c>
    </row>
    <row r="7388" ht="8.25" customHeight="1">
      <c r="A7388" s="384"/>
      <c r="B7388" s="385"/>
      <c r="C7388" s="385"/>
      <c r="D7388" s="392"/>
      <c r="E7388" t="s" s="390">
        <v>1114</v>
      </c>
      <c r="F7388" s="405"/>
      <c r="G7388" s="405"/>
      <c r="H7388" s="377" cm="1">
        <f t="array" ref="H7388">SUM(D2960)</f>
        <v>217.383853535354</v>
      </c>
    </row>
    <row r="7389" ht="8.25" customHeight="1">
      <c r="A7389" t="s" s="399">
        <v>1115</v>
      </c>
      <c r="B7389" s="400"/>
      <c r="C7389" s="400"/>
      <c r="D7389" t="s" s="389">
        <v>156</v>
      </c>
      <c r="E7389" t="s" s="393">
        <v>1116</v>
      </c>
      <c r="F7389" s="406"/>
      <c r="G7389" s="406"/>
      <c r="H7389" s="383" cm="1">
        <f t="array" ref="H7389">SUM(D2983)</f>
        <v>123.538309848485</v>
      </c>
    </row>
    <row r="7390" ht="8.25" customHeight="1">
      <c r="A7390" t="s" s="375">
        <v>1117</v>
      </c>
      <c r="B7390" s="301"/>
      <c r="C7390" s="301"/>
      <c r="D7390" s="392" cm="1">
        <f t="array" ref="D7390">SUM(D655)</f>
        <v>79.2425621212123</v>
      </c>
      <c r="E7390" t="s" s="390">
        <v>1118</v>
      </c>
      <c r="F7390" s="405"/>
      <c r="G7390" s="405"/>
      <c r="H7390" s="377" cm="1">
        <f t="array" ref="H7390">SUM(D3010)</f>
        <v>130.158300505051</v>
      </c>
    </row>
    <row r="7391" ht="8.25" customHeight="1">
      <c r="A7391" t="s" s="407">
        <v>1119</v>
      </c>
      <c r="B7391" s="408"/>
      <c r="C7391" s="408"/>
      <c r="D7391" s="409"/>
      <c r="E7391" t="s" s="393">
        <v>1120</v>
      </c>
      <c r="F7391" s="406"/>
      <c r="G7391" s="406"/>
      <c r="H7391" s="383" cm="1">
        <f t="array" ref="H7391">SUM(D3037)</f>
        <v>263.149367492134</v>
      </c>
    </row>
    <row r="7392" ht="8.25" customHeight="1">
      <c r="A7392" s="384"/>
      <c r="B7392" s="385"/>
      <c r="C7392" s="385"/>
      <c r="D7392" s="392"/>
      <c r="E7392" t="s" s="390">
        <v>1121</v>
      </c>
      <c r="F7392" s="405"/>
      <c r="G7392" s="405"/>
      <c r="H7392" s="377" cm="1">
        <f t="array" ref="H7392">SUM(D3063)</f>
        <v>129.252050505051</v>
      </c>
    </row>
    <row r="7393" ht="8.25" customHeight="1">
      <c r="A7393" t="s" s="399">
        <v>1122</v>
      </c>
      <c r="B7393" s="400"/>
      <c r="C7393" s="400"/>
      <c r="D7393" t="s" s="389">
        <v>156</v>
      </c>
      <c r="E7393" t="s" s="393">
        <v>1123</v>
      </c>
      <c r="F7393" s="406"/>
      <c r="G7393" s="406"/>
      <c r="H7393" s="383" cm="1">
        <f t="array" ref="H7393">SUM(D3093)</f>
        <v>264.478722474748</v>
      </c>
    </row>
    <row r="7394" ht="8.25" customHeight="1">
      <c r="A7394" t="s" s="390">
        <v>1124</v>
      </c>
      <c r="B7394" s="391"/>
      <c r="C7394" s="391"/>
      <c r="D7394" s="392" cm="1">
        <f t="array" ref="D7394">SUM(D678)</f>
        <v>117.498306818182</v>
      </c>
      <c r="E7394" t="s" s="390">
        <v>1125</v>
      </c>
      <c r="F7394" s="405"/>
      <c r="G7394" s="405"/>
      <c r="H7394" s="377" cm="1">
        <f t="array" ref="H7394">SUM(D3128)</f>
        <v>272.483865082590</v>
      </c>
    </row>
    <row r="7395" ht="8.25" customHeight="1">
      <c r="A7395" t="s" s="393">
        <v>1126</v>
      </c>
      <c r="B7395" s="394"/>
      <c r="C7395" s="394"/>
      <c r="D7395" s="395" cm="1">
        <f t="array" ref="D7395">SUM(D699)</f>
        <v>80.3401590909093</v>
      </c>
      <c r="E7395" t="s" s="393">
        <v>1127</v>
      </c>
      <c r="F7395" s="406"/>
      <c r="G7395" s="406"/>
      <c r="H7395" s="383" cm="1">
        <f t="array" ref="H7395">SUM(D3163)</f>
        <v>271.134177020203</v>
      </c>
    </row>
    <row r="7396" ht="8.25" customHeight="1">
      <c r="A7396" t="s" s="390">
        <v>1128</v>
      </c>
      <c r="B7396" s="391"/>
      <c r="C7396" s="391"/>
      <c r="D7396" s="392" cm="1">
        <f t="array" ref="D7396">SUM(D719)</f>
        <v>65.9914684343436</v>
      </c>
      <c r="E7396" t="s" s="390">
        <v>1129</v>
      </c>
      <c r="F7396" s="405"/>
      <c r="G7396" s="405"/>
      <c r="H7396" s="377" cm="1">
        <f t="array" ref="H7396">SUM(D3197)</f>
        <v>255.603895454546</v>
      </c>
    </row>
    <row r="7397" ht="8.25" customHeight="1">
      <c r="A7397" t="s" s="393">
        <v>1130</v>
      </c>
      <c r="B7397" s="394"/>
      <c r="C7397" s="394"/>
      <c r="D7397" s="395" cm="1">
        <f t="array" ref="D7397">SUM(D740)</f>
        <v>65.78133207070719</v>
      </c>
      <c r="E7397" t="s" s="393">
        <v>1131</v>
      </c>
      <c r="F7397" s="406"/>
      <c r="G7397" s="406"/>
      <c r="H7397" s="383" cm="1">
        <f t="array" ref="H7397">SUM(D3232)</f>
        <v>275.983865082590</v>
      </c>
    </row>
    <row r="7398" ht="8.25" customHeight="1">
      <c r="A7398" t="s" s="410">
        <v>1132</v>
      </c>
      <c r="B7398" s="411"/>
      <c r="C7398" s="411"/>
      <c r="D7398" s="412" cm="1">
        <f t="array" ref="D7398">SUM(D765)</f>
        <v>155.576687878788</v>
      </c>
      <c r="E7398" t="s" s="390">
        <v>1133</v>
      </c>
      <c r="F7398" s="405"/>
      <c r="G7398" s="405"/>
      <c r="H7398" s="377" cm="1">
        <f t="array" ref="H7398">SUM(D3267)</f>
        <v>270.720531749257</v>
      </c>
    </row>
    <row r="7399" ht="8.25" customHeight="1">
      <c r="A7399" s="413"/>
      <c r="B7399" s="414"/>
      <c r="C7399" s="414"/>
      <c r="D7399" s="415"/>
      <c r="E7399" t="s" s="393">
        <v>1134</v>
      </c>
      <c r="F7399" s="406"/>
      <c r="G7399" s="406"/>
      <c r="H7399" s="383" cm="1">
        <f t="array" ref="H7399">SUM(D3302)</f>
        <v>332.594666850267</v>
      </c>
    </row>
    <row r="7400" ht="8.25" customHeight="1">
      <c r="A7400" t="s" s="399">
        <v>1135</v>
      </c>
      <c r="B7400" s="400"/>
      <c r="C7400" s="400"/>
      <c r="D7400" t="s" s="389">
        <v>156</v>
      </c>
      <c r="E7400" t="s" s="390">
        <v>1136</v>
      </c>
      <c r="F7400" s="405"/>
      <c r="G7400" s="405"/>
      <c r="H7400" s="377" cm="1">
        <f t="array" ref="H7400">SUM(D3334)</f>
        <v>332.858210514787</v>
      </c>
    </row>
    <row r="7401" ht="8.25" customHeight="1">
      <c r="A7401" t="s" s="390">
        <v>1137</v>
      </c>
      <c r="B7401" s="391"/>
      <c r="C7401" s="391"/>
      <c r="D7401" s="392" cm="1">
        <f t="array" ref="D7401">SUM(D787)</f>
        <v>67.7084684343436</v>
      </c>
      <c r="E7401" t="s" s="393">
        <v>1138</v>
      </c>
      <c r="F7401" s="406"/>
      <c r="G7401" s="406"/>
      <c r="H7401" s="383" cm="1">
        <f t="array" ref="H7401">SUM(D3364)</f>
        <v>229.329384021984</v>
      </c>
    </row>
    <row r="7402" ht="8.25" customHeight="1">
      <c r="A7402" t="s" s="393">
        <v>1139</v>
      </c>
      <c r="B7402" s="394"/>
      <c r="C7402" s="394"/>
      <c r="D7402" s="395" cm="1">
        <f t="array" ref="D7402">SUM(D815)</f>
        <v>68.78643207070721</v>
      </c>
      <c r="E7402" t="s" s="390">
        <v>1140</v>
      </c>
      <c r="F7402" s="405"/>
      <c r="G7402" s="405"/>
      <c r="H7402" s="377" cm="1">
        <f t="array" ref="H7402">SUM(D3396)</f>
        <v>258.929860510511</v>
      </c>
    </row>
    <row r="7403" ht="8.25" customHeight="1">
      <c r="A7403" t="s" s="390">
        <v>1141</v>
      </c>
      <c r="B7403" s="391"/>
      <c r="C7403" s="391"/>
      <c r="D7403" s="392" cm="1">
        <f t="array" ref="D7403">SUM(D841)</f>
        <v>81.72078409090931</v>
      </c>
      <c r="E7403" t="s" s="393">
        <v>1142</v>
      </c>
      <c r="F7403" s="406"/>
      <c r="G7403" s="406"/>
      <c r="H7403" s="383" cm="1">
        <f t="array" ref="H7403">SUM(D3424)</f>
        <v>351.617334252161</v>
      </c>
    </row>
    <row r="7404" ht="8.25" customHeight="1">
      <c r="A7404" t="s" s="393">
        <v>1143</v>
      </c>
      <c r="B7404" s="394"/>
      <c r="C7404" s="394"/>
      <c r="D7404" s="395" cm="1">
        <f t="array" ref="D7404">SUM(D867)</f>
        <v>66.3119987373739</v>
      </c>
      <c r="E7404" t="s" s="390">
        <v>1144</v>
      </c>
      <c r="F7404" s="405"/>
      <c r="G7404" s="405"/>
      <c r="H7404" s="377" cm="1">
        <f t="array" ref="H7404">SUM(D3454)</f>
        <v>388.704488292565</v>
      </c>
    </row>
    <row r="7405" ht="8.25" customHeight="1">
      <c r="A7405" t="s" s="390">
        <v>1145</v>
      </c>
      <c r="B7405" s="391"/>
      <c r="C7405" s="391"/>
      <c r="D7405" s="392" cm="1">
        <f t="array" ref="D7405">SUM(D887)</f>
        <v>66.11146843434361</v>
      </c>
      <c r="E7405" t="s" s="393">
        <v>1146</v>
      </c>
      <c r="F7405" s="406"/>
      <c r="G7405" s="406"/>
      <c r="H7405" s="383" cm="1">
        <f t="array" ref="H7405">SUM(D3477)</f>
        <v>131.436050505051</v>
      </c>
    </row>
    <row r="7406" ht="8.25" customHeight="1">
      <c r="A7406" t="s" s="393">
        <v>1147</v>
      </c>
      <c r="B7406" s="394"/>
      <c r="C7406" s="394"/>
      <c r="D7406" s="395" cm="1">
        <f t="array" ref="D7406">SUM(D919)</f>
        <v>132.939133838384</v>
      </c>
      <c r="E7406" t="s" s="390">
        <v>1148</v>
      </c>
      <c r="F7406" s="405"/>
      <c r="G7406" s="405"/>
      <c r="H7406" s="377" cm="1">
        <f t="array" ref="H7406">SUM(D3511)</f>
        <v>319.814978787880</v>
      </c>
    </row>
    <row r="7407" ht="8.25" customHeight="1">
      <c r="A7407" t="s" s="390">
        <v>1149</v>
      </c>
      <c r="B7407" s="391"/>
      <c r="C7407" s="391"/>
      <c r="D7407" s="392" cm="1">
        <f t="array" ref="D7407">SUM(D943)</f>
        <v>132.813078282829</v>
      </c>
      <c r="E7407" t="s" s="393">
        <v>1150</v>
      </c>
      <c r="F7407" s="406"/>
      <c r="G7407" s="406"/>
      <c r="H7407" s="383" cm="1">
        <f t="array" ref="H7407">SUM(D3545)</f>
        <v>319.814978787880</v>
      </c>
    </row>
    <row r="7408" ht="8.25" customHeight="1">
      <c r="A7408" t="s" s="393">
        <v>1151</v>
      </c>
      <c r="B7408" s="394"/>
      <c r="C7408" s="394"/>
      <c r="D7408" s="395" cm="1">
        <f t="array" ref="D7408">SUM(D974)</f>
        <v>111.497319191919</v>
      </c>
      <c r="E7408" t="s" s="390">
        <v>1152</v>
      </c>
      <c r="F7408" s="405"/>
      <c r="G7408" s="405"/>
      <c r="H7408" s="377" cm="1">
        <f t="array" ref="H7408">SUM(D3579)</f>
        <v>319.814978787880</v>
      </c>
    </row>
    <row r="7409" ht="8.25" customHeight="1">
      <c r="A7409" t="s" s="390">
        <v>1153</v>
      </c>
      <c r="B7409" s="391"/>
      <c r="C7409" s="391"/>
      <c r="D7409" s="392" cm="1">
        <f t="array" ref="D7409">SUM(D1004)</f>
        <v>112.272585858586</v>
      </c>
      <c r="E7409" t="s" s="393">
        <v>1154</v>
      </c>
      <c r="F7409" s="406"/>
      <c r="G7409" s="406"/>
      <c r="H7409" s="383" cm="1">
        <f t="array" ref="H7409">SUM(D3613)</f>
        <v>268.134177020203</v>
      </c>
    </row>
    <row r="7410" ht="8.25" customHeight="1">
      <c r="A7410" t="s" s="393">
        <v>1155</v>
      </c>
      <c r="B7410" s="394"/>
      <c r="C7410" s="394"/>
      <c r="D7410" s="395" cm="1">
        <f t="array" ref="D7410">SUM(D1033)</f>
        <v>244.315983333334</v>
      </c>
      <c r="E7410" t="s" s="390">
        <v>1156</v>
      </c>
      <c r="F7410" s="405"/>
      <c r="G7410" s="405"/>
      <c r="H7410" s="377" cm="1">
        <f t="array" ref="H7410">SUM(D3649)</f>
        <v>647.9884712266741</v>
      </c>
    </row>
    <row r="7411" ht="8.25" customHeight="1">
      <c r="A7411" t="s" s="390">
        <v>1157</v>
      </c>
      <c r="B7411" s="391"/>
      <c r="C7411" s="391"/>
      <c r="D7411" s="392" cm="1">
        <f t="array" ref="D7411">SUM(D1062)</f>
        <v>158.621359938456</v>
      </c>
      <c r="E7411" t="s" s="393">
        <v>1158</v>
      </c>
      <c r="F7411" s="406"/>
      <c r="G7411" s="406"/>
      <c r="H7411" s="383" cm="1">
        <f t="array" ref="H7411">SUM(D3684)</f>
        <v>517.9884712266741</v>
      </c>
    </row>
    <row r="7412" ht="8.25" customHeight="1">
      <c r="A7412" t="s" s="393">
        <v>1159</v>
      </c>
      <c r="B7412" s="394"/>
      <c r="C7412" s="394"/>
      <c r="D7412" s="395" cm="1">
        <f t="array" ref="D7412">SUM(D1097)</f>
        <v>258.753725734246</v>
      </c>
      <c r="E7412" t="s" s="390">
        <v>1160</v>
      </c>
      <c r="F7412" s="405"/>
      <c r="G7412" s="405"/>
      <c r="H7412" s="377" cm="1">
        <f t="array" ref="H7412">SUM(D3722)</f>
        <v>585.739509105462</v>
      </c>
    </row>
    <row r="7413" ht="8.25" customHeight="1">
      <c r="A7413" t="s" s="390">
        <v>1161</v>
      </c>
      <c r="B7413" s="391"/>
      <c r="C7413" s="391"/>
      <c r="D7413" s="392" cm="1">
        <f t="array" ref="D7413">SUM(D1120)</f>
        <v>83.98269545454561</v>
      </c>
      <c r="E7413" t="s" s="416">
        <v>1162</v>
      </c>
      <c r="F7413" s="417"/>
      <c r="G7413" s="417"/>
      <c r="H7413" s="418" cm="1">
        <f t="array" ref="H7413">SUM(D3745)</f>
        <v>131.436050505051</v>
      </c>
    </row>
    <row r="7414" ht="8.25" customHeight="1">
      <c r="A7414" t="s" s="393">
        <v>1163</v>
      </c>
      <c r="B7414" s="394"/>
      <c r="C7414" s="394"/>
      <c r="D7414" s="395" cm="1">
        <f t="array" ref="D7414">SUM(D1147)</f>
        <v>257.518307384658</v>
      </c>
      <c r="E7414" t="s" s="390">
        <v>1164</v>
      </c>
      <c r="F7414" s="405"/>
      <c r="G7414" s="405"/>
      <c r="H7414" s="377" cm="1">
        <f t="array" ref="H7414">SUM(D3775)</f>
        <v>82.26566515151529</v>
      </c>
    </row>
    <row r="7415" ht="8.25" customHeight="1">
      <c r="A7415" t="s" s="390">
        <v>1165</v>
      </c>
      <c r="B7415" s="391"/>
      <c r="C7415" s="391"/>
      <c r="D7415" s="392" cm="1">
        <f t="array" ref="D7415">SUM(D1171)</f>
        <v>272.518307384658</v>
      </c>
      <c r="E7415" t="s" s="419">
        <v>1166</v>
      </c>
      <c r="F7415" s="420"/>
      <c r="G7415" s="420"/>
      <c r="H7415" s="421"/>
    </row>
    <row r="7416" ht="8.25" customHeight="1">
      <c r="A7416" t="s" s="393">
        <v>1167</v>
      </c>
      <c r="B7416" s="394"/>
      <c r="C7416" s="394"/>
      <c r="D7416" s="395" cm="1">
        <f t="array" ref="D7416">SUM(D1198)</f>
        <v>267.373862940214</v>
      </c>
      <c r="E7416" t="s" s="422">
        <v>1168</v>
      </c>
      <c r="F7416" s="423"/>
      <c r="G7416" s="423"/>
      <c r="H7416" s="424"/>
    </row>
    <row r="7417" ht="8.25" customHeight="1">
      <c r="A7417" t="s" s="390">
        <v>1169</v>
      </c>
      <c r="B7417" s="391"/>
      <c r="C7417" s="391"/>
      <c r="D7417" s="392" cm="1">
        <f t="array" ref="D7417">SUM(D1216)</f>
        <v>101.774949494950</v>
      </c>
      <c r="E7417" t="s" s="419">
        <v>1170</v>
      </c>
      <c r="F7417" s="420"/>
      <c r="G7417" s="420"/>
      <c r="H7417" s="421"/>
    </row>
    <row r="7418" ht="8.25" customHeight="1">
      <c r="A7418" t="s" s="393">
        <v>1171</v>
      </c>
      <c r="B7418" s="394"/>
      <c r="C7418" s="394"/>
      <c r="D7418" s="395" cm="1">
        <f t="array" ref="D7418">SUM(D1244)</f>
        <v>122.665159404860</v>
      </c>
      <c r="E7418" t="s" s="425">
        <v>1172</v>
      </c>
      <c r="F7418" s="426"/>
      <c r="G7418" s="426"/>
      <c r="H7418" s="427"/>
    </row>
    <row r="7419" ht="8.25" customHeight="1">
      <c r="A7419" t="s" s="390">
        <v>1173</v>
      </c>
      <c r="B7419" s="391"/>
      <c r="C7419" s="391"/>
      <c r="D7419" s="392" cm="1">
        <f t="array" ref="D7419">SUM(D1270)</f>
        <v>135.039986425062</v>
      </c>
      <c r="E7419" s="428"/>
      <c r="F7419" s="429"/>
      <c r="G7419" s="429"/>
      <c r="H7419" s="430"/>
    </row>
    <row r="7420" ht="8.25" customHeight="1">
      <c r="A7420" t="s" s="393">
        <v>1174</v>
      </c>
      <c r="B7420" s="394"/>
      <c r="C7420" s="394"/>
      <c r="D7420" s="395" cm="1">
        <f t="array" ref="D7420">SUM(D1299)</f>
        <v>82.26566515151529</v>
      </c>
      <c r="E7420" t="s" s="387">
        <v>1175</v>
      </c>
      <c r="F7420" s="388"/>
      <c r="G7420" s="388"/>
      <c r="H7420" t="s" s="389">
        <v>156</v>
      </c>
    </row>
    <row r="7421" ht="8.25" customHeight="1">
      <c r="A7421" t="s" s="431">
        <v>1176</v>
      </c>
      <c r="B7421" s="432"/>
      <c r="C7421" s="432"/>
      <c r="D7421" s="433"/>
      <c r="E7421" t="s" s="434">
        <v>1177</v>
      </c>
      <c r="F7421" s="435"/>
      <c r="G7421" s="435"/>
      <c r="H7421" s="436" cm="1">
        <f t="array" ref="H7421">SUM(D3797)</f>
        <v>156.336608333334</v>
      </c>
    </row>
    <row r="7422" ht="8.25" customHeight="1">
      <c r="A7422" s="437"/>
      <c r="B7422" s="438"/>
      <c r="C7422" s="438"/>
      <c r="D7422" s="439"/>
      <c r="E7422" t="s" s="393">
        <v>1178</v>
      </c>
      <c r="F7422" s="394"/>
      <c r="G7422" s="394"/>
      <c r="H7422" s="383" cm="1">
        <f t="array" ref="H7422">SUM(D3821)</f>
        <v>160.336608333334</v>
      </c>
    </row>
    <row r="7423" ht="8.25" customHeight="1">
      <c r="A7423" s="428"/>
      <c r="B7423" s="429"/>
      <c r="C7423" s="429"/>
      <c r="D7423" s="440"/>
      <c r="E7423" t="s" s="390">
        <v>1179</v>
      </c>
      <c r="F7423" s="391"/>
      <c r="G7423" s="391"/>
      <c r="H7423" s="377" cm="1">
        <f t="array" ref="H7423">SUM(D3844)</f>
        <v>123.538309848485</v>
      </c>
    </row>
    <row r="7424" ht="8.25" customHeight="1">
      <c r="A7424" t="s" s="387">
        <v>1180</v>
      </c>
      <c r="B7424" s="441"/>
      <c r="C7424" s="441"/>
      <c r="D7424" t="s" s="389">
        <v>156</v>
      </c>
      <c r="E7424" t="s" s="393">
        <v>1181</v>
      </c>
      <c r="F7424" s="394"/>
      <c r="G7424" s="394"/>
      <c r="H7424" s="383" cm="1">
        <f t="array" ref="H7424">SUM(D3885)</f>
        <v>384.307524747476</v>
      </c>
    </row>
    <row r="7425" ht="8.25" customHeight="1">
      <c r="A7425" t="s" s="390">
        <v>1182</v>
      </c>
      <c r="B7425" s="405"/>
      <c r="C7425" s="405"/>
      <c r="D7425" s="392" cm="1">
        <f t="array" ref="D7425">SUM(D1331)</f>
        <v>90.2601727272729</v>
      </c>
      <c r="E7425" t="s" s="390">
        <v>1183</v>
      </c>
      <c r="F7425" s="391"/>
      <c r="G7425" s="391"/>
      <c r="H7425" s="377" cm="1">
        <f t="array" ref="H7425">SUM(E3927)</f>
        <v>88.20845959595979</v>
      </c>
    </row>
    <row r="7426" ht="8.25" customHeight="1">
      <c r="A7426" t="s" s="393">
        <v>1184</v>
      </c>
      <c r="B7426" s="406"/>
      <c r="C7426" s="406"/>
      <c r="D7426" s="395" cm="1">
        <f t="array" ref="D7426">SUM(D1368)</f>
        <v>117.047440404041</v>
      </c>
      <c r="E7426" t="s" s="393">
        <v>1185</v>
      </c>
      <c r="F7426" s="394"/>
      <c r="G7426" s="394"/>
      <c r="H7426" s="383" cm="1">
        <f t="array" ref="H7426">SUM(D3946)</f>
        <v>71.63546843434359</v>
      </c>
    </row>
    <row r="7427" ht="8.25" customHeight="1">
      <c r="A7427" t="s" s="390">
        <v>1186</v>
      </c>
      <c r="B7427" s="405"/>
      <c r="C7427" s="405"/>
      <c r="D7427" s="392" cm="1">
        <f t="array" ref="D7427">SUM(D1406)</f>
        <v>142.221261111111</v>
      </c>
      <c r="E7427" t="s" s="390">
        <v>1187</v>
      </c>
      <c r="F7427" s="391"/>
      <c r="G7427" s="391"/>
      <c r="H7427" s="377" cm="1">
        <f t="array" ref="H7427">SUM(D3969)</f>
        <v>104.489949494950</v>
      </c>
    </row>
    <row r="7428" ht="8.25" customHeight="1">
      <c r="A7428" t="s" s="393">
        <v>1188</v>
      </c>
      <c r="B7428" s="406"/>
      <c r="C7428" s="406"/>
      <c r="D7428" s="395" cm="1">
        <f t="array" ref="D7428">SUM(D1444)</f>
        <v>180.119075505051</v>
      </c>
      <c r="E7428" t="s" s="393">
        <v>1189</v>
      </c>
      <c r="F7428" s="394"/>
      <c r="G7428" s="394"/>
      <c r="H7428" s="383" cm="1">
        <f t="array" ref="H7428">SUM(D3997)</f>
        <v>257.934553030304</v>
      </c>
    </row>
    <row r="7429" ht="8.25" customHeight="1">
      <c r="A7429" t="s" s="390">
        <v>1190</v>
      </c>
      <c r="B7429" s="405"/>
      <c r="C7429" s="405"/>
      <c r="D7429" s="392" cm="1">
        <f t="array" ref="D7429">SUM(D1482)</f>
        <v>192.493902525253</v>
      </c>
      <c r="E7429" t="s" s="390">
        <v>1191</v>
      </c>
      <c r="F7429" s="391"/>
      <c r="G7429" s="391"/>
      <c r="H7429" s="377" cm="1">
        <f t="array" ref="H7429">SUM(D4026)</f>
        <v>165.143954545455</v>
      </c>
    </row>
    <row r="7430" ht="8.25" customHeight="1">
      <c r="A7430" t="s" s="393">
        <v>1192</v>
      </c>
      <c r="B7430" s="406"/>
      <c r="C7430" s="406"/>
      <c r="D7430" s="395" cm="1">
        <f t="array" ref="D7430">SUM(D1518)</f>
        <v>114.928938239539</v>
      </c>
      <c r="E7430" t="s" s="393">
        <v>1193</v>
      </c>
      <c r="F7430" s="394"/>
      <c r="G7430" s="394"/>
      <c r="H7430" s="383" cm="1">
        <f t="array" ref="H7430">SUM(D4058)</f>
        <v>292.352436172537</v>
      </c>
    </row>
    <row r="7431" ht="8.25" customHeight="1">
      <c r="A7431" t="s" s="390">
        <v>1194</v>
      </c>
      <c r="B7431" s="405"/>
      <c r="C7431" s="405"/>
      <c r="D7431" s="392" cm="1">
        <f t="array" ref="D7431">SUM(D1557)</f>
        <v>117.737885209235</v>
      </c>
      <c r="E7431" t="s" s="390">
        <v>1195</v>
      </c>
      <c r="F7431" s="391"/>
      <c r="G7431" s="391"/>
      <c r="H7431" s="377" cm="1">
        <f t="array" ref="H7431">SUM(D4086)</f>
        <v>60.0530353535355</v>
      </c>
    </row>
    <row r="7432" ht="8.25" customHeight="1">
      <c r="A7432" t="s" s="393">
        <v>1196</v>
      </c>
      <c r="B7432" s="406"/>
      <c r="C7432" s="406"/>
      <c r="D7432" s="395" cm="1">
        <f t="array" ref="D7432">SUM(D1596)</f>
        <v>180.092020310246</v>
      </c>
      <c r="E7432" t="s" s="393">
        <v>1197</v>
      </c>
      <c r="F7432" s="394"/>
      <c r="G7432" s="394"/>
      <c r="H7432" s="383" cm="1">
        <f t="array" ref="H7432">SUM(D4124)</f>
        <v>298.405004354355</v>
      </c>
    </row>
    <row r="7433" ht="8.25" customHeight="1">
      <c r="A7433" t="s" s="390">
        <v>1198</v>
      </c>
      <c r="B7433" s="405"/>
      <c r="C7433" s="405"/>
      <c r="D7433" s="392" cm="1">
        <f t="array" ref="D7433">SUM(D1634)</f>
        <v>204.930757683983</v>
      </c>
      <c r="E7433" t="s" s="390">
        <v>1199</v>
      </c>
      <c r="F7433" s="391"/>
      <c r="G7433" s="391"/>
      <c r="H7433" s="377" cm="1">
        <f t="array" ref="H7433">SUM(D4165)</f>
        <v>551.772582637184</v>
      </c>
    </row>
    <row r="7434" ht="8.25" customHeight="1">
      <c r="A7434" t="s" s="393">
        <v>1200</v>
      </c>
      <c r="B7434" s="406"/>
      <c r="C7434" s="406"/>
      <c r="D7434" s="395" cm="1">
        <f t="array" ref="D7434">SUM(D1667)</f>
        <v>123.022176515152</v>
      </c>
      <c r="E7434" t="s" s="393">
        <v>1201</v>
      </c>
      <c r="F7434" s="394"/>
      <c r="G7434" s="394"/>
      <c r="H7434" s="383" cm="1">
        <f t="array" ref="H7434">SUM(D4206)</f>
        <v>546.697236677588</v>
      </c>
    </row>
    <row r="7435" ht="8.25" customHeight="1">
      <c r="A7435" t="s" s="390">
        <v>1202</v>
      </c>
      <c r="B7435" s="405"/>
      <c r="C7435" s="405"/>
      <c r="D7435" s="392" cm="1">
        <f t="array" ref="D7435">SUM(D1695)</f>
        <v>160.588771212122</v>
      </c>
      <c r="E7435" t="s" s="390">
        <v>1203</v>
      </c>
      <c r="F7435" s="391"/>
      <c r="G7435" s="391"/>
      <c r="H7435" s="377" cm="1">
        <f t="array" ref="H7435">SUM(D4247)</f>
        <v>506.697236677588</v>
      </c>
    </row>
    <row r="7436" ht="8.25" customHeight="1">
      <c r="A7436" t="s" s="393">
        <v>1204</v>
      </c>
      <c r="B7436" s="406"/>
      <c r="C7436" s="406"/>
      <c r="D7436" s="395" cm="1">
        <f t="array" ref="D7436">SUM(D1727)</f>
        <v>160.772748484849</v>
      </c>
      <c r="E7436" t="s" s="393">
        <v>1205</v>
      </c>
      <c r="F7436" s="394"/>
      <c r="G7436" s="394"/>
      <c r="H7436" s="383" cm="1">
        <f t="array" ref="H7436">SUM(D4288)</f>
        <v>387.698620515971</v>
      </c>
    </row>
    <row r="7437" ht="8.25" customHeight="1">
      <c r="A7437" t="s" s="390">
        <v>1206</v>
      </c>
      <c r="B7437" s="405"/>
      <c r="C7437" s="405"/>
      <c r="D7437" s="392" cm="1">
        <f t="array" ref="D7437">SUM(D1750)</f>
        <v>123.538309848485</v>
      </c>
      <c r="E7437" t="s" s="390">
        <v>1207</v>
      </c>
      <c r="F7437" s="391"/>
      <c r="G7437" s="391"/>
      <c r="H7437" s="377" cm="1">
        <f t="array" ref="H7437">SUM(D4329)</f>
        <v>387.626620515971</v>
      </c>
    </row>
    <row r="7438" ht="8.25" customHeight="1">
      <c r="A7438" t="s" s="393">
        <v>1208</v>
      </c>
      <c r="B7438" s="406"/>
      <c r="C7438" s="406"/>
      <c r="D7438" s="395" cm="1">
        <f t="array" ref="D7438">SUM(D1777)</f>
        <v>265.980989898990</v>
      </c>
      <c r="E7438" t="s" s="393">
        <v>1209</v>
      </c>
      <c r="F7438" s="394"/>
      <c r="G7438" s="394"/>
      <c r="H7438" s="383" cm="1">
        <f t="array" ref="H7438">SUM(D4370)</f>
        <v>451.682297979798</v>
      </c>
    </row>
    <row r="7439" ht="8.25" customHeight="1">
      <c r="A7439" t="s" s="390">
        <v>1210</v>
      </c>
      <c r="B7439" s="405"/>
      <c r="C7439" s="405"/>
      <c r="D7439" s="392" cm="1">
        <f t="array" ref="D7439">SUM(D1798)</f>
        <v>80.70907323232341</v>
      </c>
      <c r="E7439" t="s" s="390">
        <v>1211</v>
      </c>
      <c r="F7439" s="391"/>
      <c r="G7439" s="391"/>
      <c r="H7439" s="377" cm="1">
        <f t="array" ref="H7439">SUM(D4411)</f>
        <v>794.193777081629</v>
      </c>
    </row>
    <row r="7440" ht="8.25" customHeight="1">
      <c r="A7440" t="s" s="393">
        <v>1212</v>
      </c>
      <c r="B7440" s="406"/>
      <c r="C7440" s="406"/>
      <c r="D7440" s="395" cm="1">
        <f t="array" ref="D7440">SUM(F1840)</f>
        <v>565.250757575758</v>
      </c>
      <c r="E7440" t="s" s="393">
        <v>1213</v>
      </c>
      <c r="F7440" s="394"/>
      <c r="G7440" s="394"/>
      <c r="H7440" s="383" cm="1">
        <f t="array" ref="H7440">SUM(D4452)</f>
        <v>689.944814960416</v>
      </c>
    </row>
    <row r="7441" ht="8.25" customHeight="1">
      <c r="A7441" t="s" s="434">
        <v>1214</v>
      </c>
      <c r="B7441" s="442"/>
      <c r="C7441" s="442"/>
      <c r="D7441" s="436" cm="1">
        <f t="array" ref="D7441">SUM(D1864)</f>
        <v>361.341329606880</v>
      </c>
      <c r="E7441" t="s" s="390">
        <v>1215</v>
      </c>
      <c r="F7441" s="391"/>
      <c r="G7441" s="391"/>
      <c r="H7441" s="377" cm="1">
        <f t="array" ref="H7441">SUM(D4487)</f>
        <v>302.767867990719</v>
      </c>
    </row>
    <row r="7442" ht="8.25" customHeight="1">
      <c r="A7442" t="s" s="393">
        <v>1216</v>
      </c>
      <c r="B7442" s="406"/>
      <c r="C7442" s="406"/>
      <c r="D7442" s="395" cm="1">
        <f t="array" ref="D7442">SUM(D1901)</f>
        <v>394.307524747476</v>
      </c>
      <c r="E7442" t="s" s="393">
        <v>1217</v>
      </c>
      <c r="F7442" s="394"/>
      <c r="G7442" s="394"/>
      <c r="H7442" s="383" cm="1">
        <f t="array" ref="H7442">SUM(D4528)</f>
        <v>634.760406326423</v>
      </c>
    </row>
    <row r="7443" ht="8.25" customHeight="1">
      <c r="A7443" t="s" s="443">
        <v>1218</v>
      </c>
      <c r="B7443" s="444"/>
      <c r="C7443" s="444"/>
      <c r="D7443" s="445" cm="1">
        <f t="array" ref="D7443">SUM(D1928)</f>
        <v>82.26566515151529</v>
      </c>
      <c r="E7443" t="s" s="443">
        <v>1219</v>
      </c>
      <c r="F7443" s="446"/>
      <c r="G7443" s="446"/>
      <c r="H7443" s="445" cm="1">
        <f t="array" ref="H7443">SUM(D4569)</f>
        <v>574.856406326423</v>
      </c>
    </row>
    <row r="7444" ht="8.25" customHeight="1">
      <c r="A7444" t="s" s="447">
        <v>1220</v>
      </c>
      <c r="B7444" s="448"/>
      <c r="C7444" s="448"/>
      <c r="D7444" s="449" cm="1">
        <f t="array" ref="D7444">SUM(D4606)</f>
        <v>626.755844764862</v>
      </c>
      <c r="E7444" t="s" s="447">
        <v>1221</v>
      </c>
      <c r="F7444" s="450"/>
      <c r="G7444" s="450"/>
      <c r="H7444" s="451">
        <v>138.63</v>
      </c>
    </row>
    <row r="7445" ht="8.25" customHeight="1">
      <c r="A7445" t="s" s="390">
        <v>1222</v>
      </c>
      <c r="B7445" s="391"/>
      <c r="C7445" s="391"/>
      <c r="D7445" s="392" cm="1">
        <f t="array" ref="D7445">SUM(D4646)</f>
        <v>837.794460926479</v>
      </c>
      <c r="E7445" t="s" s="390">
        <v>1223</v>
      </c>
      <c r="F7445" s="405"/>
      <c r="G7445" s="405"/>
      <c r="H7445" s="452">
        <v>141.63</v>
      </c>
    </row>
    <row r="7446" ht="8.25" customHeight="1">
      <c r="A7446" t="s" s="393">
        <v>1224</v>
      </c>
      <c r="B7446" s="394"/>
      <c r="C7446" s="394"/>
      <c r="D7446" s="395" cm="1">
        <f t="array" ref="D7446">SUM(D4685)</f>
        <v>953.1501149668831</v>
      </c>
      <c r="E7446" t="s" s="393">
        <v>1225</v>
      </c>
      <c r="F7446" s="406"/>
      <c r="G7446" s="406"/>
      <c r="H7446" s="453">
        <v>239.94</v>
      </c>
    </row>
    <row r="7447" ht="8.25" customHeight="1">
      <c r="A7447" t="s" s="390">
        <v>1226</v>
      </c>
      <c r="B7447" s="391"/>
      <c r="C7447" s="391"/>
      <c r="D7447" s="392" cm="1">
        <f t="array" ref="D7447">SUM(D4717)</f>
        <v>375.913637694154</v>
      </c>
      <c r="E7447" t="s" s="390">
        <v>1227</v>
      </c>
      <c r="F7447" s="405"/>
      <c r="G7447" s="405"/>
      <c r="H7447" s="452">
        <v>399.91</v>
      </c>
    </row>
    <row r="7448" ht="8.25" customHeight="1">
      <c r="A7448" t="s" s="393">
        <v>1228</v>
      </c>
      <c r="B7448" s="394"/>
      <c r="C7448" s="394"/>
      <c r="D7448" s="395" cm="1">
        <f t="array" ref="D7448">SUM(D4746)</f>
        <v>375.913637694154</v>
      </c>
      <c r="E7448" t="s" s="393">
        <v>1229</v>
      </c>
      <c r="F7448" s="406"/>
      <c r="G7448" s="406"/>
      <c r="H7448" s="453">
        <v>399.81</v>
      </c>
    </row>
    <row r="7449" ht="8.25" customHeight="1">
      <c r="A7449" t="s" s="390">
        <v>1230</v>
      </c>
      <c r="B7449" s="391"/>
      <c r="C7449" s="391"/>
      <c r="D7449" s="392" cm="1">
        <f t="array" ref="D7449">SUM(D4775)</f>
        <v>262.407910421427</v>
      </c>
      <c r="E7449" t="s" s="390">
        <v>1231</v>
      </c>
      <c r="F7449" s="405"/>
      <c r="G7449" s="405"/>
      <c r="H7449" s="452">
        <v>186.62</v>
      </c>
    </row>
    <row r="7450" ht="8.25" customHeight="1">
      <c r="A7450" t="s" s="393">
        <v>1232</v>
      </c>
      <c r="B7450" s="394"/>
      <c r="C7450" s="394"/>
      <c r="D7450" s="395" cm="1">
        <f t="array" ref="D7450">SUM(D4815)</f>
        <v>1207.368925572940</v>
      </c>
      <c r="E7450" t="s" s="393">
        <v>1233</v>
      </c>
      <c r="F7450" s="406"/>
      <c r="G7450" s="406"/>
      <c r="H7450" s="453">
        <v>433.23</v>
      </c>
    </row>
    <row r="7451" ht="8.25" customHeight="1">
      <c r="A7451" t="s" s="390">
        <v>1234</v>
      </c>
      <c r="B7451" s="391"/>
      <c r="C7451" s="391"/>
      <c r="D7451" s="392" cm="1">
        <f t="array" ref="D7451">SUM(D4855)</f>
        <v>1415.146849815370</v>
      </c>
      <c r="E7451" t="s" s="390">
        <v>1235</v>
      </c>
      <c r="F7451" s="405"/>
      <c r="G7451" s="405"/>
      <c r="H7451" s="452">
        <v>226.61</v>
      </c>
    </row>
    <row r="7452" ht="8.25" customHeight="1">
      <c r="A7452" t="s" s="393">
        <v>1236</v>
      </c>
      <c r="B7452" s="394"/>
      <c r="C7452" s="394"/>
      <c r="D7452" s="395" cm="1">
        <f t="array" ref="D7452">SUM(D4892)</f>
        <v>1013.251001330520</v>
      </c>
      <c r="E7452" t="s" s="393">
        <v>1237</v>
      </c>
      <c r="F7452" s="406"/>
      <c r="G7452" s="406"/>
      <c r="H7452" s="453">
        <v>716.5</v>
      </c>
    </row>
    <row r="7453" ht="8.25" customHeight="1">
      <c r="A7453" t="s" s="390">
        <v>1238</v>
      </c>
      <c r="B7453" s="391"/>
      <c r="C7453" s="391"/>
      <c r="D7453" s="392" cm="1">
        <f t="array" ref="D7453">SUM(D4925)</f>
        <v>105.705751330517</v>
      </c>
      <c r="E7453" t="s" s="390">
        <v>1239</v>
      </c>
      <c r="F7453" s="405"/>
      <c r="G7453" s="405"/>
      <c r="H7453" s="452">
        <v>638.74</v>
      </c>
    </row>
    <row r="7454" ht="8.25" customHeight="1">
      <c r="A7454" t="s" s="393">
        <v>1240</v>
      </c>
      <c r="B7454" s="394"/>
      <c r="C7454" s="394"/>
      <c r="D7454" s="395" cm="1">
        <f t="array" ref="D7454">SUM(D4951)</f>
        <v>124.739640219406</v>
      </c>
      <c r="E7454" t="s" s="393">
        <v>1241</v>
      </c>
      <c r="F7454" s="406"/>
      <c r="G7454" s="406"/>
      <c r="H7454" s="453">
        <v>413.24</v>
      </c>
    </row>
    <row r="7455" ht="8.25" customHeight="1">
      <c r="A7455" t="s" s="390">
        <v>1242</v>
      </c>
      <c r="B7455" s="391"/>
      <c r="C7455" s="391"/>
      <c r="D7455" s="392" cm="1">
        <f t="array" ref="D7455">SUM(D4988)</f>
        <v>225.761380118396</v>
      </c>
      <c r="E7455" t="s" s="390">
        <v>1243</v>
      </c>
      <c r="F7455" s="405"/>
      <c r="G7455" s="405"/>
      <c r="H7455" s="452">
        <v>119.97</v>
      </c>
    </row>
    <row r="7456" ht="8.25" customHeight="1">
      <c r="A7456" t="s" s="393">
        <v>1244</v>
      </c>
      <c r="B7456" s="394"/>
      <c r="C7456" s="394"/>
      <c r="D7456" s="395" cm="1">
        <f t="array" ref="D7456">SUM(D5018)</f>
        <v>263.149367492134</v>
      </c>
      <c r="E7456" t="s" s="393">
        <v>1245</v>
      </c>
      <c r="F7456" s="406"/>
      <c r="G7456" s="406"/>
      <c r="H7456" s="383">
        <v>66.65000000000001</v>
      </c>
    </row>
    <row r="7457" ht="8.25" customHeight="1">
      <c r="A7457" t="s" s="390">
        <v>1246</v>
      </c>
      <c r="B7457" s="391"/>
      <c r="C7457" s="391"/>
      <c r="D7457" s="392" cm="1">
        <f t="array" ref="D7457">SUM(D5046)</f>
        <v>116.270751330517</v>
      </c>
      <c r="E7457" t="s" s="390">
        <v>1247</v>
      </c>
      <c r="F7457" s="405"/>
      <c r="G7457" s="405"/>
      <c r="H7457" s="392">
        <v>106.64</v>
      </c>
    </row>
    <row r="7458" ht="8.25" customHeight="1">
      <c r="A7458" t="s" s="393">
        <v>1248</v>
      </c>
      <c r="B7458" s="394"/>
      <c r="C7458" s="394"/>
      <c r="D7458" s="395" cm="1">
        <f t="array" ref="D7458">SUM(D5073)</f>
        <v>163.954776515152</v>
      </c>
      <c r="E7458" t="s" s="393">
        <v>1249</v>
      </c>
      <c r="F7458" s="406"/>
      <c r="G7458" s="406"/>
      <c r="H7458" s="395">
        <v>323.26</v>
      </c>
    </row>
    <row r="7459" ht="8.25" customHeight="1">
      <c r="A7459" t="s" s="390">
        <v>1250</v>
      </c>
      <c r="B7459" s="391"/>
      <c r="C7459" s="391"/>
      <c r="D7459" s="392" cm="1">
        <f t="array" ref="D7459">SUM(D5098)</f>
        <v>121.360776515152</v>
      </c>
      <c r="E7459" t="s" s="390">
        <v>1251</v>
      </c>
      <c r="F7459" s="405"/>
      <c r="G7459" s="405"/>
      <c r="H7459" s="452">
        <v>323.26</v>
      </c>
    </row>
    <row r="7460" ht="8.25" customHeight="1">
      <c r="A7460" t="s" s="416">
        <v>1252</v>
      </c>
      <c r="B7460" s="454"/>
      <c r="C7460" s="454"/>
      <c r="D7460" s="418" cm="1">
        <f t="array" ref="D7460">SUM(D5123)</f>
        <v>391.722740909092</v>
      </c>
      <c r="E7460" t="s" s="393">
        <v>1253</v>
      </c>
      <c r="F7460" s="406"/>
      <c r="G7460" s="406"/>
      <c r="H7460" s="453">
        <v>373.25</v>
      </c>
    </row>
    <row r="7461" ht="8.25" customHeight="1">
      <c r="A7461" t="s" s="390">
        <v>1254</v>
      </c>
      <c r="B7461" s="391"/>
      <c r="C7461" s="391"/>
      <c r="D7461" s="392" cm="1">
        <f t="array" ref="D7461">SUM(D5145)</f>
        <v>356.341329606880</v>
      </c>
      <c r="E7461" t="s" s="390">
        <v>1255</v>
      </c>
      <c r="F7461" s="405"/>
      <c r="G7461" s="405"/>
      <c r="H7461" s="452">
        <v>499.89</v>
      </c>
    </row>
    <row r="7462" ht="8.25" customHeight="1">
      <c r="A7462" t="s" s="393">
        <v>1256</v>
      </c>
      <c r="B7462" s="394"/>
      <c r="C7462" s="394"/>
      <c r="D7462" s="395" cm="1">
        <f t="array" ref="D7462">SUM(D5187)</f>
        <v>471.042297979798</v>
      </c>
      <c r="E7462" t="s" s="393">
        <v>1257</v>
      </c>
      <c r="F7462" s="406"/>
      <c r="G7462" s="406"/>
      <c r="H7462" s="453">
        <v>694.29</v>
      </c>
    </row>
    <row r="7463" ht="8.25" customHeight="1">
      <c r="A7463" t="s" s="390">
        <v>1258</v>
      </c>
      <c r="B7463" s="391"/>
      <c r="C7463" s="391"/>
      <c r="D7463" s="392" cm="1">
        <f t="array" ref="D7463">SUM(D5228)</f>
        <v>501.772582637184</v>
      </c>
      <c r="E7463" t="s" s="390">
        <v>1259</v>
      </c>
      <c r="F7463" s="405"/>
      <c r="G7463" s="405"/>
      <c r="H7463" s="452">
        <v>694.29</v>
      </c>
    </row>
    <row r="7464" ht="8.25" customHeight="1">
      <c r="A7464" t="s" s="393">
        <v>1260</v>
      </c>
      <c r="B7464" s="394"/>
      <c r="C7464" s="394"/>
      <c r="D7464" s="395" cm="1">
        <f t="array" ref="D7464">SUM(D5257)</f>
        <v>82.26566515151529</v>
      </c>
      <c r="E7464" t="s" s="393">
        <v>1261</v>
      </c>
      <c r="F7464" s="406"/>
      <c r="G7464" s="406"/>
      <c r="H7464" s="453">
        <v>373.25</v>
      </c>
    </row>
    <row r="7465" ht="8.25" customHeight="1">
      <c r="A7465" s="384"/>
      <c r="B7465" s="385"/>
      <c r="C7465" s="385"/>
      <c r="D7465" s="386"/>
      <c r="E7465" t="s" s="390">
        <v>1262</v>
      </c>
      <c r="F7465" s="405"/>
      <c r="G7465" s="405"/>
      <c r="H7465" s="452">
        <v>1033.1</v>
      </c>
    </row>
    <row r="7466" ht="8.25" customHeight="1">
      <c r="A7466" t="s" s="387">
        <v>1263</v>
      </c>
      <c r="B7466" s="388"/>
      <c r="C7466" s="388"/>
      <c r="D7466" t="s" s="389">
        <v>156</v>
      </c>
      <c r="E7466" t="s" s="393">
        <v>1264</v>
      </c>
      <c r="F7466" s="406"/>
      <c r="G7466" s="406"/>
      <c r="H7466" s="453">
        <v>306.6</v>
      </c>
    </row>
    <row r="7467" ht="8.25" customHeight="1">
      <c r="A7467" t="s" s="390">
        <v>1265</v>
      </c>
      <c r="B7467" s="391"/>
      <c r="C7467" s="391"/>
      <c r="D7467" s="392" cm="1">
        <f t="array" ref="D7467">SUM(D5284)</f>
        <v>134.295274908726</v>
      </c>
      <c r="E7467" t="s" s="390">
        <v>1266</v>
      </c>
      <c r="F7467" s="405"/>
      <c r="G7467" s="405"/>
      <c r="H7467" s="452">
        <v>399.91</v>
      </c>
    </row>
    <row r="7468" ht="8.25" customHeight="1">
      <c r="A7468" t="s" s="393">
        <v>1267</v>
      </c>
      <c r="B7468" s="394"/>
      <c r="C7468" s="394"/>
      <c r="D7468" s="395" cm="1">
        <f t="array" ref="D7468">SUM(D5315)</f>
        <v>176.553755969332</v>
      </c>
      <c r="E7468" t="s" s="393">
        <v>1268</v>
      </c>
      <c r="F7468" s="406"/>
      <c r="G7468" s="406"/>
      <c r="H7468" s="453">
        <v>401.02</v>
      </c>
    </row>
    <row r="7469" ht="8.25" customHeight="1">
      <c r="A7469" t="s" s="390">
        <v>1269</v>
      </c>
      <c r="B7469" s="391"/>
      <c r="C7469" s="391"/>
      <c r="D7469" s="392" cm="1">
        <f t="array" ref="D7469">SUM(D5342)</f>
        <v>135.295274908726</v>
      </c>
      <c r="E7469" t="s" s="390">
        <v>1270</v>
      </c>
      <c r="F7469" s="405"/>
      <c r="G7469" s="405"/>
      <c r="H7469" s="452">
        <v>39.99</v>
      </c>
    </row>
    <row r="7470" ht="8.25" customHeight="1">
      <c r="A7470" t="s" s="393">
        <v>1271</v>
      </c>
      <c r="B7470" s="394"/>
      <c r="C7470" s="394"/>
      <c r="D7470" s="395" cm="1">
        <f t="array" ref="D7470">SUM(D5372)</f>
        <v>197.241660009736</v>
      </c>
      <c r="E7470" t="s" s="393">
        <v>1272</v>
      </c>
      <c r="F7470" s="406"/>
      <c r="G7470" s="406"/>
      <c r="H7470" s="453">
        <v>37.32</v>
      </c>
    </row>
    <row r="7471" ht="8.25" customHeight="1">
      <c r="A7471" t="s" s="390">
        <v>1273</v>
      </c>
      <c r="B7471" s="391"/>
      <c r="C7471" s="391"/>
      <c r="D7471" s="392" cm="1">
        <f t="array" ref="D7471">SUM(D5398)</f>
        <v>121.121159404860</v>
      </c>
      <c r="E7471" t="s" s="390">
        <v>1274</v>
      </c>
      <c r="F7471" s="405"/>
      <c r="G7471" s="405"/>
      <c r="H7471" s="452">
        <v>37.32</v>
      </c>
    </row>
    <row r="7472" ht="8.25" customHeight="1">
      <c r="A7472" t="s" s="393">
        <v>1275</v>
      </c>
      <c r="B7472" s="394"/>
      <c r="C7472" s="394"/>
      <c r="D7472" s="395" cm="1">
        <f t="array" ref="D7472">SUM(D5429)</f>
        <v>198.269410009736</v>
      </c>
      <c r="E7472" t="s" s="393">
        <v>1276</v>
      </c>
      <c r="F7472" s="406"/>
      <c r="G7472" s="406"/>
      <c r="H7472" s="453">
        <v>98.64</v>
      </c>
    </row>
    <row r="7473" ht="8.25" customHeight="1">
      <c r="A7473" t="s" s="390">
        <v>1277</v>
      </c>
      <c r="B7473" s="391"/>
      <c r="C7473" s="391"/>
      <c r="D7473" s="392" cm="1">
        <f t="array" ref="D7473">SUM(D5456)</f>
        <v>221.991314050140</v>
      </c>
      <c r="E7473" t="s" s="390">
        <v>1278</v>
      </c>
      <c r="F7473" s="405"/>
      <c r="G7473" s="405"/>
      <c r="H7473" s="452">
        <v>683.1799999999999</v>
      </c>
    </row>
    <row r="7474" ht="8.25" customHeight="1">
      <c r="A7474" t="s" s="393">
        <v>1279</v>
      </c>
      <c r="B7474" s="394"/>
      <c r="C7474" s="394"/>
      <c r="D7474" s="395" cm="1">
        <f t="array" ref="D7474">SUM(D5487)</f>
        <v>263.215795110747</v>
      </c>
      <c r="E7474" t="s" s="393">
        <v>1280</v>
      </c>
      <c r="F7474" s="406"/>
      <c r="G7474" s="406"/>
      <c r="H7474" s="453">
        <v>466.56</v>
      </c>
    </row>
    <row r="7475" ht="8.25" customHeight="1">
      <c r="A7475" t="s" s="390">
        <v>1281</v>
      </c>
      <c r="B7475" s="391"/>
      <c r="C7475" s="391"/>
      <c r="D7475" s="392" cm="1">
        <f t="array" ref="D7475">SUM(D5515)</f>
        <v>201.341660009736</v>
      </c>
      <c r="E7475" t="s" s="390">
        <v>1282</v>
      </c>
      <c r="F7475" s="405"/>
      <c r="G7475" s="405"/>
      <c r="H7475" s="452">
        <v>566.54</v>
      </c>
    </row>
    <row r="7476" ht="8.25" customHeight="1">
      <c r="A7476" t="s" s="393">
        <v>1283</v>
      </c>
      <c r="B7476" s="394"/>
      <c r="C7476" s="394"/>
      <c r="D7476" s="395" cm="1">
        <f t="array" ref="D7476">SUM(D5546)</f>
        <v>326.855931818183</v>
      </c>
      <c r="E7476" t="s" s="393">
        <v>1284</v>
      </c>
      <c r="F7476" s="406"/>
      <c r="G7476" s="406"/>
      <c r="H7476" s="453">
        <v>533.21</v>
      </c>
    </row>
    <row r="7477" ht="8.25" customHeight="1">
      <c r="A7477" t="s" s="390">
        <v>1285</v>
      </c>
      <c r="B7477" s="391"/>
      <c r="C7477" s="391"/>
      <c r="D7477" s="392" cm="1">
        <f t="array" ref="D7477">SUM(D5574)</f>
        <v>349.839584252161</v>
      </c>
      <c r="E7477" t="s" s="390">
        <v>1286</v>
      </c>
      <c r="F7477" s="405"/>
      <c r="G7477" s="405"/>
      <c r="H7477" s="452">
        <v>649.85</v>
      </c>
    </row>
    <row r="7478" ht="8.25" customHeight="1">
      <c r="A7478" t="s" s="393">
        <v>1287</v>
      </c>
      <c r="B7478" s="394"/>
      <c r="C7478" s="394"/>
      <c r="D7478" s="395" cm="1">
        <f t="array" ref="D7478">SUM(D5606)</f>
        <v>386.739238292565</v>
      </c>
      <c r="E7478" t="s" s="393">
        <v>1288</v>
      </c>
      <c r="F7478" s="406"/>
      <c r="G7478" s="406"/>
      <c r="H7478" s="453">
        <v>716.5</v>
      </c>
    </row>
    <row r="7479" ht="8.25" customHeight="1">
      <c r="A7479" t="s" s="390">
        <v>1289</v>
      </c>
      <c r="B7479" s="391"/>
      <c r="C7479" s="391"/>
      <c r="D7479" s="392" cm="1">
        <f t="array" ref="D7479">SUM(D5634)</f>
        <v>424.016296373373</v>
      </c>
      <c r="E7479" t="s" s="390">
        <v>1290</v>
      </c>
      <c r="F7479" s="405"/>
      <c r="G7479" s="405"/>
      <c r="H7479" s="452">
        <v>849.8</v>
      </c>
    </row>
    <row r="7480" ht="8.25" customHeight="1">
      <c r="A7480" t="s" s="393">
        <v>1291</v>
      </c>
      <c r="B7480" s="394"/>
      <c r="C7480" s="394"/>
      <c r="D7480" s="395" cm="1">
        <f t="array" ref="D7480">SUM(D5666)</f>
        <v>461.800700413777</v>
      </c>
      <c r="E7480" t="s" s="393">
        <v>1292</v>
      </c>
      <c r="F7480" s="406"/>
      <c r="G7480" s="406"/>
      <c r="H7480" s="453">
        <v>1033.1</v>
      </c>
    </row>
    <row r="7481" ht="8.25" customHeight="1">
      <c r="A7481" t="s" s="390">
        <v>1293</v>
      </c>
      <c r="B7481" s="391"/>
      <c r="C7481" s="391"/>
      <c r="D7481" s="392" cm="1">
        <f t="array" ref="D7481">SUM(D5694)</f>
        <v>498.265258494586</v>
      </c>
      <c r="E7481" t="s" s="390">
        <v>1294</v>
      </c>
      <c r="F7481" s="405"/>
      <c r="G7481" s="405"/>
      <c r="H7481" s="452">
        <v>783.15</v>
      </c>
    </row>
    <row r="7482" ht="8.25" customHeight="1">
      <c r="A7482" t="s" s="393">
        <v>1295</v>
      </c>
      <c r="B7482" s="394"/>
      <c r="C7482" s="394"/>
      <c r="D7482" s="395" cm="1">
        <f t="array" ref="D7482">SUM(D5726)</f>
        <v>536.049662534990</v>
      </c>
      <c r="E7482" t="s" s="393">
        <v>1296</v>
      </c>
      <c r="F7482" s="406"/>
      <c r="G7482" s="406"/>
      <c r="H7482" s="453">
        <v>716.5</v>
      </c>
    </row>
    <row r="7483" ht="8.25" customHeight="1">
      <c r="A7483" t="s" s="390">
        <v>1297</v>
      </c>
      <c r="B7483" s="391"/>
      <c r="C7483" s="391"/>
      <c r="D7483" s="392" cm="1">
        <f t="array" ref="D7483">SUM(D5756)</f>
        <v>229.329384021984</v>
      </c>
      <c r="E7483" t="s" s="390">
        <v>1298</v>
      </c>
      <c r="F7483" s="405"/>
      <c r="G7483" s="405"/>
      <c r="H7483" s="452">
        <v>849.8</v>
      </c>
    </row>
    <row r="7484" ht="8.25" customHeight="1">
      <c r="A7484" t="s" s="393">
        <v>1299</v>
      </c>
      <c r="B7484" s="394"/>
      <c r="C7484" s="394"/>
      <c r="D7484" s="395" cm="1">
        <f t="array" ref="D7484">SUM(D5785)</f>
        <v>374.589238292565</v>
      </c>
      <c r="E7484" t="s" s="393">
        <v>1300</v>
      </c>
      <c r="F7484" s="406"/>
      <c r="G7484" s="406"/>
      <c r="H7484" s="453">
        <v>423.24</v>
      </c>
    </row>
    <row r="7485" ht="8.25" customHeight="1">
      <c r="A7485" t="s" s="390">
        <v>1301</v>
      </c>
      <c r="B7485" s="391"/>
      <c r="C7485" s="391"/>
      <c r="D7485" s="392" cm="1">
        <f t="array" ref="D7485">SUM(D5813)</f>
        <v>374.829238292565</v>
      </c>
      <c r="E7485" t="s" s="390">
        <v>1302</v>
      </c>
      <c r="F7485" s="405"/>
      <c r="G7485" s="405"/>
      <c r="H7485" s="452">
        <v>749.83</v>
      </c>
    </row>
    <row r="7486" ht="8.25" customHeight="1">
      <c r="A7486" t="s" s="393">
        <v>1303</v>
      </c>
      <c r="B7486" s="394"/>
      <c r="C7486" s="394"/>
      <c r="D7486" s="395" cm="1">
        <f t="array" ref="D7486">SUM(D5844)</f>
        <v>424.088546373373</v>
      </c>
      <c r="E7486" t="s" s="393">
        <v>1304</v>
      </c>
      <c r="F7486" s="406"/>
      <c r="G7486" s="406"/>
      <c r="H7486" s="453">
        <v>899.79</v>
      </c>
    </row>
    <row r="7487" ht="8.25" customHeight="1">
      <c r="A7487" t="s" s="390">
        <v>1305</v>
      </c>
      <c r="B7487" s="391"/>
      <c r="C7487" s="391"/>
      <c r="D7487" s="392" cm="1">
        <f t="array" ref="D7487">SUM(D5872)</f>
        <v>498.337508494586</v>
      </c>
      <c r="E7487" t="s" s="455">
        <v>1306</v>
      </c>
      <c r="F7487" s="456"/>
      <c r="G7487" s="456"/>
      <c r="H7487" s="457"/>
    </row>
    <row r="7488" ht="8.25" customHeight="1">
      <c r="A7488" t="s" s="393">
        <v>1307</v>
      </c>
      <c r="B7488" s="394"/>
      <c r="C7488" s="394"/>
      <c r="D7488" s="395" cm="1">
        <f t="array" ref="D7488">SUM(D5903)</f>
        <v>473.587854454181</v>
      </c>
      <c r="E7488" s="458"/>
      <c r="F7488" s="459"/>
      <c r="G7488" s="459"/>
      <c r="H7488" s="460"/>
    </row>
    <row r="7489" ht="8.25" customHeight="1">
      <c r="A7489" t="s" s="390">
        <v>1308</v>
      </c>
      <c r="B7489" s="391"/>
      <c r="C7489" s="391"/>
      <c r="D7489" s="392" cm="1">
        <f t="array" ref="D7489">SUM(D5931)</f>
        <v>374.589238292565</v>
      </c>
      <c r="E7489" t="s" s="399">
        <v>1309</v>
      </c>
      <c r="F7489" s="404"/>
      <c r="G7489" s="404"/>
      <c r="H7489" t="s" s="389">
        <v>156</v>
      </c>
    </row>
    <row r="7490" ht="8.25" customHeight="1">
      <c r="A7490" t="s" s="393">
        <v>1310</v>
      </c>
      <c r="B7490" s="394"/>
      <c r="C7490" s="394"/>
      <c r="D7490" s="395" cm="1">
        <f t="array" ref="D7490">SUM(D5961)</f>
        <v>914.981627181455</v>
      </c>
      <c r="E7490" t="s" s="390">
        <v>1311</v>
      </c>
      <c r="F7490" s="405"/>
      <c r="G7490" s="405"/>
      <c r="H7490" s="377" cm="1">
        <f t="array" ref="H7490">SUM(D6226)</f>
        <v>585.012079541141</v>
      </c>
    </row>
    <row r="7491" ht="8.25" customHeight="1">
      <c r="A7491" t="s" s="390">
        <v>1312</v>
      </c>
      <c r="B7491" s="391"/>
      <c r="C7491" s="391"/>
      <c r="D7491" s="392" cm="1">
        <f t="array" ref="D7491">SUM(D5988)</f>
        <v>914.981627181455</v>
      </c>
      <c r="E7491" t="s" s="393">
        <v>1313</v>
      </c>
      <c r="F7491" s="406"/>
      <c r="G7491" s="406"/>
      <c r="H7491" s="383" cm="1">
        <f t="array" ref="H7491">SUM(D6272)</f>
        <v>444.548306813867</v>
      </c>
    </row>
    <row r="7492" ht="8.25" customHeight="1">
      <c r="A7492" t="s" s="393">
        <v>1314</v>
      </c>
      <c r="B7492" s="394"/>
      <c r="C7492" s="394"/>
      <c r="D7492" s="395" cm="1">
        <f t="array" ref="D7492">SUM(D6018)</f>
        <v>1508.973324151150</v>
      </c>
      <c r="E7492" t="s" s="390">
        <v>1315</v>
      </c>
      <c r="F7492" s="405"/>
      <c r="G7492" s="405"/>
      <c r="H7492" s="377" cm="1">
        <f t="array" ref="H7492">SUM(E6312)</f>
        <v>256.377359909910</v>
      </c>
    </row>
    <row r="7493" ht="8.25" customHeight="1">
      <c r="A7493" t="s" s="390">
        <v>1316</v>
      </c>
      <c r="B7493" s="391"/>
      <c r="C7493" s="391"/>
      <c r="D7493" s="392" cm="1">
        <f t="array" ref="D7493">SUM(D6045)</f>
        <v>989.230589302668</v>
      </c>
      <c r="E7493" t="s" s="393">
        <v>1317</v>
      </c>
      <c r="F7493" s="406"/>
      <c r="G7493" s="406"/>
      <c r="H7493" s="383" cm="1">
        <f t="array" ref="H7493">SUM(D6353)</f>
        <v>320.946118559464</v>
      </c>
    </row>
    <row r="7494" ht="8.25" customHeight="1">
      <c r="A7494" t="s" s="393">
        <v>1318</v>
      </c>
      <c r="B7494" s="394"/>
      <c r="C7494" s="394"/>
      <c r="D7494" s="395" cm="1">
        <f t="array" ref="D7494">SUM(D6075)</f>
        <v>914.981627181455</v>
      </c>
      <c r="E7494" t="s" s="390">
        <v>1319</v>
      </c>
      <c r="F7494" s="405"/>
      <c r="G7494" s="405"/>
      <c r="H7494" s="377" cm="1">
        <f t="array" ref="H7494">SUM(D6395)</f>
        <v>185.096713354326</v>
      </c>
    </row>
    <row r="7495" ht="8.25" customHeight="1">
      <c r="A7495" t="s" s="390">
        <v>1320</v>
      </c>
      <c r="B7495" s="391"/>
      <c r="C7495" s="391"/>
      <c r="D7495" s="392" cm="1">
        <f t="array" ref="D7495">SUM(D6102)</f>
        <v>345.739584252161</v>
      </c>
      <c r="E7495" t="s" s="393">
        <v>1321</v>
      </c>
      <c r="F7495" s="406"/>
      <c r="G7495" s="406"/>
      <c r="H7495" s="383" cm="1">
        <f t="array" ref="H7495">SUM(D6437)</f>
        <v>321.263761081296</v>
      </c>
    </row>
    <row r="7496" ht="8.25" customHeight="1">
      <c r="A7496" t="s" s="393">
        <v>1322</v>
      </c>
      <c r="B7496" s="406"/>
      <c r="C7496" s="406"/>
      <c r="D7496" s="395" cm="1">
        <f t="array" ref="D7496">SUM(D6132)</f>
        <v>221.991314050140</v>
      </c>
      <c r="E7496" t="s" s="390">
        <v>1323</v>
      </c>
      <c r="F7496" s="405"/>
      <c r="G7496" s="405"/>
      <c r="H7496" s="377" cm="1">
        <f t="array" ref="H7496">SUM(D6479)</f>
        <v>331.263761081296</v>
      </c>
    </row>
    <row r="7497" ht="8.25" customHeight="1">
      <c r="A7497" t="s" s="390">
        <v>1324</v>
      </c>
      <c r="B7497" s="405"/>
      <c r="C7497" s="405"/>
      <c r="D7497" s="392" cm="1">
        <f t="array" ref="D7497">SUM(D6156)</f>
        <v>107.041803427129</v>
      </c>
      <c r="E7497" t="s" s="393">
        <v>1325</v>
      </c>
      <c r="F7497" s="406"/>
      <c r="G7497" s="406"/>
      <c r="H7497" s="383" cm="1">
        <f t="array" ref="H7497">SUM(D6521)</f>
        <v>321.263761081296</v>
      </c>
    </row>
    <row r="7498" ht="8.25" customHeight="1">
      <c r="A7498" t="s" s="393">
        <v>1326</v>
      </c>
      <c r="B7498" s="406"/>
      <c r="C7498" s="406"/>
      <c r="D7498" s="395" cm="1">
        <f t="array" ref="D7498">SUM(D6185)</f>
        <v>135.039986425062</v>
      </c>
      <c r="E7498" t="s" s="390">
        <v>1327</v>
      </c>
      <c r="F7498" s="405"/>
      <c r="G7498" s="405"/>
      <c r="H7498" s="377" cm="1">
        <f t="array" ref="H7498">SUM(D6561)</f>
        <v>221.706929418050</v>
      </c>
    </row>
    <row r="7499" ht="8.25" customHeight="1">
      <c r="A7499" t="s" s="390">
        <v>1328</v>
      </c>
      <c r="B7499" s="405"/>
      <c r="C7499" s="405"/>
      <c r="D7499" s="392">
        <v>175.96</v>
      </c>
      <c r="E7499" t="s" s="393">
        <v>1329</v>
      </c>
      <c r="F7499" s="406"/>
      <c r="G7499" s="406"/>
      <c r="H7499" s="383" cm="1">
        <f t="array" ref="H7499">SUM(D6602)</f>
        <v>331.263761081296</v>
      </c>
    </row>
    <row r="7500" ht="8.25" customHeight="1">
      <c r="A7500" t="s" s="393">
        <v>1330</v>
      </c>
      <c r="B7500" s="406"/>
      <c r="C7500" s="406"/>
      <c r="D7500" s="395">
        <v>326.59</v>
      </c>
      <c r="E7500" t="s" s="390">
        <v>1331</v>
      </c>
      <c r="F7500" s="405"/>
      <c r="G7500" s="405"/>
      <c r="H7500" s="377" cm="1">
        <f t="array" ref="H7500">SUM(D6643)</f>
        <v>318.183761081296</v>
      </c>
    </row>
    <row r="7501" ht="8.25" customHeight="1">
      <c r="A7501" t="s" s="390">
        <v>1332</v>
      </c>
      <c r="B7501" s="405"/>
      <c r="C7501" s="405"/>
      <c r="D7501" s="392">
        <v>393.78</v>
      </c>
      <c r="E7501" t="s" s="393">
        <v>1333</v>
      </c>
      <c r="F7501" s="406"/>
      <c r="G7501" s="406"/>
      <c r="H7501" s="383" cm="1">
        <f t="array" ref="H7501">SUM(D6691)</f>
        <v>373.934594414629</v>
      </c>
    </row>
    <row r="7502" ht="8.25" customHeight="1">
      <c r="A7502" t="s" s="393">
        <v>1334</v>
      </c>
      <c r="B7502" s="406"/>
      <c r="C7502" s="406"/>
      <c r="D7502" s="395">
        <v>306.6</v>
      </c>
      <c r="E7502" t="s" s="390">
        <v>1335</v>
      </c>
      <c r="F7502" s="405"/>
      <c r="G7502" s="405"/>
      <c r="H7502" s="377" cm="1">
        <f t="array" ref="H7502">SUM(D6739)</f>
        <v>383.934594414629</v>
      </c>
    </row>
    <row r="7503" ht="8.25" customHeight="1">
      <c r="A7503" t="s" s="390">
        <v>1336</v>
      </c>
      <c r="B7503" s="405"/>
      <c r="C7503" s="405"/>
      <c r="D7503" s="392">
        <v>306.6</v>
      </c>
      <c r="E7503" t="s" s="393">
        <v>1337</v>
      </c>
      <c r="F7503" s="406"/>
      <c r="G7503" s="406"/>
      <c r="H7503" s="383" cm="1">
        <f t="array" ref="H7503">SUM(D6787)</f>
        <v>317.541261081296</v>
      </c>
    </row>
    <row r="7504" ht="8.25" customHeight="1">
      <c r="A7504" t="s" s="393">
        <v>1338</v>
      </c>
      <c r="B7504" s="406"/>
      <c r="C7504" s="406"/>
      <c r="D7504" s="395">
        <v>439.9</v>
      </c>
      <c r="E7504" t="s" s="390">
        <v>1339</v>
      </c>
      <c r="F7504" s="405"/>
      <c r="G7504" s="405"/>
      <c r="H7504" s="377" cm="1">
        <f t="array" ref="H7504">SUM(D6827)</f>
        <v>351.350668885756</v>
      </c>
    </row>
    <row r="7505" ht="8.25" customHeight="1">
      <c r="A7505" t="s" s="390">
        <v>1340</v>
      </c>
      <c r="B7505" s="405"/>
      <c r="C7505" s="405"/>
      <c r="D7505" s="392">
        <v>299.93</v>
      </c>
      <c r="E7505" t="s" s="393">
        <v>1341</v>
      </c>
      <c r="F7505" s="406"/>
      <c r="G7505" s="406"/>
      <c r="H7505" s="383" cm="1">
        <f t="array" ref="H7505">SUM(D6856)</f>
        <v>265.598890909092</v>
      </c>
    </row>
    <row r="7506" ht="8.25" customHeight="1">
      <c r="A7506" t="s" s="393">
        <v>1342</v>
      </c>
      <c r="B7506" s="406"/>
      <c r="C7506" s="406"/>
      <c r="D7506" s="395">
        <v>499.89</v>
      </c>
      <c r="E7506" t="s" s="390">
        <v>1343</v>
      </c>
      <c r="F7506" s="405"/>
      <c r="G7506" s="405"/>
      <c r="H7506" s="377" cm="1">
        <f t="array" ref="H7506">SUM(D6881)</f>
        <v>187.918890909091</v>
      </c>
    </row>
    <row r="7507" ht="8.25" customHeight="1">
      <c r="A7507" t="s" s="390">
        <v>1344</v>
      </c>
      <c r="B7507" s="405"/>
      <c r="C7507" s="405"/>
      <c r="D7507" s="392">
        <v>373.25</v>
      </c>
      <c r="E7507" t="s" s="393">
        <v>1345</v>
      </c>
      <c r="F7507" s="406"/>
      <c r="G7507" s="406"/>
      <c r="H7507" s="383" cm="1">
        <f t="array" ref="H7507">SUM(D6921)</f>
        <v>347.187647400077</v>
      </c>
    </row>
    <row r="7508" ht="8.25" customHeight="1">
      <c r="A7508" t="s" s="393">
        <v>1346</v>
      </c>
      <c r="B7508" s="406"/>
      <c r="C7508" s="406"/>
      <c r="D7508" s="395">
        <v>406.57</v>
      </c>
      <c r="E7508" t="s" s="390">
        <v>1347</v>
      </c>
      <c r="F7508" s="405"/>
      <c r="G7508" s="405"/>
      <c r="H7508" s="377" cm="1">
        <f t="array" ref="H7508">SUM(D6956)</f>
        <v>319.775444524710</v>
      </c>
    </row>
    <row r="7509" ht="8.25" customHeight="1">
      <c r="A7509" t="s" s="390">
        <v>1348</v>
      </c>
      <c r="B7509" s="405"/>
      <c r="C7509" s="405"/>
      <c r="D7509" s="392">
        <v>66.65000000000001</v>
      </c>
      <c r="E7509" t="s" s="393">
        <v>1349</v>
      </c>
      <c r="F7509" s="406"/>
      <c r="G7509" s="406"/>
      <c r="H7509" s="383" cm="1">
        <f t="array" ref="H7509">SUM(D6989)</f>
        <v>405.350220632256</v>
      </c>
    </row>
    <row r="7510" ht="8.25" customHeight="1">
      <c r="A7510" t="s" s="393">
        <v>1350</v>
      </c>
      <c r="B7510" s="406"/>
      <c r="C7510" s="406"/>
      <c r="D7510" s="395">
        <v>101.31</v>
      </c>
      <c r="E7510" t="s" s="390">
        <v>1351</v>
      </c>
      <c r="F7510" s="405"/>
      <c r="G7510" s="405"/>
      <c r="H7510" s="377" cm="1">
        <f t="array" ref="H7510">SUM(D7026)</f>
        <v>405.350220632256</v>
      </c>
    </row>
    <row r="7511" ht="8.25" customHeight="1">
      <c r="A7511" t="s" s="390">
        <v>1352</v>
      </c>
      <c r="B7511" s="405"/>
      <c r="C7511" s="405"/>
      <c r="D7511" s="392">
        <v>399.91</v>
      </c>
      <c r="E7511" t="s" s="393">
        <v>1353</v>
      </c>
      <c r="F7511" s="406"/>
      <c r="G7511" s="406"/>
      <c r="H7511" s="383" cm="1">
        <f t="array" ref="H7511">SUM(D7063)</f>
        <v>315.350220632256</v>
      </c>
    </row>
    <row r="7512" ht="8.25" customHeight="1">
      <c r="A7512" t="s" s="393">
        <v>1354</v>
      </c>
      <c r="B7512" s="406"/>
      <c r="C7512" s="406"/>
      <c r="D7512" s="395">
        <v>694.29</v>
      </c>
      <c r="E7512" t="s" s="390">
        <v>1355</v>
      </c>
      <c r="F7512" s="405"/>
      <c r="G7512" s="405"/>
      <c r="H7512" s="377" cm="1">
        <f t="array" ref="H7512">SUM(D7100)</f>
        <v>365.350220632256</v>
      </c>
    </row>
    <row r="7513" ht="8.25" customHeight="1">
      <c r="A7513" t="s" s="390">
        <v>1356</v>
      </c>
      <c r="B7513" s="405"/>
      <c r="C7513" s="405"/>
      <c r="D7513" s="392">
        <v>694.29</v>
      </c>
      <c r="E7513" t="s" s="393">
        <v>1357</v>
      </c>
      <c r="F7513" s="406"/>
      <c r="G7513" s="406"/>
      <c r="H7513" s="383" cm="1">
        <f t="array" ref="H7513">SUM(D7136)</f>
        <v>341.995848484849</v>
      </c>
    </row>
    <row r="7514" ht="8.25" customHeight="1">
      <c r="A7514" t="s" s="393">
        <v>1358</v>
      </c>
      <c r="B7514" s="406"/>
      <c r="C7514" s="406"/>
      <c r="D7514" s="395">
        <v>694.29</v>
      </c>
      <c r="E7514" t="s" s="390">
        <v>1359</v>
      </c>
      <c r="F7514" s="405"/>
      <c r="G7514" s="405"/>
      <c r="H7514" s="377" cm="1">
        <f t="array" ref="H7514">SUM(D7173)</f>
        <v>365.350220632256</v>
      </c>
    </row>
    <row r="7515" ht="8.25" customHeight="1">
      <c r="A7515" t="s" s="390">
        <v>1360</v>
      </c>
      <c r="B7515" s="405"/>
      <c r="C7515" s="405"/>
      <c r="D7515" s="392">
        <v>499.89</v>
      </c>
      <c r="E7515" t="s" s="393">
        <v>1361</v>
      </c>
      <c r="F7515" s="406"/>
      <c r="G7515" s="406"/>
      <c r="H7515" s="383" cm="1">
        <f t="array" ref="H7515">SUM(D7210)</f>
        <v>315.350220632256</v>
      </c>
    </row>
    <row r="7516" ht="8.25" customHeight="1">
      <c r="A7516" t="s" s="393">
        <v>1362</v>
      </c>
      <c r="B7516" s="406"/>
      <c r="C7516" s="406"/>
      <c r="D7516" s="395">
        <v>716.5</v>
      </c>
      <c r="E7516" t="s" s="390">
        <v>1363</v>
      </c>
      <c r="F7516" s="405"/>
      <c r="G7516" s="405"/>
      <c r="H7516" s="377" cm="1">
        <f t="array" ref="H7516">SUM(D7248)</f>
        <v>262.795051226552</v>
      </c>
    </row>
    <row r="7517" ht="8.25" customHeight="1">
      <c r="A7517" t="s" s="390">
        <v>1364</v>
      </c>
      <c r="B7517" s="405"/>
      <c r="C7517" s="405"/>
      <c r="D7517" s="392">
        <v>849.8</v>
      </c>
      <c r="E7517" t="s" s="393">
        <v>1365</v>
      </c>
      <c r="F7517" s="406"/>
      <c r="G7517" s="406"/>
      <c r="H7517" s="383" cm="1">
        <f t="array" ref="H7517">SUM(D7281)</f>
        <v>202.473940115441</v>
      </c>
    </row>
    <row r="7518" ht="8.25" customHeight="1">
      <c r="A7518" t="s" s="393">
        <v>1366</v>
      </c>
      <c r="B7518" s="406"/>
      <c r="C7518" s="406"/>
      <c r="D7518" s="395">
        <v>1033.1</v>
      </c>
      <c r="E7518" t="s" s="390">
        <v>1367</v>
      </c>
      <c r="F7518" s="405"/>
      <c r="G7518" s="405"/>
      <c r="H7518" s="377" cm="1">
        <f t="array" ref="H7518">SUM(D7314)</f>
        <v>207.473940115441</v>
      </c>
    </row>
    <row r="7519" ht="8.25" customHeight="1">
      <c r="A7519" t="s" s="443">
        <v>1368</v>
      </c>
      <c r="B7519" s="444"/>
      <c r="C7519" s="444"/>
      <c r="D7519" s="461">
        <v>649.85</v>
      </c>
      <c r="E7519" t="s" s="462">
        <v>1369</v>
      </c>
      <c r="F7519" s="463"/>
      <c r="G7519" s="463"/>
      <c r="H7519" s="464" cm="1">
        <f t="array" ref="H7519">SUM(D7347)</f>
        <v>202.473940115441</v>
      </c>
    </row>
    <row r="7520" ht="8.25" customHeight="1">
      <c r="A7520" s="465"/>
      <c r="B7520" s="465"/>
      <c r="C7520" s="465"/>
      <c r="D7520" s="466"/>
      <c r="E7520" s="465"/>
      <c r="F7520" s="465"/>
      <c r="G7520" s="465"/>
      <c r="H7520" s="467"/>
    </row>
    <row r="7521" ht="13.5" customHeight="1">
      <c r="A7521" t="s" s="145">
        <v>1370</v>
      </c>
      <c r="B7521" s="123"/>
      <c r="C7521" s="123"/>
      <c r="D7521" s="35"/>
      <c r="E7521" s="468"/>
      <c r="F7521" s="469"/>
      <c r="G7521" s="469"/>
      <c r="H7521" s="470"/>
    </row>
    <row r="7522" ht="12.75" customHeight="1">
      <c r="A7522" s="471"/>
      <c r="B7522" s="472"/>
      <c r="C7522" s="472"/>
      <c r="D7522" s="473"/>
      <c r="E7522" s="474"/>
      <c r="F7522" s="475"/>
      <c r="G7522" s="475"/>
      <c r="H7522" s="183"/>
    </row>
    <row r="7523" ht="12.75" customHeight="1">
      <c r="A7523" t="s" s="476">
        <v>1371</v>
      </c>
      <c r="B7523" s="477"/>
      <c r="C7523" s="477"/>
      <c r="D7523" s="477"/>
      <c r="E7523" s="477"/>
      <c r="F7523" s="477"/>
      <c r="G7523" s="477"/>
      <c r="H7523" s="478"/>
    </row>
    <row r="7524" ht="12" customHeight="1">
      <c r="A7524" s="479"/>
      <c r="B7524" s="480"/>
      <c r="C7524" s="480"/>
      <c r="D7524" s="480"/>
      <c r="E7524" s="480"/>
      <c r="F7524" s="480"/>
      <c r="G7524" s="480"/>
      <c r="H7524" s="481"/>
    </row>
    <row r="7525" ht="12" customHeight="1">
      <c r="A7525" s="482"/>
      <c r="B7525" s="483"/>
      <c r="C7525" s="483"/>
      <c r="D7525" s="483"/>
      <c r="E7525" s="483"/>
      <c r="F7525" s="483"/>
      <c r="G7525" s="483"/>
      <c r="H7525" s="484"/>
    </row>
    <row r="7526" ht="9.75" customHeight="1">
      <c r="A7526" s="485"/>
      <c r="B7526" s="486"/>
      <c r="C7526" s="486"/>
      <c r="D7526" s="486"/>
      <c r="E7526" s="486"/>
      <c r="F7526" s="486"/>
      <c r="G7526" s="486"/>
      <c r="H7526" s="486"/>
    </row>
    <row r="7527" ht="11.25" customHeight="1">
      <c r="A7527" t="s" s="476">
        <v>1372</v>
      </c>
      <c r="B7527" s="477"/>
      <c r="C7527" s="477"/>
      <c r="D7527" s="477"/>
      <c r="E7527" s="477"/>
      <c r="F7527" s="477"/>
      <c r="G7527" s="477"/>
      <c r="H7527" s="478"/>
    </row>
    <row r="7528" ht="12.75" customHeight="1">
      <c r="A7528" s="479"/>
      <c r="B7528" s="480"/>
      <c r="C7528" s="480"/>
      <c r="D7528" s="480"/>
      <c r="E7528" s="480"/>
      <c r="F7528" s="480"/>
      <c r="G7528" s="480"/>
      <c r="H7528" s="481"/>
    </row>
    <row r="7529" ht="12" customHeight="1">
      <c r="A7529" s="482"/>
      <c r="B7529" s="483"/>
      <c r="C7529" s="483"/>
      <c r="D7529" s="483"/>
      <c r="E7529" s="483"/>
      <c r="F7529" s="483"/>
      <c r="G7529" s="483"/>
      <c r="H7529" s="484"/>
    </row>
    <row r="7530" ht="15.75" customHeight="1">
      <c r="A7530" s="196"/>
      <c r="B7530" s="196"/>
      <c r="C7530" s="196"/>
      <c r="D7530" s="487"/>
      <c r="E7530" s="488"/>
      <c r="F7530" s="196"/>
      <c r="G7530" s="196"/>
      <c r="H7530" s="196"/>
    </row>
  </sheetData>
  <mergeCells count="582">
    <mergeCell ref="A7527:H7529"/>
    <mergeCell ref="A7523:H7525"/>
    <mergeCell ref="A7354:H7354"/>
    <mergeCell ref="A7368:C7368"/>
    <mergeCell ref="A7374:C7374"/>
    <mergeCell ref="A7441:C7441"/>
    <mergeCell ref="A7460:C7460"/>
    <mergeCell ref="A7446:C7446"/>
    <mergeCell ref="E7487:H7488"/>
    <mergeCell ref="A7448:C7448"/>
    <mergeCell ref="A7449:C7449"/>
    <mergeCell ref="A7450:C7450"/>
    <mergeCell ref="A113:B113"/>
    <mergeCell ref="B246:C246"/>
    <mergeCell ref="A7398:C7398"/>
    <mergeCell ref="A7421:D7422"/>
    <mergeCell ref="D7346:E7346"/>
    <mergeCell ref="D7347:E7347"/>
    <mergeCell ref="A7420:C7420"/>
    <mergeCell ref="E7392:G7392"/>
    <mergeCell ref="E7399:G7399"/>
    <mergeCell ref="E7400:G7400"/>
    <mergeCell ref="E7401:G7401"/>
    <mergeCell ref="A7447:C7447"/>
    <mergeCell ref="E7415:H7415"/>
    <mergeCell ref="E7416:H7416"/>
    <mergeCell ref="E7417:H7417"/>
    <mergeCell ref="E7418:H7418"/>
    <mergeCell ref="A7400:C7400"/>
    <mergeCell ref="A7423:C7423"/>
    <mergeCell ref="E7388:G7388"/>
    <mergeCell ref="E7393:G7393"/>
    <mergeCell ref="E7394:G7394"/>
    <mergeCell ref="A7399:C7399"/>
    <mergeCell ref="A7393:C7393"/>
    <mergeCell ref="A7394:C7394"/>
    <mergeCell ref="E7395:G7395"/>
    <mergeCell ref="E7396:G7396"/>
    <mergeCell ref="E7397:G7397"/>
    <mergeCell ref="E7398:G7398"/>
    <mergeCell ref="E7384:G7384"/>
    <mergeCell ref="E7385:G7385"/>
    <mergeCell ref="E7386:G7386"/>
    <mergeCell ref="E7387:G7387"/>
    <mergeCell ref="D7280:E7280"/>
    <mergeCell ref="D7281:E7281"/>
    <mergeCell ref="D7313:E7313"/>
    <mergeCell ref="D7314:E7314"/>
    <mergeCell ref="D555:E555"/>
    <mergeCell ref="D599:E599"/>
    <mergeCell ref="D7247:E7247"/>
    <mergeCell ref="D7248:E7248"/>
    <mergeCell ref="D3969:E3969"/>
    <mergeCell ref="D3997:E3997"/>
    <mergeCell ref="D4026:E4026"/>
    <mergeCell ref="D3844:E3844"/>
    <mergeCell ref="D3885:E3885"/>
    <mergeCell ref="D3745:E3745"/>
    <mergeCell ref="F4246:G4246"/>
    <mergeCell ref="F4247:G4247"/>
    <mergeCell ref="D612:E612"/>
    <mergeCell ref="D637:E637"/>
    <mergeCell ref="D625:E625"/>
    <mergeCell ref="D4058:E4058"/>
    <mergeCell ref="D4086:E4086"/>
    <mergeCell ref="D4124:E4124"/>
    <mergeCell ref="F4206:G4206"/>
    <mergeCell ref="D3946:E3946"/>
    <mergeCell ref="D3775:E3775"/>
    <mergeCell ref="D3797:E3797"/>
    <mergeCell ref="D3821:E3821"/>
    <mergeCell ref="D3613:E3613"/>
    <mergeCell ref="D3649:E3649"/>
    <mergeCell ref="D3684:E3684"/>
    <mergeCell ref="D3722:E3722"/>
    <mergeCell ref="D3477:E3477"/>
    <mergeCell ref="D3511:E3511"/>
    <mergeCell ref="D3545:E3545"/>
    <mergeCell ref="D3579:E3579"/>
    <mergeCell ref="D3364:E3364"/>
    <mergeCell ref="D3396:E3396"/>
    <mergeCell ref="D3424:E3424"/>
    <mergeCell ref="D3454:E3454"/>
    <mergeCell ref="D3232:E3232"/>
    <mergeCell ref="D3267:E3267"/>
    <mergeCell ref="D3302:E3302"/>
    <mergeCell ref="D3334:E3334"/>
    <mergeCell ref="D3093:E3093"/>
    <mergeCell ref="D3128:E3128"/>
    <mergeCell ref="D3163:E3163"/>
    <mergeCell ref="D3197:E3197"/>
    <mergeCell ref="D2983:E2983"/>
    <mergeCell ref="D3010:E3010"/>
    <mergeCell ref="D3037:E3037"/>
    <mergeCell ref="D3063:E3063"/>
    <mergeCell ref="D2881:E2881"/>
    <mergeCell ref="D2906:E2906"/>
    <mergeCell ref="D2931:E2931"/>
    <mergeCell ref="D2960:E2960"/>
    <mergeCell ref="D2761:E2761"/>
    <mergeCell ref="D2793:E2793"/>
    <mergeCell ref="D2822:E2822"/>
    <mergeCell ref="D2851:E2851"/>
    <mergeCell ref="D2628:E2628"/>
    <mergeCell ref="D2668:E2668"/>
    <mergeCell ref="D2703:E2703"/>
    <mergeCell ref="D2735:E2735"/>
    <mergeCell ref="D2507:E2507"/>
    <mergeCell ref="D2535:E2535"/>
    <mergeCell ref="D2567:E2567"/>
    <mergeCell ref="D2596:E2596"/>
    <mergeCell ref="D2379:E2379"/>
    <mergeCell ref="D2416:E2416"/>
    <mergeCell ref="D2447:E2447"/>
    <mergeCell ref="D2475:E2475"/>
    <mergeCell ref="D2264:E2264"/>
    <mergeCell ref="D2293:E2293"/>
    <mergeCell ref="D2324:E2324"/>
    <mergeCell ref="D2355:E2355"/>
    <mergeCell ref="D2114:E2114"/>
    <mergeCell ref="D2162:E2162"/>
    <mergeCell ref="D2210:E2210"/>
    <mergeCell ref="D2245:E2245"/>
    <mergeCell ref="D1928:E1928"/>
    <mergeCell ref="D1975:E1975"/>
    <mergeCell ref="D2021:E2021"/>
    <mergeCell ref="D2067:E2067"/>
    <mergeCell ref="D1798:E1798"/>
    <mergeCell ref="D1864:E1864"/>
    <mergeCell ref="D1901:E1901"/>
    <mergeCell ref="D1695:E1695"/>
    <mergeCell ref="D1727:E1727"/>
    <mergeCell ref="D1750:E1750"/>
    <mergeCell ref="D1777:E1777"/>
    <mergeCell ref="D1557:E1557"/>
    <mergeCell ref="D1596:E1596"/>
    <mergeCell ref="D1634:E1634"/>
    <mergeCell ref="D1667:E1667"/>
    <mergeCell ref="D1406:E1406"/>
    <mergeCell ref="D1444:E1444"/>
    <mergeCell ref="D1482:E1482"/>
    <mergeCell ref="D1518:E1518"/>
    <mergeCell ref="D1270:E1270"/>
    <mergeCell ref="D1299:E1299"/>
    <mergeCell ref="D1331:E1331"/>
    <mergeCell ref="D1368:E1368"/>
    <mergeCell ref="D1171:E1171"/>
    <mergeCell ref="D1198:E1198"/>
    <mergeCell ref="D1216:E1216"/>
    <mergeCell ref="D1244:E1244"/>
    <mergeCell ref="D1062:E1062"/>
    <mergeCell ref="D1097:E1097"/>
    <mergeCell ref="D1120:E1120"/>
    <mergeCell ref="D1147:E1147"/>
    <mergeCell ref="D943:E943"/>
    <mergeCell ref="D974:E974"/>
    <mergeCell ref="D1004:E1004"/>
    <mergeCell ref="D1033:E1033"/>
    <mergeCell ref="D841:E841"/>
    <mergeCell ref="D867:E867"/>
    <mergeCell ref="D887:E887"/>
    <mergeCell ref="D919:E919"/>
    <mergeCell ref="D740:E740"/>
    <mergeCell ref="D765:E765"/>
    <mergeCell ref="D787:E787"/>
    <mergeCell ref="D815:E815"/>
    <mergeCell ref="D678:E678"/>
    <mergeCell ref="D699:E699"/>
    <mergeCell ref="D719:E719"/>
    <mergeCell ref="D407:E407"/>
    <mergeCell ref="D655:E655"/>
    <mergeCell ref="D511:E511"/>
    <mergeCell ref="D524:E524"/>
    <mergeCell ref="D541:E541"/>
    <mergeCell ref="D582:E582"/>
    <mergeCell ref="D569:E569"/>
    <mergeCell ref="A265:B265"/>
    <mergeCell ref="E208:F208"/>
    <mergeCell ref="E209:F209"/>
    <mergeCell ref="E210:F210"/>
    <mergeCell ref="D246:E246"/>
    <mergeCell ref="D364:E364"/>
    <mergeCell ref="C413:D413"/>
    <mergeCell ref="D485:E485"/>
    <mergeCell ref="D498:E498"/>
    <mergeCell ref="D4606:E4606"/>
    <mergeCell ref="D4775:E4775"/>
    <mergeCell ref="D4892:E4892"/>
    <mergeCell ref="D4925:E4925"/>
    <mergeCell ref="D4988:E4988"/>
    <mergeCell ref="D5018:E5018"/>
    <mergeCell ref="D5046:E5046"/>
    <mergeCell ref="D5073:E5073"/>
    <mergeCell ref="D5098:E5098"/>
    <mergeCell ref="D5123:E5123"/>
    <mergeCell ref="D5145:E5145"/>
    <mergeCell ref="D5257:E5257"/>
    <mergeCell ref="D5284:E5284"/>
    <mergeCell ref="D5315:E5315"/>
    <mergeCell ref="D5342:E5342"/>
    <mergeCell ref="D5372:E5372"/>
    <mergeCell ref="D5398:E5398"/>
    <mergeCell ref="D5429:E5429"/>
    <mergeCell ref="D5456:E5456"/>
    <mergeCell ref="D5487:E5487"/>
    <mergeCell ref="D5515:E5515"/>
    <mergeCell ref="D5546:E5546"/>
    <mergeCell ref="D5574:E5574"/>
    <mergeCell ref="D5606:E5606"/>
    <mergeCell ref="D5634:E5634"/>
    <mergeCell ref="D5666:E5666"/>
    <mergeCell ref="D5694:E5694"/>
    <mergeCell ref="D5726:E5726"/>
    <mergeCell ref="D5756:E5756"/>
    <mergeCell ref="D5785:E5785"/>
    <mergeCell ref="D5813:E5813"/>
    <mergeCell ref="D5844:E5844"/>
    <mergeCell ref="D5872:E5872"/>
    <mergeCell ref="D5903:E5903"/>
    <mergeCell ref="D5931:E5931"/>
    <mergeCell ref="D5961:E5961"/>
    <mergeCell ref="D5988:E5988"/>
    <mergeCell ref="D6018:E6018"/>
    <mergeCell ref="D6045:E6045"/>
    <mergeCell ref="D6075:E6075"/>
    <mergeCell ref="D6102:E6102"/>
    <mergeCell ref="D6132:E6132"/>
    <mergeCell ref="D6156:E6156"/>
    <mergeCell ref="D6185:E6185"/>
    <mergeCell ref="D6226:E6226"/>
    <mergeCell ref="D6272:E6272"/>
    <mergeCell ref="D6353:E6353"/>
    <mergeCell ref="D6395:E6395"/>
    <mergeCell ref="D6437:E6437"/>
    <mergeCell ref="D6479:E6479"/>
    <mergeCell ref="D6521:E6521"/>
    <mergeCell ref="D6561:E6561"/>
    <mergeCell ref="D6602:E6602"/>
    <mergeCell ref="D6643:E6643"/>
    <mergeCell ref="D6691:E6691"/>
    <mergeCell ref="D6739:E6739"/>
    <mergeCell ref="D6787:E6787"/>
    <mergeCell ref="D6827:E6827"/>
    <mergeCell ref="D6856:E6856"/>
    <mergeCell ref="D6881:E6881"/>
    <mergeCell ref="D6921:E6921"/>
    <mergeCell ref="D6956:E6956"/>
    <mergeCell ref="D6989:E6989"/>
    <mergeCell ref="D7026:E7026"/>
    <mergeCell ref="D7210:E7210"/>
    <mergeCell ref="D7063:E7063"/>
    <mergeCell ref="D7100:E7100"/>
    <mergeCell ref="D7136:E7136"/>
    <mergeCell ref="D7173:E7173"/>
    <mergeCell ref="F3927:G3927"/>
    <mergeCell ref="F1839:G1839"/>
    <mergeCell ref="F1840:G1840"/>
    <mergeCell ref="F4205:G4205"/>
    <mergeCell ref="F4165:G4165"/>
    <mergeCell ref="F4164:G4164"/>
    <mergeCell ref="F4287:G4287"/>
    <mergeCell ref="F4288:G4288"/>
    <mergeCell ref="F4328:G4328"/>
    <mergeCell ref="F4329:G4329"/>
    <mergeCell ref="F4369:G4369"/>
    <mergeCell ref="F4370:G4370"/>
    <mergeCell ref="F4410:G4410"/>
    <mergeCell ref="F4411:G4411"/>
    <mergeCell ref="F4451:G4451"/>
    <mergeCell ref="F4452:G4452"/>
    <mergeCell ref="F4486:G4486"/>
    <mergeCell ref="F4487:G4487"/>
    <mergeCell ref="F4527:G4527"/>
    <mergeCell ref="F4528:G4528"/>
    <mergeCell ref="F4568:G4568"/>
    <mergeCell ref="F4569:G4569"/>
    <mergeCell ref="F4645:G4645"/>
    <mergeCell ref="F4646:G4646"/>
    <mergeCell ref="F4684:G4684"/>
    <mergeCell ref="F4685:G4685"/>
    <mergeCell ref="F4716:G4716"/>
    <mergeCell ref="F4717:G4717"/>
    <mergeCell ref="F4745:G4745"/>
    <mergeCell ref="F4746:G4746"/>
    <mergeCell ref="F4814:G4814"/>
    <mergeCell ref="F4815:G4815"/>
    <mergeCell ref="F4854:G4854"/>
    <mergeCell ref="F4855:G4855"/>
    <mergeCell ref="F5227:G5227"/>
    <mergeCell ref="F5228:G5228"/>
    <mergeCell ref="F4950:G4950"/>
    <mergeCell ref="F4951:G4951"/>
    <mergeCell ref="F5186:G5186"/>
    <mergeCell ref="F5187:G5187"/>
    <mergeCell ref="E7390:G7390"/>
    <mergeCell ref="E7389:G7389"/>
    <mergeCell ref="E7391:G7391"/>
    <mergeCell ref="A7356:C7356"/>
    <mergeCell ref="A7357:C7357"/>
    <mergeCell ref="A7358:C7358"/>
    <mergeCell ref="A7359:C7359"/>
    <mergeCell ref="A7379:C7379"/>
    <mergeCell ref="A7380:C7380"/>
    <mergeCell ref="A7381:C7381"/>
    <mergeCell ref="A7360:C7360"/>
    <mergeCell ref="A7361:C7361"/>
    <mergeCell ref="A7362:C7362"/>
    <mergeCell ref="A7363:C7363"/>
    <mergeCell ref="A7367:C7367"/>
    <mergeCell ref="A7376:C7376"/>
    <mergeCell ref="A7377:C7377"/>
    <mergeCell ref="A7378:C7378"/>
    <mergeCell ref="A7355:C7355"/>
    <mergeCell ref="A7366:C7366"/>
    <mergeCell ref="A7375:C7375"/>
    <mergeCell ref="A7372:C7372"/>
    <mergeCell ref="A7369:C7369"/>
    <mergeCell ref="A7370:C7370"/>
    <mergeCell ref="A7371:C7371"/>
    <mergeCell ref="A7373:D7373"/>
    <mergeCell ref="A7364:C7364"/>
    <mergeCell ref="A7365:C7365"/>
    <mergeCell ref="A7382:C7382"/>
    <mergeCell ref="A7383:C7383"/>
    <mergeCell ref="A7384:C7384"/>
    <mergeCell ref="A7385:C7385"/>
    <mergeCell ref="A7386:C7386"/>
    <mergeCell ref="A7387:C7387"/>
    <mergeCell ref="A7389:C7389"/>
    <mergeCell ref="A7390:C7390"/>
    <mergeCell ref="A7388:C7388"/>
    <mergeCell ref="A7391:D7391"/>
    <mergeCell ref="A7395:C7395"/>
    <mergeCell ref="A7396:C7396"/>
    <mergeCell ref="A7397:C7397"/>
    <mergeCell ref="A7392:C7392"/>
    <mergeCell ref="A7401:C7401"/>
    <mergeCell ref="A7402:C7402"/>
    <mergeCell ref="A7403:C7403"/>
    <mergeCell ref="A7404:C7404"/>
    <mergeCell ref="A7405:C7405"/>
    <mergeCell ref="A7406:C7406"/>
    <mergeCell ref="A7407:C7407"/>
    <mergeCell ref="A7408:C7408"/>
    <mergeCell ref="A7409:C7409"/>
    <mergeCell ref="A7410:C7410"/>
    <mergeCell ref="A7419:C7419"/>
    <mergeCell ref="A7411:C7411"/>
    <mergeCell ref="A7412:C7412"/>
    <mergeCell ref="A7413:C7413"/>
    <mergeCell ref="A7414:C7414"/>
    <mergeCell ref="A7415:C7415"/>
    <mergeCell ref="A7416:C7416"/>
    <mergeCell ref="A7417:C7417"/>
    <mergeCell ref="A7418:C7418"/>
    <mergeCell ref="A7425:C7425"/>
    <mergeCell ref="A7426:C7426"/>
    <mergeCell ref="A7427:C7427"/>
    <mergeCell ref="A7424:C7424"/>
    <mergeCell ref="A7428:C7428"/>
    <mergeCell ref="A7429:C7429"/>
    <mergeCell ref="A7430:C7430"/>
    <mergeCell ref="A7431:C7431"/>
    <mergeCell ref="A7432:C7432"/>
    <mergeCell ref="A7433:C7433"/>
    <mergeCell ref="A7434:C7434"/>
    <mergeCell ref="A7435:C7435"/>
    <mergeCell ref="A7436:C7436"/>
    <mergeCell ref="A7437:C7437"/>
    <mergeCell ref="A7438:C7438"/>
    <mergeCell ref="A7439:C7439"/>
    <mergeCell ref="A7440:C7440"/>
    <mergeCell ref="E7381:G7381"/>
    <mergeCell ref="E7382:G7382"/>
    <mergeCell ref="E7383:G7383"/>
    <mergeCell ref="E7402:G7402"/>
    <mergeCell ref="E7403:G7403"/>
    <mergeCell ref="E7404:G7404"/>
    <mergeCell ref="E7405:G7405"/>
    <mergeCell ref="E7406:G7406"/>
    <mergeCell ref="E7407:G7407"/>
    <mergeCell ref="E7376:G7376"/>
    <mergeCell ref="E7377:G7377"/>
    <mergeCell ref="E7378:G7378"/>
    <mergeCell ref="E7379:G7379"/>
    <mergeCell ref="E7372:G7372"/>
    <mergeCell ref="E7373:G7373"/>
    <mergeCell ref="E7374:G7374"/>
    <mergeCell ref="E7375:G7375"/>
    <mergeCell ref="E7368:G7368"/>
    <mergeCell ref="E7369:G7369"/>
    <mergeCell ref="E7370:G7370"/>
    <mergeCell ref="E7371:G7371"/>
    <mergeCell ref="E7364:G7364"/>
    <mergeCell ref="E7365:G7365"/>
    <mergeCell ref="E7366:G7366"/>
    <mergeCell ref="E7367:G7367"/>
    <mergeCell ref="E7360:G7360"/>
    <mergeCell ref="E7361:G7361"/>
    <mergeCell ref="E7362:G7362"/>
    <mergeCell ref="E7363:G7363"/>
    <mergeCell ref="E7356:G7356"/>
    <mergeCell ref="E7357:G7357"/>
    <mergeCell ref="E7358:G7358"/>
    <mergeCell ref="E7359:G7359"/>
    <mergeCell ref="E7408:G7408"/>
    <mergeCell ref="E7409:G7409"/>
    <mergeCell ref="E7410:G7410"/>
    <mergeCell ref="E7411:G7411"/>
    <mergeCell ref="E7412:G7412"/>
    <mergeCell ref="E7413:G7413"/>
    <mergeCell ref="E7414:G7414"/>
    <mergeCell ref="E7420:G7420"/>
    <mergeCell ref="E7421:G7421"/>
    <mergeCell ref="E7422:G7422"/>
    <mergeCell ref="E7423:G7423"/>
    <mergeCell ref="E7424:G7424"/>
    <mergeCell ref="E7425:G7425"/>
    <mergeCell ref="E7426:G7426"/>
    <mergeCell ref="E7427:G7427"/>
    <mergeCell ref="E7428:G7428"/>
    <mergeCell ref="E7429:G7429"/>
    <mergeCell ref="E7430:G7430"/>
    <mergeCell ref="E7431:G7431"/>
    <mergeCell ref="E7432:G7432"/>
    <mergeCell ref="E7433:G7433"/>
    <mergeCell ref="E7434:G7434"/>
    <mergeCell ref="E7435:G7435"/>
    <mergeCell ref="E7436:G7436"/>
    <mergeCell ref="E7437:G7437"/>
    <mergeCell ref="E7438:G7438"/>
    <mergeCell ref="E7439:G7439"/>
    <mergeCell ref="E7440:G7440"/>
    <mergeCell ref="E7441:G7441"/>
    <mergeCell ref="E7442:G7442"/>
    <mergeCell ref="E7443:G7443"/>
    <mergeCell ref="A7444:C7444"/>
    <mergeCell ref="A7445:C7445"/>
    <mergeCell ref="E7444:G7444"/>
    <mergeCell ref="E7445:G7445"/>
    <mergeCell ref="A7442:C7442"/>
    <mergeCell ref="A7443:C7443"/>
    <mergeCell ref="A7451:C7451"/>
    <mergeCell ref="A7452:C7452"/>
    <mergeCell ref="A7453:C7453"/>
    <mergeCell ref="A7454:C7454"/>
    <mergeCell ref="A7455:C7455"/>
    <mergeCell ref="A7456:C7456"/>
    <mergeCell ref="A7457:C7457"/>
    <mergeCell ref="A7458:C7458"/>
    <mergeCell ref="A7459:C7459"/>
    <mergeCell ref="A7461:C7461"/>
    <mergeCell ref="A7462:C7462"/>
    <mergeCell ref="A7463:C7463"/>
    <mergeCell ref="A7464:C7464"/>
    <mergeCell ref="A7465:D7465"/>
    <mergeCell ref="A7466:C7466"/>
    <mergeCell ref="A7467:C7467"/>
    <mergeCell ref="A7468:C7468"/>
    <mergeCell ref="A7469:C7469"/>
    <mergeCell ref="A7470:C7470"/>
    <mergeCell ref="A7471:C7471"/>
    <mergeCell ref="A7472:C7472"/>
    <mergeCell ref="A7473:C7473"/>
    <mergeCell ref="A7474:C7474"/>
    <mergeCell ref="A7475:C7475"/>
    <mergeCell ref="A7476:C7476"/>
    <mergeCell ref="A7477:C7477"/>
    <mergeCell ref="A7478:C7478"/>
    <mergeCell ref="A7479:C7479"/>
    <mergeCell ref="A7480:C7480"/>
    <mergeCell ref="A7481:C7481"/>
    <mergeCell ref="A7482:C7482"/>
    <mergeCell ref="A7483:C7483"/>
    <mergeCell ref="A7484:C7484"/>
    <mergeCell ref="A7485:C7485"/>
    <mergeCell ref="A7486:C7486"/>
    <mergeCell ref="A7487:C7487"/>
    <mergeCell ref="A7488:C7488"/>
    <mergeCell ref="A7489:C7489"/>
    <mergeCell ref="A7490:C7490"/>
    <mergeCell ref="A7491:C7491"/>
    <mergeCell ref="A7492:C7492"/>
    <mergeCell ref="A7493:C7493"/>
    <mergeCell ref="A7494:C7494"/>
    <mergeCell ref="A7495:C7495"/>
    <mergeCell ref="A7496:C7496"/>
    <mergeCell ref="A7497:C7497"/>
    <mergeCell ref="A7498:C7498"/>
    <mergeCell ref="A7499:C7499"/>
    <mergeCell ref="A7500:C7500"/>
    <mergeCell ref="A7501:C7501"/>
    <mergeCell ref="A7502:C7502"/>
    <mergeCell ref="A7503:C7503"/>
    <mergeCell ref="A7504:C7504"/>
    <mergeCell ref="A7505:C7505"/>
    <mergeCell ref="A7506:C7506"/>
    <mergeCell ref="A7507:C7507"/>
    <mergeCell ref="A7508:C7508"/>
    <mergeCell ref="A7509:C7509"/>
    <mergeCell ref="A7510:C7510"/>
    <mergeCell ref="A7511:C7511"/>
    <mergeCell ref="A7512:C7512"/>
    <mergeCell ref="A7513:C7513"/>
    <mergeCell ref="A7514:C7514"/>
    <mergeCell ref="A7515:C7515"/>
    <mergeCell ref="A7516:C7516"/>
    <mergeCell ref="A7517:C7517"/>
    <mergeCell ref="A7518:C7518"/>
    <mergeCell ref="A7519:C7519"/>
    <mergeCell ref="E7446:G7446"/>
    <mergeCell ref="E7447:G7447"/>
    <mergeCell ref="E7448:G7448"/>
    <mergeCell ref="E7449:G7449"/>
    <mergeCell ref="E7450:G7450"/>
    <mergeCell ref="E7451:G7451"/>
    <mergeCell ref="E7452:G7452"/>
    <mergeCell ref="E7453:G7453"/>
    <mergeCell ref="E7454:G7454"/>
    <mergeCell ref="E7455:G7455"/>
    <mergeCell ref="E7456:G7456"/>
    <mergeCell ref="E7457:G7457"/>
    <mergeCell ref="E7458:G7458"/>
    <mergeCell ref="E7459:G7459"/>
    <mergeCell ref="E7460:G7460"/>
    <mergeCell ref="E7461:G7461"/>
    <mergeCell ref="E7462:G7462"/>
    <mergeCell ref="E7463:G7463"/>
    <mergeCell ref="E7464:G7464"/>
    <mergeCell ref="E7465:G7465"/>
    <mergeCell ref="E7466:G7466"/>
    <mergeCell ref="E7467:G7467"/>
    <mergeCell ref="E7468:G7468"/>
    <mergeCell ref="E7469:G7469"/>
    <mergeCell ref="E7470:G7470"/>
    <mergeCell ref="E7471:G7471"/>
    <mergeCell ref="E7472:G7472"/>
    <mergeCell ref="E7473:G7473"/>
    <mergeCell ref="E7474:G7474"/>
    <mergeCell ref="E7475:G7475"/>
    <mergeCell ref="E7476:G7476"/>
    <mergeCell ref="E7477:G7477"/>
    <mergeCell ref="E7478:G7478"/>
    <mergeCell ref="E7479:G7479"/>
    <mergeCell ref="E7480:G7480"/>
    <mergeCell ref="E7481:G7481"/>
    <mergeCell ref="E7486:G7486"/>
    <mergeCell ref="E7489:G7489"/>
    <mergeCell ref="E7482:G7482"/>
    <mergeCell ref="E7483:G7483"/>
    <mergeCell ref="E7484:G7484"/>
    <mergeCell ref="E7485:G7485"/>
    <mergeCell ref="E7490:G7490"/>
    <mergeCell ref="E7491:G7491"/>
    <mergeCell ref="E7492:G7492"/>
    <mergeCell ref="E7493:G7493"/>
    <mergeCell ref="E7494:G7494"/>
    <mergeCell ref="E7495:G7495"/>
    <mergeCell ref="E7496:G7496"/>
    <mergeCell ref="E7497:G7497"/>
    <mergeCell ref="E7498:G7498"/>
    <mergeCell ref="E7499:G7499"/>
    <mergeCell ref="E7500:G7500"/>
    <mergeCell ref="E7501:G7501"/>
    <mergeCell ref="E7502:G7502"/>
    <mergeCell ref="E7503:G7503"/>
    <mergeCell ref="E7504:G7504"/>
    <mergeCell ref="E7505:G7505"/>
    <mergeCell ref="E7506:G7506"/>
    <mergeCell ref="E7507:G7507"/>
    <mergeCell ref="E7508:G7508"/>
    <mergeCell ref="E7509:G7509"/>
    <mergeCell ref="E7510:G7510"/>
    <mergeCell ref="E7511:G7511"/>
    <mergeCell ref="E7512:G7512"/>
    <mergeCell ref="E7513:G7513"/>
    <mergeCell ref="E7518:G7518"/>
    <mergeCell ref="E7519:G7519"/>
    <mergeCell ref="E7514:G7514"/>
    <mergeCell ref="E7515:G7515"/>
    <mergeCell ref="E7516:G7516"/>
    <mergeCell ref="E7517:G7517"/>
  </mergeCells>
  <conditionalFormatting sqref="D246:E246 D374:D384 F374">
    <cfRule type="cellIs" dxfId="0" priority="1" operator="lessThan" stopIfTrue="1">
      <formula>0</formula>
    </cfRule>
  </conditionalFormatting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